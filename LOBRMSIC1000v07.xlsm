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2.xml" ContentType="application/vnd.openxmlformats-officedocument.drawing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drawings/drawing3.xml" ContentType="application/vnd.openxmlformats-officedocument.drawing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4.xml" ContentType="application/vnd.openxmlformats-officedocument.drawing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1065" yWindow="5760" windowWidth="17235" windowHeight="8190"/>
  </bookViews>
  <sheets>
    <sheet name="Entry" sheetId="1" r:id="rId1"/>
    <sheet name="A" sheetId="3" r:id="rId2"/>
    <sheet name="B" sheetId="4" r:id="rId3"/>
    <sheet name="Norm.Dist.Analysis" sheetId="5" r:id="rId4"/>
    <sheet name="Samp.Dist.Analysis" sheetId="8" r:id="rId5"/>
    <sheet name="Z Values" sheetId="6" r:id="rId6"/>
  </sheets>
  <definedNames>
    <definedName name="ACcol">OFFSET(A!$C$1, 1, 0,A!$B$4, 1)</definedName>
    <definedName name="Adata" comment="A sheet A column">OFFSET(A!$A$1, 1, 0, Entry!$E$2, 1)</definedName>
    <definedName name="ADcol">OFFSET(A!$D$1, 1, 0,A!$B$4, 1)</definedName>
    <definedName name="Adistp" comment="Prob of xi values in Adist">OFFSET(A!$G$1, 1, 0, A!$B$4, 1)</definedName>
    <definedName name="Adistz" comment="Z scores for A">OFFSET(A!$H$1, 1, 0, A!$B$4, 1)</definedName>
    <definedName name="Adistzp" comment="P Dist of A with stdev of A dst not AsampDist">OFFSET(A!$I$1, 1, 0,A!$B$4, 1)</definedName>
    <definedName name="AEcol">OFFSET(A!$E$1, 1, 0,A!$B$4, 1)</definedName>
    <definedName name="AFcol">OFFSET(A!$F$1, 1, 0,A!$B$4, 1)</definedName>
    <definedName name="Ainterval" localSheetId="4">Samp.Dist.Analysis!$E$4,Samp.Dist.Analysis!$F$4</definedName>
    <definedName name="Ainterval">Norm.Dist.Analysis!$E$4,Norm.Dist.Analysis!$F$4</definedName>
    <definedName name="Arawdata" comment="Entry Sheet A Column">OFFSET(Entry!$A$1, 1, 0, Entry!$E$2, 1)</definedName>
    <definedName name="Asampz">OFFSET(A!$J$1, 1, 0,A!$B$4, 1)</definedName>
    <definedName name="Asampzp">OFFSET(A!$K$1, 1, 0,A!$B$4, 1)</definedName>
    <definedName name="BCcol">OFFSET(B!$C$1, 1, 0,B!$B$4, 1)</definedName>
    <definedName name="Bdata" comment="B sheet A Column">OFFSET(B!$A$1, 1, 0, Entry!$E$3, 1)</definedName>
    <definedName name="BDcol">OFFSET(B!$D$1, 1, 0,B!$B$4, 1)</definedName>
    <definedName name="Bdistp">OFFSET(B!$G$1, 1, 0, B!$B$4, 1)</definedName>
    <definedName name="Bdistz" comment="z scores of b distribution using stdev of dist insteal of stdev/sqrt(n)">OFFSET(B!$H$1, 1, 0, B!$B$4, 1)</definedName>
    <definedName name="Bdistzp" comment="density of z scores for B dist using stdev of dist not stdev of sampling distribution.">OFFSET(B!$I$1, 1, 0, B!$B$4, 1)</definedName>
    <definedName name="BEcolumn">OFFSET(B!$E$1, 1, 0,B!$B$4, 1)</definedName>
    <definedName name="BFcolumn">OFFSET(B!$F$1, 1, 0,B!$B$4, 1)</definedName>
    <definedName name="Brawdata" comment="Entry Sheet B Column">OFFSET(Entry!$B$1, 1, 0, Entry!$E$3, 1)</definedName>
    <definedName name="Bsampz" comment="Zscores for B sampling distribution">OFFSET(B!$J$1, 1, 0, B!$B$4, 1)</definedName>
    <definedName name="Bsampzp" comment="Prob of Zscores of (B)">OFFSET(B!$K$1, 1, 0, B!$B$4, 1)</definedName>
    <definedName name="I2I1001">A!$I$2</definedName>
  </definedNames>
  <calcPr calcId="145621" calcMode="manual"/>
</workbook>
</file>

<file path=xl/calcChain.xml><?xml version="1.0" encoding="utf-8"?>
<calcChain xmlns="http://schemas.openxmlformats.org/spreadsheetml/2006/main">
  <c r="D3" i="6" l="1"/>
  <c r="D4" i="6"/>
  <c r="D5" i="6"/>
  <c r="D6" i="6"/>
  <c r="D7" i="6"/>
  <c r="D8" i="6"/>
  <c r="D9" i="6"/>
  <c r="D10" i="6"/>
  <c r="D11" i="6"/>
  <c r="D12" i="6"/>
  <c r="D13" i="6"/>
  <c r="D2" i="6"/>
  <c r="F2" i="6" s="1"/>
  <c r="B11" i="5"/>
  <c r="B11" i="8"/>
  <c r="E3" i="1" l="1"/>
  <c r="E2" i="1"/>
  <c r="A2" i="4" l="1" a="1"/>
  <c r="A2" i="3" a="1"/>
  <c r="E7" i="6"/>
  <c r="G7" i="6" s="1"/>
  <c r="B19" i="6"/>
  <c r="F7" i="6" s="1"/>
  <c r="E13" i="6"/>
  <c r="G13" i="6" s="1"/>
  <c r="F13" i="6"/>
  <c r="F12" i="6"/>
  <c r="E11" i="6"/>
  <c r="G11" i="6" s="1"/>
  <c r="F11" i="6"/>
  <c r="E10" i="6"/>
  <c r="G10" i="6" s="1"/>
  <c r="F10" i="6"/>
  <c r="E9" i="6"/>
  <c r="G9" i="6" s="1"/>
  <c r="F9" i="6"/>
  <c r="E8" i="6"/>
  <c r="G8" i="6" s="1"/>
  <c r="F8" i="6"/>
  <c r="E6" i="6"/>
  <c r="G6" i="6" s="1"/>
  <c r="F6" i="6"/>
  <c r="E5" i="6"/>
  <c r="G5" i="6" s="1"/>
  <c r="F5" i="6"/>
  <c r="E4" i="6"/>
  <c r="G4" i="6" s="1"/>
  <c r="F4" i="6"/>
  <c r="E3" i="6"/>
  <c r="G3" i="6" s="1"/>
  <c r="F3" i="6"/>
  <c r="E2" i="6"/>
  <c r="G2" i="6" s="1"/>
  <c r="A395" i="4" l="1"/>
  <c r="A670" i="4"/>
  <c r="A864" i="4"/>
  <c r="A497" i="4"/>
  <c r="A687" i="4"/>
  <c r="A928" i="4"/>
  <c r="A507" i="4"/>
  <c r="A831" i="4"/>
  <c r="A8" i="4"/>
  <c r="A587" i="4"/>
  <c r="A844" i="4"/>
  <c r="A220" i="4"/>
  <c r="A595" i="4"/>
  <c r="A919" i="4"/>
  <c r="A245" i="4"/>
  <c r="A676" i="4"/>
  <c r="A973" i="4"/>
  <c r="A387" i="4"/>
  <c r="A753" i="4"/>
  <c r="A989" i="4"/>
  <c r="A225" i="4"/>
  <c r="A413" i="4"/>
  <c r="A501" i="4"/>
  <c r="A608" i="4"/>
  <c r="A767" i="4"/>
  <c r="A772" i="4"/>
  <c r="A943" i="4"/>
  <c r="A990" i="4"/>
  <c r="A369" i="4"/>
  <c r="A504" i="4"/>
  <c r="A937" i="4"/>
  <c r="A529" i="4"/>
  <c r="A945" i="4"/>
  <c r="A594" i="4"/>
  <c r="A987" i="4"/>
  <c r="A909" i="4"/>
  <c r="A545" i="4"/>
  <c r="A632" i="4"/>
  <c r="A522" i="4"/>
  <c r="A429" i="4"/>
  <c r="A563" i="4"/>
  <c r="A971" i="4"/>
  <c r="A591" i="4"/>
  <c r="A983" i="4"/>
  <c r="A651" i="4"/>
  <c r="A827" i="4"/>
  <c r="A963" i="4"/>
  <c r="A458" i="4"/>
  <c r="A544" i="4"/>
  <c r="A417" i="4"/>
  <c r="A50" i="4"/>
  <c r="A627" i="4"/>
  <c r="A999" i="4"/>
  <c r="A636" i="4"/>
  <c r="A41" i="4"/>
  <c r="A708" i="4"/>
  <c r="A744" i="4"/>
  <c r="A901" i="4"/>
  <c r="A344" i="4"/>
  <c r="A440" i="4"/>
  <c r="A825" i="4"/>
  <c r="A991" i="4"/>
  <c r="A297" i="4"/>
  <c r="A169" i="4"/>
  <c r="A371" i="4"/>
  <c r="A828" i="4"/>
  <c r="A408" i="4"/>
  <c r="A852" i="4"/>
  <c r="A476" i="4"/>
  <c r="A907" i="4"/>
  <c r="A362" i="4"/>
  <c r="A459" i="4"/>
  <c r="A715" i="4"/>
  <c r="A789" i="4"/>
  <c r="A709" i="4"/>
  <c r="A671" i="4"/>
  <c r="A696" i="4"/>
  <c r="A752" i="4"/>
  <c r="A669" i="4"/>
  <c r="A734" i="4"/>
  <c r="A961" i="4"/>
  <c r="A298" i="4"/>
  <c r="A360" i="4"/>
  <c r="A79" i="4"/>
  <c r="A92" i="4"/>
  <c r="A337" i="4"/>
  <c r="A481" i="4"/>
  <c r="A615" i="4"/>
  <c r="A733" i="4"/>
  <c r="A849" i="4"/>
  <c r="A63" i="4"/>
  <c r="A316" i="4"/>
  <c r="A469" i="4"/>
  <c r="A604" i="4"/>
  <c r="A721" i="4"/>
  <c r="A837" i="4"/>
  <c r="A13" i="4"/>
  <c r="A348" i="4"/>
  <c r="A726" i="4"/>
  <c r="A749" i="4"/>
  <c r="A804" i="4"/>
  <c r="A575" i="4"/>
  <c r="A654" i="4"/>
  <c r="A889" i="4"/>
  <c r="A97" i="4"/>
  <c r="A123" i="4"/>
  <c r="A361" i="4"/>
  <c r="A499" i="4"/>
  <c r="A630" i="4"/>
  <c r="A745" i="4"/>
  <c r="A863" i="4"/>
  <c r="A99" i="4"/>
  <c r="A347" i="4"/>
  <c r="A487" i="4"/>
  <c r="A617" i="4"/>
  <c r="A735" i="4"/>
  <c r="A853" i="4"/>
  <c r="A56" i="4"/>
  <c r="A373" i="4"/>
  <c r="A554" i="4"/>
  <c r="A716" i="4"/>
  <c r="A872" i="4"/>
  <c r="A17" i="4"/>
  <c r="A351" i="4"/>
  <c r="A293" i="4"/>
  <c r="A883" i="4"/>
  <c r="A904" i="4"/>
  <c r="A947" i="4"/>
  <c r="A141" i="4"/>
  <c r="A138" i="4"/>
  <c r="A635" i="4"/>
  <c r="A188" i="4"/>
  <c r="A397" i="4"/>
  <c r="A532" i="4"/>
  <c r="A660" i="4"/>
  <c r="A776" i="4"/>
  <c r="A892" i="4"/>
  <c r="A165" i="4"/>
  <c r="A385" i="4"/>
  <c r="A521" i="4"/>
  <c r="A648" i="4"/>
  <c r="A764" i="4"/>
  <c r="A881" i="4"/>
  <c r="A145" i="4"/>
  <c r="A420" i="4"/>
  <c r="A596" i="4"/>
  <c r="A755" i="4"/>
  <c r="A913" i="4"/>
  <c r="A105" i="4"/>
  <c r="A399" i="4"/>
  <c r="A577" i="4"/>
  <c r="A740" i="4"/>
  <c r="A895" i="4"/>
  <c r="A72" i="4"/>
  <c r="A376" i="4"/>
  <c r="A560" i="4"/>
  <c r="A724" i="4"/>
  <c r="A877" i="4"/>
  <c r="A28" i="4"/>
  <c r="A356" i="4"/>
  <c r="A541" i="4"/>
  <c r="A705" i="4"/>
  <c r="A861" i="4"/>
  <c r="A264" i="4"/>
  <c r="A300" i="4"/>
  <c r="A410" i="4"/>
  <c r="A871" i="4"/>
  <c r="A788" i="4"/>
  <c r="A23" i="4"/>
  <c r="A280" i="4"/>
  <c r="A449" i="4"/>
  <c r="A584" i="4"/>
  <c r="A703" i="4"/>
  <c r="A819" i="4"/>
  <c r="A936" i="4"/>
  <c r="A260" i="4"/>
  <c r="A437" i="4"/>
  <c r="A570" i="4"/>
  <c r="A691" i="4"/>
  <c r="A808" i="4"/>
  <c r="A926" i="4"/>
  <c r="A271" i="4"/>
  <c r="A489" i="4"/>
  <c r="A657" i="4"/>
  <c r="A815" i="4"/>
  <c r="A964" i="4"/>
  <c r="A239" i="4"/>
  <c r="A468" i="4"/>
  <c r="A641" i="4"/>
  <c r="A798" i="4"/>
  <c r="A952" i="4"/>
  <c r="A205" i="4"/>
  <c r="A448" i="4"/>
  <c r="A624" i="4"/>
  <c r="A781" i="4"/>
  <c r="A935" i="4"/>
  <c r="A163" i="4"/>
  <c r="A428" i="4"/>
  <c r="A607" i="4"/>
  <c r="A763" i="4"/>
  <c r="A918" i="4"/>
  <c r="A460" i="4"/>
  <c r="A972" i="4"/>
  <c r="A616" i="4"/>
  <c r="A312" i="4"/>
  <c r="A597" i="4"/>
  <c r="A835" i="4"/>
  <c r="A289" i="4"/>
  <c r="A586" i="4"/>
  <c r="A824" i="4"/>
  <c r="A307" i="4"/>
  <c r="A639" i="4"/>
  <c r="A891" i="4"/>
  <c r="A275" i="4"/>
  <c r="A556" i="4"/>
  <c r="A779" i="4"/>
  <c r="A981" i="4"/>
  <c r="A352" i="4"/>
  <c r="A605" i="4"/>
  <c r="A817" i="4"/>
  <c r="A998" i="4"/>
  <c r="A407" i="4"/>
  <c r="A645" i="4"/>
  <c r="A843" i="4"/>
  <c r="A1001" i="4"/>
  <c r="A731" i="4"/>
  <c r="A393" i="4"/>
  <c r="A807" i="4"/>
  <c r="A479" i="4"/>
  <c r="A127" i="4"/>
  <c r="A330" i="4"/>
  <c r="A959" i="4"/>
  <c r="A4" i="4"/>
  <c r="A431" i="4"/>
  <c r="A688" i="4"/>
  <c r="A923" i="4"/>
  <c r="A419" i="4"/>
  <c r="A678" i="4"/>
  <c r="A910" i="4"/>
  <c r="A461" i="4"/>
  <c r="A736" i="4"/>
  <c r="A980" i="4"/>
  <c r="A424" i="4"/>
  <c r="A661" i="4"/>
  <c r="A855" i="4"/>
  <c r="A114" i="4"/>
  <c r="A471" i="4"/>
  <c r="A681" i="4"/>
  <c r="A899" i="4"/>
  <c r="A207" i="4"/>
  <c r="A493" i="4"/>
  <c r="A725" i="4"/>
  <c r="A927" i="4"/>
  <c r="A614" i="4"/>
  <c r="A181" i="4"/>
  <c r="A974" i="4"/>
  <c r="A689" i="4"/>
  <c r="A333" i="4"/>
  <c r="A791" i="4"/>
  <c r="A466" i="4"/>
  <c r="A790" i="4"/>
  <c r="A364" i="4"/>
  <c r="A707" i="4"/>
  <c r="A187" i="4"/>
  <c r="A679" i="4"/>
  <c r="A992" i="4"/>
  <c r="A512" i="4"/>
  <c r="A816" i="4"/>
  <c r="A154" i="4"/>
  <c r="A539" i="4"/>
  <c r="A840" i="4"/>
  <c r="A243" i="4"/>
  <c r="A585" i="4"/>
  <c r="A880" i="4"/>
  <c r="A977" i="4"/>
  <c r="A572" i="4"/>
  <c r="A886" i="4"/>
  <c r="A434" i="4"/>
  <c r="A216" i="4"/>
  <c r="A552" i="4"/>
  <c r="A514" i="4"/>
  <c r="A806" i="4"/>
  <c r="A403" i="4"/>
  <c r="A751" i="4"/>
  <c r="A234" i="4"/>
  <c r="A697" i="4"/>
  <c r="A60" i="4"/>
  <c r="A533" i="4"/>
  <c r="A836" i="4"/>
  <c r="A242" i="4"/>
  <c r="A580" i="4"/>
  <c r="A859" i="4"/>
  <c r="A282" i="4"/>
  <c r="A625" i="4"/>
  <c r="A900" i="4"/>
  <c r="A956" i="4"/>
  <c r="A524" i="4"/>
  <c r="A845" i="4"/>
  <c r="A388" i="4"/>
  <c r="A184" i="4"/>
  <c r="A862" i="4"/>
  <c r="A160" i="4"/>
  <c r="A565" i="4"/>
  <c r="A908" i="4"/>
  <c r="A503" i="4"/>
  <c r="A795" i="4"/>
  <c r="A441" i="4"/>
  <c r="A797" i="4"/>
  <c r="A196" i="4"/>
  <c r="A623" i="4"/>
  <c r="A916" i="4"/>
  <c r="A319" i="4"/>
  <c r="A663" i="4"/>
  <c r="A953" i="4"/>
  <c r="A384" i="4"/>
  <c r="A685" i="4"/>
  <c r="A846" i="4"/>
  <c r="A439" i="4"/>
  <c r="A727" i="4"/>
  <c r="A175" i="4"/>
  <c r="A37" i="4"/>
  <c r="A483" i="4"/>
  <c r="A380" i="4"/>
  <c r="A717" i="4"/>
  <c r="A202" i="4"/>
  <c r="A633" i="4"/>
  <c r="A941" i="4"/>
  <c r="A576" i="4"/>
  <c r="A932" i="4"/>
  <c r="A444" i="4"/>
  <c r="A718" i="4"/>
  <c r="A996" i="4"/>
  <c r="A492" i="4"/>
  <c r="A760" i="4"/>
  <c r="A77" i="4"/>
  <c r="A517" i="4"/>
  <c r="A800" i="4"/>
  <c r="A694" i="4"/>
  <c r="A83" i="4"/>
  <c r="A955" i="4"/>
  <c r="A567" i="4"/>
  <c r="A42" i="4"/>
  <c r="A59" i="4"/>
  <c r="A879" i="4"/>
  <c r="A780" i="4"/>
  <c r="A773" i="4"/>
  <c r="A602" i="4"/>
  <c r="A279" i="4"/>
  <c r="A917" i="4"/>
  <c r="A667" i="4"/>
  <c r="A888" i="4"/>
  <c r="A257" i="4"/>
  <c r="A456" i="4"/>
  <c r="A813" i="4"/>
  <c r="A944" i="4"/>
  <c r="A224" i="4"/>
  <c r="A35" i="4"/>
  <c r="A868" i="4"/>
  <c r="A833" i="4"/>
  <c r="A680" i="4"/>
  <c r="A405" i="4"/>
  <c r="A968" i="4"/>
  <c r="A743" i="4"/>
  <c r="A809" i="4"/>
  <c r="A81" i="4"/>
  <c r="A209" i="4"/>
  <c r="A416" i="4"/>
  <c r="A227" i="4"/>
  <c r="A101" i="4"/>
  <c r="A950" i="4"/>
  <c r="A758" i="4"/>
  <c r="A513" i="4"/>
  <c r="A117" i="4"/>
  <c r="A822" i="4"/>
  <c r="A653" i="4"/>
  <c r="A925" i="4"/>
  <c r="A543" i="4"/>
  <c r="A672" i="4"/>
  <c r="A553" i="4"/>
  <c r="A531" i="4"/>
  <c r="A375" i="4"/>
  <c r="A965" i="4"/>
  <c r="A742" i="4"/>
  <c r="A472" i="4"/>
  <c r="A261" i="4"/>
  <c r="A612" i="4"/>
  <c r="A785" i="4"/>
  <c r="A133" i="4"/>
  <c r="A854" i="4"/>
  <c r="A426" i="4"/>
  <c r="A782" i="4"/>
  <c r="A933" i="4"/>
  <c r="A860" i="4"/>
  <c r="A787" i="4"/>
  <c r="A713" i="4"/>
  <c r="A640" i="4"/>
  <c r="A561" i="4"/>
  <c r="A477" i="4"/>
  <c r="A394" i="4"/>
  <c r="A273" i="4"/>
  <c r="A115" i="4"/>
  <c r="A985" i="4"/>
  <c r="A912" i="4"/>
  <c r="A839" i="4"/>
  <c r="A766" i="4"/>
  <c r="A693" i="4"/>
  <c r="A620" i="4"/>
  <c r="A538" i="4"/>
  <c r="A453" i="4"/>
  <c r="A367" i="4"/>
  <c r="A233" i="4"/>
  <c r="A68" i="4"/>
  <c r="A957" i="4"/>
  <c r="A884" i="4"/>
  <c r="A811" i="4"/>
  <c r="A737" i="4"/>
  <c r="A664" i="4"/>
  <c r="A588" i="4"/>
  <c r="A505" i="4"/>
  <c r="A421" i="4"/>
  <c r="A321" i="4"/>
  <c r="A170" i="4"/>
  <c r="A2" i="4"/>
  <c r="A143" i="4"/>
  <c r="A451" i="4"/>
  <c r="A147" i="4"/>
  <c r="A643" i="4"/>
  <c r="A997" i="4"/>
  <c r="A924" i="4"/>
  <c r="A851" i="4"/>
  <c r="A777" i="4"/>
  <c r="A704" i="4"/>
  <c r="A631" i="4"/>
  <c r="A551" i="4"/>
  <c r="A467" i="4"/>
  <c r="A383" i="4"/>
  <c r="A255" i="4"/>
  <c r="A96" i="4"/>
  <c r="A976" i="4"/>
  <c r="A903" i="4"/>
  <c r="A830" i="4"/>
  <c r="A757" i="4"/>
  <c r="A684" i="4"/>
  <c r="A611" i="4"/>
  <c r="A527" i="4"/>
  <c r="A443" i="4"/>
  <c r="A355" i="4"/>
  <c r="A215" i="4"/>
  <c r="A47" i="4"/>
  <c r="A948" i="4"/>
  <c r="A875" i="4"/>
  <c r="A801" i="4"/>
  <c r="A728" i="4"/>
  <c r="A655" i="4"/>
  <c r="A578" i="4"/>
  <c r="A495" i="4"/>
  <c r="A411" i="4"/>
  <c r="A303" i="4"/>
  <c r="A151" i="4"/>
  <c r="A15" i="4"/>
  <c r="A161" i="4"/>
  <c r="A120" i="4"/>
  <c r="A662" i="4"/>
  <c r="A490" i="4"/>
  <c r="A799" i="4"/>
  <c r="A979" i="4"/>
  <c r="A905" i="4"/>
  <c r="A832" i="4"/>
  <c r="A759" i="4"/>
  <c r="A686" i="4"/>
  <c r="A613" i="4"/>
  <c r="A530" i="4"/>
  <c r="A447" i="4"/>
  <c r="A357" i="4"/>
  <c r="A218" i="4"/>
  <c r="A53" i="4"/>
  <c r="A958" i="4"/>
  <c r="A885" i="4"/>
  <c r="A812" i="4"/>
  <c r="A739" i="4"/>
  <c r="A665" i="4"/>
  <c r="A589" i="4"/>
  <c r="A506" i="4"/>
  <c r="A423" i="4"/>
  <c r="A324" i="4"/>
  <c r="A172" i="4"/>
  <c r="A5" i="4"/>
  <c r="A929" i="4"/>
  <c r="A856" i="4"/>
  <c r="A783" i="4"/>
  <c r="A710" i="4"/>
  <c r="A637" i="4"/>
  <c r="A557" i="4"/>
  <c r="A474" i="4"/>
  <c r="A389" i="4"/>
  <c r="A266" i="4"/>
  <c r="A108" i="4"/>
  <c r="A51" i="4"/>
  <c r="A197" i="4"/>
  <c r="A252" i="4"/>
  <c r="A621" i="4"/>
  <c r="A325" i="4"/>
  <c r="A335" i="4"/>
  <c r="A988" i="4"/>
  <c r="A878" i="4"/>
  <c r="A750" i="4"/>
  <c r="A649" i="4"/>
  <c r="A508" i="4"/>
  <c r="A370" i="4"/>
  <c r="A156" i="4"/>
  <c r="A894" i="4"/>
  <c r="A784" i="4"/>
  <c r="A656" i="4"/>
  <c r="A548" i="4"/>
  <c r="A402" i="4"/>
  <c r="A193" i="4"/>
  <c r="A975" i="4"/>
  <c r="A847" i="4"/>
  <c r="A747" i="4"/>
  <c r="A619" i="4"/>
  <c r="A484" i="4"/>
  <c r="A353" i="4"/>
  <c r="A87" i="4"/>
  <c r="A124" i="4"/>
  <c r="A712" i="4"/>
  <c r="A549" i="4"/>
  <c r="A315" i="4"/>
  <c r="A450" i="4"/>
  <c r="A969" i="4"/>
  <c r="A869" i="4"/>
  <c r="A741" i="4"/>
  <c r="A622" i="4"/>
  <c r="A498" i="4"/>
  <c r="A346" i="4"/>
  <c r="A136" i="4"/>
  <c r="A876" i="4"/>
  <c r="A775" i="4"/>
  <c r="A647" i="4"/>
  <c r="A516" i="4"/>
  <c r="A392" i="4"/>
  <c r="A152" i="4"/>
  <c r="A966" i="4"/>
  <c r="A838" i="4"/>
  <c r="A719" i="4"/>
  <c r="A609" i="4"/>
  <c r="A463" i="4"/>
  <c r="A339" i="4"/>
  <c r="A65" i="4"/>
  <c r="A179" i="4"/>
  <c r="A870" i="4"/>
  <c r="A761" i="4"/>
  <c r="A873" i="4"/>
  <c r="A1000" i="4"/>
  <c r="A951" i="4"/>
  <c r="A823" i="4"/>
  <c r="A723" i="4"/>
  <c r="A593" i="4"/>
  <c r="A457" i="4"/>
  <c r="A309" i="4"/>
  <c r="A32" i="4"/>
  <c r="A967" i="4"/>
  <c r="A857" i="4"/>
  <c r="A729" i="4"/>
  <c r="A629" i="4"/>
  <c r="A485" i="4"/>
  <c r="A343" i="4"/>
  <c r="A111" i="4"/>
  <c r="A920" i="4"/>
  <c r="A820" i="4"/>
  <c r="A692" i="4"/>
  <c r="A568" i="4"/>
  <c r="A442" i="4"/>
  <c r="A248" i="4"/>
  <c r="A24" i="4"/>
  <c r="A934" i="4"/>
  <c r="A652" i="4"/>
  <c r="A814" i="4"/>
  <c r="A659" i="4"/>
  <c r="A425" i="4"/>
  <c r="A74" i="4"/>
  <c r="A949" i="4"/>
  <c r="A793" i="4"/>
  <c r="A579" i="4"/>
  <c r="A379" i="4"/>
  <c r="A993" i="4"/>
  <c r="A792" i="4"/>
  <c r="A628" i="4"/>
  <c r="A401" i="4"/>
  <c r="A44" i="4"/>
  <c r="A19" i="4"/>
  <c r="A523" i="4"/>
  <c r="A805" i="4"/>
  <c r="A603" i="4"/>
  <c r="A415" i="4"/>
  <c r="A10" i="4"/>
  <c r="A940" i="4"/>
  <c r="A748" i="4"/>
  <c r="A569" i="4"/>
  <c r="A306" i="4"/>
  <c r="A984" i="4"/>
  <c r="A774" i="4"/>
  <c r="A599" i="4"/>
  <c r="A378" i="4"/>
  <c r="A33" i="4"/>
  <c r="A644" i="4"/>
  <c r="A700" i="4"/>
  <c r="A960" i="4"/>
  <c r="A796" i="4"/>
  <c r="A581" i="4"/>
  <c r="A404" i="4"/>
  <c r="A931" i="4"/>
  <c r="A720" i="4"/>
  <c r="A559" i="4"/>
  <c r="A288" i="4"/>
  <c r="A939" i="4"/>
  <c r="A765" i="4"/>
  <c r="A547" i="4"/>
  <c r="A365" i="4"/>
  <c r="A69" i="4"/>
  <c r="A535" i="4"/>
  <c r="A982" i="4"/>
  <c r="A942" i="4"/>
  <c r="A768" i="4"/>
  <c r="A571" i="4"/>
  <c r="A328" i="4"/>
  <c r="A921" i="4"/>
  <c r="A711" i="4"/>
  <c r="A496" i="4"/>
  <c r="A269" i="4"/>
  <c r="A911" i="4"/>
  <c r="A756" i="4"/>
  <c r="A536" i="4"/>
  <c r="A284" i="4"/>
  <c r="A88" i="4"/>
  <c r="A562" i="4"/>
  <c r="A732" i="4"/>
  <c r="A291" i="4"/>
  <c r="A702" i="4"/>
  <c r="A251" i="4"/>
  <c r="A701" i="4"/>
  <c r="A229" i="4"/>
  <c r="A695" i="4"/>
  <c r="A236" i="4"/>
  <c r="A675" i="4"/>
  <c r="A132" i="4"/>
  <c r="A683" i="4"/>
  <c r="A211" i="4"/>
  <c r="A677" i="4"/>
  <c r="A200" i="4"/>
  <c r="A638" i="4"/>
  <c r="A90" i="4"/>
  <c r="A673" i="4"/>
  <c r="A191" i="4"/>
  <c r="A668" i="4"/>
  <c r="A178" i="4"/>
  <c r="A995" i="4"/>
  <c r="A600" i="4"/>
  <c r="A26" i="4"/>
  <c r="A646" i="4"/>
  <c r="A129" i="4"/>
  <c r="A897" i="4"/>
  <c r="A540" i="4"/>
  <c r="A867" i="4"/>
  <c r="A902" i="4"/>
  <c r="A106" i="4"/>
  <c r="A396" i="4"/>
  <c r="A699" i="4"/>
  <c r="A435" i="4"/>
  <c r="A803" i="4"/>
  <c r="A829" i="4"/>
  <c r="A887" i="4"/>
  <c r="A433" i="4"/>
  <c r="A452" i="4"/>
  <c r="A511" i="4"/>
  <c r="A893" i="4"/>
  <c r="A771" i="4"/>
  <c r="A865" i="4"/>
  <c r="A769" i="4"/>
  <c r="A915" i="4"/>
  <c r="A848" i="4"/>
  <c r="A515" i="4"/>
  <c r="A520" i="4"/>
  <c r="A465" i="4"/>
  <c r="A480" i="4"/>
  <c r="A525" i="4"/>
  <c r="A896" i="4"/>
  <c r="A432" i="4"/>
  <c r="A841" i="4"/>
  <c r="A978" i="4"/>
  <c r="A914" i="4"/>
  <c r="A850" i="4"/>
  <c r="A786" i="4"/>
  <c r="A722" i="4"/>
  <c r="A658" i="4"/>
  <c r="A592" i="4"/>
  <c r="A519" i="4"/>
  <c r="A445" i="4"/>
  <c r="A372" i="4"/>
  <c r="A299" i="4"/>
  <c r="A226" i="4"/>
  <c r="A153" i="4"/>
  <c r="A80" i="4"/>
  <c r="A7" i="4"/>
  <c r="A277" i="4"/>
  <c r="A204" i="4"/>
  <c r="A131" i="4"/>
  <c r="A58" i="4"/>
  <c r="A377" i="4"/>
  <c r="A304" i="4"/>
  <c r="A231" i="4"/>
  <c r="A157" i="4"/>
  <c r="A84" i="4"/>
  <c r="A11" i="4"/>
  <c r="A62" i="4"/>
  <c r="A126" i="4"/>
  <c r="A190" i="4"/>
  <c r="A254" i="4"/>
  <c r="A318" i="4"/>
  <c r="A382" i="4"/>
  <c r="A446" i="4"/>
  <c r="A510" i="4"/>
  <c r="A574" i="4"/>
  <c r="A311" i="4"/>
  <c r="A237" i="4"/>
  <c r="A164" i="4"/>
  <c r="A91" i="4"/>
  <c r="A18" i="4"/>
  <c r="A475" i="4"/>
  <c r="A488" i="4"/>
  <c r="A946" i="4"/>
  <c r="A874" i="4"/>
  <c r="A802" i="4"/>
  <c r="A730" i="4"/>
  <c r="A650" i="4"/>
  <c r="A573" i="4"/>
  <c r="A491" i="4"/>
  <c r="A409" i="4"/>
  <c r="A327" i="4"/>
  <c r="A244" i="4"/>
  <c r="A162" i="4"/>
  <c r="A71" i="4"/>
  <c r="A332" i="4"/>
  <c r="A250" i="4"/>
  <c r="A168" i="4"/>
  <c r="A85" i="4"/>
  <c r="A3" i="4"/>
  <c r="A313" i="4"/>
  <c r="A221" i="4"/>
  <c r="A139" i="4"/>
  <c r="A57" i="4"/>
  <c r="A30" i="4"/>
  <c r="A102" i="4"/>
  <c r="A174" i="4"/>
  <c r="A246" i="4"/>
  <c r="A326" i="4"/>
  <c r="A398" i="4"/>
  <c r="A470" i="4"/>
  <c r="A542" i="4"/>
  <c r="A338" i="4"/>
  <c r="A256" i="4"/>
  <c r="A173" i="4"/>
  <c r="A82" i="4"/>
  <c r="A938" i="4"/>
  <c r="A866" i="4"/>
  <c r="A794" i="4"/>
  <c r="A714" i="4"/>
  <c r="A642" i="4"/>
  <c r="A564" i="4"/>
  <c r="A482" i="4"/>
  <c r="A400" i="4"/>
  <c r="A317" i="4"/>
  <c r="A235" i="4"/>
  <c r="A144" i="4"/>
  <c r="A61" i="4"/>
  <c r="A323" i="4"/>
  <c r="A241" i="4"/>
  <c r="A159" i="4"/>
  <c r="A76" i="4"/>
  <c r="A386" i="4"/>
  <c r="A295" i="4"/>
  <c r="A212" i="4"/>
  <c r="A130" i="4"/>
  <c r="A48" i="4"/>
  <c r="A38" i="4"/>
  <c r="A110" i="4"/>
  <c r="A182" i="4"/>
  <c r="A262" i="4"/>
  <c r="A334" i="4"/>
  <c r="A406" i="4"/>
  <c r="A478" i="4"/>
  <c r="A550" i="4"/>
  <c r="A329" i="4"/>
  <c r="A247" i="4"/>
  <c r="A155" i="4"/>
  <c r="A73" i="4"/>
  <c r="A412" i="4"/>
  <c r="A994" i="4"/>
  <c r="A922" i="4"/>
  <c r="A842" i="4"/>
  <c r="A770" i="4"/>
  <c r="A698" i="4"/>
  <c r="A626" i="4"/>
  <c r="A546" i="4"/>
  <c r="A464" i="4"/>
  <c r="A381" i="4"/>
  <c r="A290" i="4"/>
  <c r="A208" i="4"/>
  <c r="A125" i="4"/>
  <c r="A43" i="4"/>
  <c r="A305" i="4"/>
  <c r="A223" i="4"/>
  <c r="A140" i="4"/>
  <c r="A49" i="4"/>
  <c r="A359" i="4"/>
  <c r="A276" i="4"/>
  <c r="A194" i="4"/>
  <c r="A112" i="4"/>
  <c r="A29" i="4"/>
  <c r="A54" i="4"/>
  <c r="A134" i="4"/>
  <c r="A206" i="4"/>
  <c r="A278" i="4"/>
  <c r="A350" i="4"/>
  <c r="A422" i="4"/>
  <c r="A494" i="4"/>
  <c r="A566" i="4"/>
  <c r="A301" i="4"/>
  <c r="A219" i="4"/>
  <c r="A137" i="4"/>
  <c r="A55" i="4"/>
  <c r="A962" i="4"/>
  <c r="A890" i="4"/>
  <c r="A818" i="4"/>
  <c r="A746" i="4"/>
  <c r="A674" i="4"/>
  <c r="A601" i="4"/>
  <c r="A509" i="4"/>
  <c r="A427" i="4"/>
  <c r="A345" i="4"/>
  <c r="A263" i="4"/>
  <c r="A180" i="4"/>
  <c r="A98" i="4"/>
  <c r="A16" i="4"/>
  <c r="A268" i="4"/>
  <c r="A186" i="4"/>
  <c r="A104" i="4"/>
  <c r="A21" i="4"/>
  <c r="A331" i="4"/>
  <c r="A249" i="4"/>
  <c r="A167" i="4"/>
  <c r="A75" i="4"/>
  <c r="A14" i="4"/>
  <c r="A86" i="4"/>
  <c r="A158" i="4"/>
  <c r="A230" i="4"/>
  <c r="A302" i="4"/>
  <c r="A374" i="4"/>
  <c r="A454" i="4"/>
  <c r="A526" i="4"/>
  <c r="A598" i="4"/>
  <c r="A274" i="4"/>
  <c r="A192" i="4"/>
  <c r="A109" i="4"/>
  <c r="A27" i="4"/>
  <c r="A906" i="4"/>
  <c r="A762" i="4"/>
  <c r="A618" i="4"/>
  <c r="A455" i="4"/>
  <c r="A281" i="4"/>
  <c r="A116" i="4"/>
  <c r="A296" i="4"/>
  <c r="A122" i="4"/>
  <c r="A349" i="4"/>
  <c r="A185" i="4"/>
  <c r="A20" i="4"/>
  <c r="A142" i="4"/>
  <c r="A286" i="4"/>
  <c r="A430" i="4"/>
  <c r="A582" i="4"/>
  <c r="A210" i="4"/>
  <c r="A45" i="4"/>
  <c r="A834" i="4"/>
  <c r="A537" i="4"/>
  <c r="A199" i="4"/>
  <c r="A40" i="4"/>
  <c r="A267" i="4"/>
  <c r="A214" i="4"/>
  <c r="A502" i="4"/>
  <c r="A826" i="4"/>
  <c r="A354" i="4"/>
  <c r="A195" i="4"/>
  <c r="A93" i="4"/>
  <c r="A366" i="4"/>
  <c r="A119" i="4"/>
  <c r="A810" i="4"/>
  <c r="A500" i="4"/>
  <c r="A171" i="4"/>
  <c r="A12" i="4"/>
  <c r="A66" i="4"/>
  <c r="A238" i="4"/>
  <c r="A534" i="4"/>
  <c r="A930" i="4"/>
  <c r="A308" i="4"/>
  <c r="A368" i="4"/>
  <c r="A270" i="4"/>
  <c r="A64" i="4"/>
  <c r="A898" i="4"/>
  <c r="A754" i="4"/>
  <c r="A610" i="4"/>
  <c r="A436" i="4"/>
  <c r="A272" i="4"/>
  <c r="A107" i="4"/>
  <c r="A287" i="4"/>
  <c r="A113" i="4"/>
  <c r="A340" i="4"/>
  <c r="A176" i="4"/>
  <c r="A6" i="4"/>
  <c r="A150" i="4"/>
  <c r="A294" i="4"/>
  <c r="A438" i="4"/>
  <c r="A590" i="4"/>
  <c r="A201" i="4"/>
  <c r="A36" i="4"/>
  <c r="A100" i="4"/>
  <c r="A473" i="4"/>
  <c r="A149" i="4"/>
  <c r="A118" i="4"/>
  <c r="A228" i="4"/>
  <c r="A882" i="4"/>
  <c r="A738" i="4"/>
  <c r="A583" i="4"/>
  <c r="A418" i="4"/>
  <c r="A253" i="4"/>
  <c r="A89" i="4"/>
  <c r="A259" i="4"/>
  <c r="A95" i="4"/>
  <c r="A322" i="4"/>
  <c r="A148" i="4"/>
  <c r="A22" i="4"/>
  <c r="A166" i="4"/>
  <c r="A310" i="4"/>
  <c r="A462" i="4"/>
  <c r="A606" i="4"/>
  <c r="A183" i="4"/>
  <c r="A9" i="4"/>
  <c r="A986" i="4"/>
  <c r="A34" i="4"/>
  <c r="A70" i="4"/>
  <c r="A292" i="4"/>
  <c r="A970" i="4"/>
  <c r="A528" i="4"/>
  <c r="A25" i="4"/>
  <c r="A258" i="4"/>
  <c r="A222" i="4"/>
  <c r="A283" i="4"/>
  <c r="A954" i="4"/>
  <c r="A666" i="4"/>
  <c r="A336" i="4"/>
  <c r="A341" i="4"/>
  <c r="A240" i="4"/>
  <c r="A94" i="4"/>
  <c r="A390" i="4"/>
  <c r="A265" i="4"/>
  <c r="A778" i="4"/>
  <c r="A314" i="4"/>
  <c r="A39" i="4"/>
  <c r="A558" i="4"/>
  <c r="A821" i="4"/>
  <c r="A858" i="4"/>
  <c r="A706" i="4"/>
  <c r="A555" i="4"/>
  <c r="A391" i="4"/>
  <c r="A217" i="4"/>
  <c r="A52" i="4"/>
  <c r="A232" i="4"/>
  <c r="A67" i="4"/>
  <c r="A285" i="4"/>
  <c r="A121" i="4"/>
  <c r="A46" i="4"/>
  <c r="A198" i="4"/>
  <c r="A342" i="4"/>
  <c r="A486" i="4"/>
  <c r="A320" i="4"/>
  <c r="A146" i="4"/>
  <c r="A690" i="4"/>
  <c r="A363" i="4"/>
  <c r="A213" i="4"/>
  <c r="A103" i="4"/>
  <c r="A358" i="4"/>
  <c r="A128" i="4"/>
  <c r="A682" i="4"/>
  <c r="A189" i="4"/>
  <c r="A31" i="4"/>
  <c r="A78" i="4"/>
  <c r="A518" i="4"/>
  <c r="A177" i="4"/>
  <c r="A634" i="4"/>
  <c r="A135" i="4"/>
  <c r="A203" i="4"/>
  <c r="A414" i="4"/>
  <c r="A322" i="3"/>
  <c r="A162" i="3"/>
  <c r="A164" i="3"/>
  <c r="A25" i="3"/>
  <c r="A152" i="3"/>
  <c r="A397" i="3"/>
  <c r="A911" i="3"/>
  <c r="A964" i="3"/>
  <c r="A772" i="3"/>
  <c r="A985" i="3"/>
  <c r="A301" i="3"/>
  <c r="A461" i="3"/>
  <c r="A216" i="3"/>
  <c r="A687" i="3"/>
  <c r="A2" i="3"/>
  <c r="A24" i="3"/>
  <c r="A568" i="3"/>
  <c r="A740" i="3"/>
  <c r="A847" i="3"/>
  <c r="A66" i="3"/>
  <c r="A537" i="3"/>
  <c r="A120" i="3"/>
  <c r="A141" i="3"/>
  <c r="A420" i="3"/>
  <c r="A557" i="3"/>
  <c r="A452" i="3"/>
  <c r="A333" i="3"/>
  <c r="A600" i="3"/>
  <c r="A601" i="3"/>
  <c r="A312" i="3"/>
  <c r="A536" i="3"/>
  <c r="A280" i="3"/>
  <c r="A546" i="3"/>
  <c r="A237" i="3"/>
  <c r="A196" i="3"/>
  <c r="A943" i="3"/>
  <c r="A344" i="3"/>
  <c r="A975" i="3"/>
  <c r="A45" i="3"/>
  <c r="A815" i="3"/>
  <c r="A751" i="3"/>
  <c r="A857" i="3"/>
  <c r="A376" i="3"/>
  <c r="A589" i="3"/>
  <c r="A34" i="3"/>
  <c r="A514" i="3"/>
  <c r="A77" i="3"/>
  <c r="A644" i="3"/>
  <c r="A450" i="3"/>
  <c r="A258" i="3"/>
  <c r="A248" i="3"/>
  <c r="A761" i="3"/>
  <c r="A109" i="3"/>
  <c r="A194" i="3"/>
  <c r="A900" i="3"/>
  <c r="A578" i="3"/>
  <c r="A580" i="3"/>
  <c r="A88" i="3"/>
  <c r="A655" i="3"/>
  <c r="A493" i="3"/>
  <c r="A205" i="3"/>
  <c r="A825" i="3"/>
  <c r="A290" i="3"/>
  <c r="A472" i="3"/>
  <c r="A719" i="3"/>
  <c r="A676" i="3"/>
  <c r="A13" i="3"/>
  <c r="A56" i="3"/>
  <c r="A921" i="3"/>
  <c r="A793" i="3"/>
  <c r="A569" i="3"/>
  <c r="A121" i="3"/>
  <c r="A367" i="3"/>
  <c r="A504" i="3"/>
  <c r="A111" i="3"/>
  <c r="A130" i="3"/>
  <c r="A665" i="3"/>
  <c r="A226" i="3"/>
  <c r="A418" i="3"/>
  <c r="A365" i="3"/>
  <c r="A386" i="3"/>
  <c r="A953" i="3"/>
  <c r="A409" i="3"/>
  <c r="A623" i="3"/>
  <c r="A836" i="3"/>
  <c r="A708" i="3"/>
  <c r="A633" i="3"/>
  <c r="A697" i="3"/>
  <c r="A239" i="3"/>
  <c r="A408" i="3"/>
  <c r="A889" i="3"/>
  <c r="A335" i="3"/>
  <c r="A482" i="3"/>
  <c r="A612" i="3"/>
  <c r="A5" i="3"/>
  <c r="A303" i="3"/>
  <c r="A100" i="3"/>
  <c r="A441" i="3"/>
  <c r="A559" i="3"/>
  <c r="A173" i="3"/>
  <c r="A804" i="3"/>
  <c r="A354" i="3"/>
  <c r="A89" i="3"/>
  <c r="A431" i="3"/>
  <c r="A228" i="3"/>
  <c r="A440" i="3"/>
  <c r="A879" i="3"/>
  <c r="A505" i="3"/>
  <c r="A79" i="3"/>
  <c r="A525" i="3"/>
  <c r="A132" i="3"/>
  <c r="A15" i="3"/>
  <c r="A484" i="3"/>
  <c r="A996" i="3"/>
  <c r="A98" i="3"/>
  <c r="A463" i="3"/>
  <c r="A175" i="3"/>
  <c r="A57" i="3"/>
  <c r="A527" i="3"/>
  <c r="A548" i="3"/>
  <c r="A36" i="3"/>
  <c r="A184" i="3"/>
  <c r="A260" i="3"/>
  <c r="A185" i="3"/>
  <c r="A377" i="3"/>
  <c r="A249" i="3"/>
  <c r="A68" i="3"/>
  <c r="A4" i="3"/>
  <c r="A271" i="3"/>
  <c r="A495" i="3"/>
  <c r="A977" i="3"/>
  <c r="A892" i="3"/>
  <c r="A807" i="3"/>
  <c r="A721" i="3"/>
  <c r="A636" i="3"/>
  <c r="A551" i="3"/>
  <c r="A465" i="3"/>
  <c r="A380" i="3"/>
  <c r="A295" i="3"/>
  <c r="A209" i="3"/>
  <c r="A124" i="3"/>
  <c r="A39" i="3"/>
  <c r="A610" i="3"/>
  <c r="A932" i="3"/>
  <c r="A47" i="3"/>
  <c r="A313" i="3"/>
  <c r="A324" i="3"/>
  <c r="A967" i="3"/>
  <c r="A881" i="3"/>
  <c r="A796" i="3"/>
  <c r="A711" i="3"/>
  <c r="A625" i="3"/>
  <c r="A540" i="3"/>
  <c r="A455" i="3"/>
  <c r="A369" i="3"/>
  <c r="A284" i="3"/>
  <c r="A199" i="3"/>
  <c r="A113" i="3"/>
  <c r="A28" i="3"/>
  <c r="A986" i="3"/>
  <c r="A901" i="3"/>
  <c r="A816" i="3"/>
  <c r="A730" i="3"/>
  <c r="A645" i="3"/>
  <c r="A560" i="3"/>
  <c r="A474" i="3"/>
  <c r="A389" i="3"/>
  <c r="A304" i="3"/>
  <c r="A218" i="3"/>
  <c r="A133" i="3"/>
  <c r="A48" i="3"/>
  <c r="A6" i="3"/>
  <c r="A429" i="3"/>
  <c r="A345" i="3"/>
  <c r="A399" i="3"/>
  <c r="A207" i="3"/>
  <c r="A945" i="3"/>
  <c r="A860" i="3"/>
  <c r="A775" i="3"/>
  <c r="A689" i="3"/>
  <c r="A604" i="3"/>
  <c r="A519" i="3"/>
  <c r="A433" i="3"/>
  <c r="A348" i="3"/>
  <c r="A263" i="3"/>
  <c r="A177" i="3"/>
  <c r="A92" i="3"/>
  <c r="A7" i="3"/>
  <c r="A965" i="3"/>
  <c r="A880" i="3"/>
  <c r="A794" i="3"/>
  <c r="A709" i="3"/>
  <c r="A624" i="3"/>
  <c r="A538" i="3"/>
  <c r="A453" i="3"/>
  <c r="A368" i="3"/>
  <c r="A282" i="3"/>
  <c r="A197" i="3"/>
  <c r="A112" i="3"/>
  <c r="A26" i="3"/>
  <c r="A22" i="3"/>
  <c r="A591" i="3"/>
  <c r="A143" i="3"/>
  <c r="A999" i="3"/>
  <c r="A849" i="3"/>
  <c r="A732" i="3"/>
  <c r="A583" i="3"/>
  <c r="A444" i="3"/>
  <c r="A316" i="3"/>
  <c r="A167" i="3"/>
  <c r="A49" i="3"/>
  <c r="A954" i="3"/>
  <c r="A848" i="3"/>
  <c r="A741" i="3"/>
  <c r="A613" i="3"/>
  <c r="A506" i="3"/>
  <c r="A400" i="3"/>
  <c r="A272" i="3"/>
  <c r="A165" i="3"/>
  <c r="A58" i="3"/>
  <c r="A62" i="3"/>
  <c r="A126" i="3"/>
  <c r="A190" i="3"/>
  <c r="A254" i="3"/>
  <c r="A318" i="3"/>
  <c r="A382" i="3"/>
  <c r="A446" i="3"/>
  <c r="A510" i="3"/>
  <c r="A574" i="3"/>
  <c r="A638" i="3"/>
  <c r="A702" i="3"/>
  <c r="A766" i="3"/>
  <c r="A830" i="3"/>
  <c r="A894" i="3"/>
  <c r="A958" i="3"/>
  <c r="A19" i="3"/>
  <c r="A83" i="3"/>
  <c r="A147" i="3"/>
  <c r="A211" i="3"/>
  <c r="A275" i="3"/>
  <c r="A339" i="3"/>
  <c r="A403" i="3"/>
  <c r="A467" i="3"/>
  <c r="A531" i="3"/>
  <c r="A595" i="3"/>
  <c r="A659" i="3"/>
  <c r="A723" i="3"/>
  <c r="A787" i="3"/>
  <c r="A851" i="3"/>
  <c r="A915" i="3"/>
  <c r="A979" i="3"/>
  <c r="A972" i="3"/>
  <c r="A769" i="3"/>
  <c r="A620" i="3"/>
  <c r="A449" i="3"/>
  <c r="A279" i="3"/>
  <c r="A108" i="3"/>
  <c r="A832" i="3"/>
  <c r="A586" i="3"/>
  <c r="A373" i="3"/>
  <c r="A281" i="3"/>
  <c r="A356" i="3"/>
  <c r="A269" i="3"/>
  <c r="A988" i="3"/>
  <c r="A839" i="3"/>
  <c r="A700" i="3"/>
  <c r="A572" i="3"/>
  <c r="A423" i="3"/>
  <c r="A305" i="3"/>
  <c r="A156" i="3"/>
  <c r="A17" i="3"/>
  <c r="A944" i="3"/>
  <c r="A837" i="3"/>
  <c r="A720" i="3"/>
  <c r="A602" i="3"/>
  <c r="A496" i="3"/>
  <c r="A378" i="3"/>
  <c r="A261" i="3"/>
  <c r="A154" i="3"/>
  <c r="A37" i="3"/>
  <c r="A70" i="3"/>
  <c r="A134" i="3"/>
  <c r="A198" i="3"/>
  <c r="A262" i="3"/>
  <c r="A326" i="3"/>
  <c r="A390" i="3"/>
  <c r="A454" i="3"/>
  <c r="A518" i="3"/>
  <c r="A582" i="3"/>
  <c r="A646" i="3"/>
  <c r="A710" i="3"/>
  <c r="A774" i="3"/>
  <c r="A838" i="3"/>
  <c r="A902" i="3"/>
  <c r="A966" i="3"/>
  <c r="A27" i="3"/>
  <c r="A91" i="3"/>
  <c r="A155" i="3"/>
  <c r="A219" i="3"/>
  <c r="A283" i="3"/>
  <c r="A347" i="3"/>
  <c r="A411" i="3"/>
  <c r="A475" i="3"/>
  <c r="A539" i="3"/>
  <c r="A603" i="3"/>
  <c r="A667" i="3"/>
  <c r="A731" i="3"/>
  <c r="A795" i="3"/>
  <c r="A859" i="3"/>
  <c r="A923" i="3"/>
  <c r="A987" i="3"/>
  <c r="A951" i="3"/>
  <c r="A759" i="3"/>
  <c r="A599" i="3"/>
  <c r="A428" i="3"/>
  <c r="A257" i="3"/>
  <c r="A87" i="3"/>
  <c r="A800" i="3"/>
  <c r="A565" i="3"/>
  <c r="A330" i="3"/>
  <c r="A729" i="3"/>
  <c r="A153" i="3"/>
  <c r="A956" i="3"/>
  <c r="A828" i="3"/>
  <c r="A679" i="3"/>
  <c r="A561" i="3"/>
  <c r="A412" i="3"/>
  <c r="A273" i="3"/>
  <c r="A145" i="3"/>
  <c r="A933" i="3"/>
  <c r="A826" i="3"/>
  <c r="A698" i="3"/>
  <c r="A592" i="3"/>
  <c r="A485" i="3"/>
  <c r="A357" i="3"/>
  <c r="A250" i="3"/>
  <c r="A144" i="3"/>
  <c r="A16" i="3"/>
  <c r="A935" i="3"/>
  <c r="A817" i="3"/>
  <c r="A668" i="3"/>
  <c r="A529" i="3"/>
  <c r="A401" i="3"/>
  <c r="A252" i="3"/>
  <c r="A135" i="3"/>
  <c r="A922" i="3"/>
  <c r="A805" i="3"/>
  <c r="A688" i="3"/>
  <c r="A581" i="3"/>
  <c r="A464" i="3"/>
  <c r="A346" i="3"/>
  <c r="A240" i="3"/>
  <c r="A122" i="3"/>
  <c r="A14" i="3"/>
  <c r="A86" i="3"/>
  <c r="A150" i="3"/>
  <c r="A214" i="3"/>
  <c r="A278" i="3"/>
  <c r="A342" i="3"/>
  <c r="A406" i="3"/>
  <c r="A470" i="3"/>
  <c r="A534" i="3"/>
  <c r="A598" i="3"/>
  <c r="A662" i="3"/>
  <c r="A726" i="3"/>
  <c r="A790" i="3"/>
  <c r="A854" i="3"/>
  <c r="A918" i="3"/>
  <c r="A982" i="3"/>
  <c r="A43" i="3"/>
  <c r="A107" i="3"/>
  <c r="A171" i="3"/>
  <c r="A235" i="3"/>
  <c r="A299" i="3"/>
  <c r="A363" i="3"/>
  <c r="A427" i="3"/>
  <c r="A491" i="3"/>
  <c r="A555" i="3"/>
  <c r="A619" i="3"/>
  <c r="A683" i="3"/>
  <c r="A747" i="3"/>
  <c r="A811" i="3"/>
  <c r="A875" i="3"/>
  <c r="A939" i="3"/>
  <c r="A897" i="3"/>
  <c r="A716" i="3"/>
  <c r="A556" i="3"/>
  <c r="A385" i="3"/>
  <c r="A215" i="3"/>
  <c r="A992" i="3"/>
  <c r="A746" i="3"/>
  <c r="A512" i="3"/>
  <c r="A213" i="3"/>
  <c r="A217" i="3"/>
  <c r="A924" i="3"/>
  <c r="A657" i="3"/>
  <c r="A391" i="3"/>
  <c r="A103" i="3"/>
  <c r="A388" i="3"/>
  <c r="A913" i="3"/>
  <c r="A647" i="3"/>
  <c r="A359" i="3"/>
  <c r="A81" i="3"/>
  <c r="A773" i="3"/>
  <c r="A549" i="3"/>
  <c r="A325" i="3"/>
  <c r="A90" i="3"/>
  <c r="A94" i="3"/>
  <c r="A182" i="3"/>
  <c r="A294" i="3"/>
  <c r="A398" i="3"/>
  <c r="A494" i="3"/>
  <c r="A606" i="3"/>
  <c r="A694" i="3"/>
  <c r="A806" i="3"/>
  <c r="A910" i="3"/>
  <c r="A3" i="3"/>
  <c r="A115" i="3"/>
  <c r="A203" i="3"/>
  <c r="A315" i="3"/>
  <c r="A419" i="3"/>
  <c r="A515" i="3"/>
  <c r="A627" i="3"/>
  <c r="A715" i="3"/>
  <c r="A827" i="3"/>
  <c r="A931" i="3"/>
  <c r="A473" i="3"/>
  <c r="A903" i="3"/>
  <c r="A615" i="3"/>
  <c r="A337" i="3"/>
  <c r="A71" i="3"/>
  <c r="A997" i="3"/>
  <c r="A762" i="3"/>
  <c r="A528" i="3"/>
  <c r="A314" i="3"/>
  <c r="A80" i="3"/>
  <c r="A102" i="3"/>
  <c r="A206" i="3"/>
  <c r="A302" i="3"/>
  <c r="A414" i="3"/>
  <c r="A502" i="3"/>
  <c r="A614" i="3"/>
  <c r="A718" i="3"/>
  <c r="A814" i="3"/>
  <c r="A926" i="3"/>
  <c r="A11" i="3"/>
  <c r="A123" i="3"/>
  <c r="A227" i="3"/>
  <c r="A323" i="3"/>
  <c r="A435" i="3"/>
  <c r="A523" i="3"/>
  <c r="A635" i="3"/>
  <c r="A739" i="3"/>
  <c r="A835" i="3"/>
  <c r="A947" i="3"/>
  <c r="A823" i="3"/>
  <c r="A535" i="3"/>
  <c r="A300" i="3"/>
  <c r="A928" i="3"/>
  <c r="A544" i="3"/>
  <c r="A516" i="3"/>
  <c r="A871" i="3"/>
  <c r="A593" i="3"/>
  <c r="A327" i="3"/>
  <c r="A60" i="3"/>
  <c r="A976" i="3"/>
  <c r="A752" i="3"/>
  <c r="A517" i="3"/>
  <c r="A293" i="3"/>
  <c r="A69" i="3"/>
  <c r="A110" i="3"/>
  <c r="A222" i="3"/>
  <c r="A310" i="3"/>
  <c r="A422" i="3"/>
  <c r="A526" i="3"/>
  <c r="A622" i="3"/>
  <c r="A734" i="3"/>
  <c r="A822" i="3"/>
  <c r="A934" i="3"/>
  <c r="A35" i="3"/>
  <c r="A131" i="3"/>
  <c r="A243" i="3"/>
  <c r="A331" i="3"/>
  <c r="A443" i="3"/>
  <c r="A547" i="3"/>
  <c r="A643" i="3"/>
  <c r="A755" i="3"/>
  <c r="A843" i="3"/>
  <c r="A955" i="3"/>
  <c r="A508" i="3"/>
  <c r="A677" i="3"/>
  <c r="A410" i="3"/>
  <c r="A46" i="3"/>
  <c r="A230" i="3"/>
  <c r="A366" i="3"/>
  <c r="A550" i="3"/>
  <c r="A686" i="3"/>
  <c r="A870" i="3"/>
  <c r="A51" i="3"/>
  <c r="A187" i="3"/>
  <c r="A371" i="3"/>
  <c r="A507" i="3"/>
  <c r="A691" i="3"/>
  <c r="A867" i="3"/>
  <c r="A476" i="3"/>
  <c r="A912" i="3"/>
  <c r="A634" i="3"/>
  <c r="A208" i="3"/>
  <c r="A118" i="3"/>
  <c r="A270" i="3"/>
  <c r="A438" i="3"/>
  <c r="A590" i="3"/>
  <c r="A758" i="3"/>
  <c r="A942" i="3"/>
  <c r="A75" i="3"/>
  <c r="A259" i="3"/>
  <c r="A395" i="3"/>
  <c r="A579" i="3"/>
  <c r="A763" i="3"/>
  <c r="A899" i="3"/>
  <c r="A695" i="3"/>
  <c r="A407" i="3"/>
  <c r="A129" i="3"/>
  <c r="A650" i="3"/>
  <c r="A53" i="3"/>
  <c r="A783" i="3"/>
  <c r="A753" i="3"/>
  <c r="A220" i="3"/>
  <c r="A858" i="3"/>
  <c r="A432" i="3"/>
  <c r="A101" i="3"/>
  <c r="A30" i="3"/>
  <c r="A166" i="3"/>
  <c r="A350" i="3"/>
  <c r="A486" i="3"/>
  <c r="A670" i="3"/>
  <c r="A846" i="3"/>
  <c r="A990" i="3"/>
  <c r="A163" i="3"/>
  <c r="A307" i="3"/>
  <c r="A483" i="3"/>
  <c r="A651" i="3"/>
  <c r="A803" i="3"/>
  <c r="A971" i="3"/>
  <c r="A919" i="3"/>
  <c r="A641" i="3"/>
  <c r="A321" i="3"/>
  <c r="A896" i="3"/>
  <c r="A469" i="3"/>
  <c r="A908" i="3"/>
  <c r="A705" i="3"/>
  <c r="A524" i="3"/>
  <c r="A353" i="3"/>
  <c r="A183" i="3"/>
  <c r="A44" i="3"/>
  <c r="A906" i="3"/>
  <c r="A778" i="3"/>
  <c r="A188" i="3"/>
  <c r="A656" i="3"/>
  <c r="A174" i="3"/>
  <c r="A462" i="3"/>
  <c r="A742" i="3"/>
  <c r="A974" i="3"/>
  <c r="A251" i="3"/>
  <c r="A499" i="3"/>
  <c r="A771" i="3"/>
  <c r="A737" i="3"/>
  <c r="A343" i="3"/>
  <c r="A768" i="3"/>
  <c r="A138" i="3"/>
  <c r="A887" i="3"/>
  <c r="A652" i="3"/>
  <c r="A460" i="3"/>
  <c r="A268" i="3"/>
  <c r="A76" i="3"/>
  <c r="A938" i="3"/>
  <c r="A789" i="3"/>
  <c r="A640" i="3"/>
  <c r="A501" i="3"/>
  <c r="A362" i="3"/>
  <c r="A256" i="3"/>
  <c r="A160" i="3"/>
  <c r="A64" i="3"/>
  <c r="A959" i="3"/>
  <c r="A873" i="3"/>
  <c r="A788" i="3"/>
  <c r="A703" i="3"/>
  <c r="A617" i="3"/>
  <c r="A532" i="3"/>
  <c r="A447" i="3"/>
  <c r="A361" i="3"/>
  <c r="A276" i="3"/>
  <c r="A191" i="3"/>
  <c r="A105" i="3"/>
  <c r="A20" i="3"/>
  <c r="A973" i="3"/>
  <c r="A888" i="3"/>
  <c r="A802" i="3"/>
  <c r="A717" i="3"/>
  <c r="A632" i="3"/>
  <c r="A791" i="3"/>
  <c r="A925" i="3"/>
  <c r="A840" i="3"/>
  <c r="A754" i="3"/>
  <c r="A669" i="3"/>
  <c r="A584" i="3"/>
  <c r="A498" i="3"/>
  <c r="A413" i="3"/>
  <c r="A328" i="3"/>
  <c r="A242" i="3"/>
  <c r="A157" i="3"/>
  <c r="A72" i="3"/>
  <c r="A785" i="3"/>
  <c r="A570" i="3"/>
  <c r="A238" i="3"/>
  <c r="A478" i="3"/>
  <c r="A750" i="3"/>
  <c r="A998" i="3"/>
  <c r="A267" i="3"/>
  <c r="A563" i="3"/>
  <c r="A779" i="3"/>
  <c r="A673" i="3"/>
  <c r="A236" i="3"/>
  <c r="A714" i="3"/>
  <c r="A855" i="3"/>
  <c r="A631" i="3"/>
  <c r="A439" i="3"/>
  <c r="A247" i="3"/>
  <c r="A65" i="3"/>
  <c r="A917" i="3"/>
  <c r="A757" i="3"/>
  <c r="A629" i="3"/>
  <c r="A480" i="3"/>
  <c r="A352" i="3"/>
  <c r="A245" i="3"/>
  <c r="A149" i="3"/>
  <c r="A42" i="3"/>
  <c r="A948" i="3"/>
  <c r="A863" i="3"/>
  <c r="A777" i="3"/>
  <c r="A692" i="3"/>
  <c r="A607" i="3"/>
  <c r="A521" i="3"/>
  <c r="A436" i="3"/>
  <c r="A351" i="3"/>
  <c r="A265" i="3"/>
  <c r="A180" i="3"/>
  <c r="A95" i="3"/>
  <c r="A9" i="3"/>
  <c r="A962" i="3"/>
  <c r="A877" i="3"/>
  <c r="A792" i="3"/>
  <c r="A706" i="3"/>
  <c r="A743" i="3"/>
  <c r="A421" i="3"/>
  <c r="A38" i="3"/>
  <c r="A286" i="3"/>
  <c r="A558" i="3"/>
  <c r="A798" i="3"/>
  <c r="A67" i="3"/>
  <c r="A355" i="3"/>
  <c r="A587" i="3"/>
  <c r="A883" i="3"/>
  <c r="A577" i="3"/>
  <c r="A172" i="3"/>
  <c r="A618" i="3"/>
  <c r="A812" i="3"/>
  <c r="A588" i="3"/>
  <c r="A396" i="3"/>
  <c r="A204" i="3"/>
  <c r="A33" i="3"/>
  <c r="A874" i="3"/>
  <c r="A725" i="3"/>
  <c r="A597" i="3"/>
  <c r="A448" i="3"/>
  <c r="A320" i="3"/>
  <c r="A224" i="3"/>
  <c r="A117" i="3"/>
  <c r="A21" i="3"/>
  <c r="A927" i="3"/>
  <c r="A841" i="3"/>
  <c r="A756" i="3"/>
  <c r="A671" i="3"/>
  <c r="A585" i="3"/>
  <c r="A500" i="3"/>
  <c r="A415" i="3"/>
  <c r="A329" i="3"/>
  <c r="A244" i="3"/>
  <c r="A159" i="3"/>
  <c r="A73" i="3"/>
  <c r="A941" i="3"/>
  <c r="A856" i="3"/>
  <c r="A770" i="3"/>
  <c r="A685" i="3"/>
  <c r="A978" i="3"/>
  <c r="A893" i="3"/>
  <c r="A808" i="3"/>
  <c r="A722" i="3"/>
  <c r="A637" i="3"/>
  <c r="A552" i="3"/>
  <c r="A466" i="3"/>
  <c r="A381" i="3"/>
  <c r="A296" i="3"/>
  <c r="A210" i="3"/>
  <c r="A125" i="3"/>
  <c r="A40" i="3"/>
  <c r="A292" i="3"/>
  <c r="A241" i="3"/>
  <c r="A784" i="3"/>
  <c r="A186" i="3"/>
  <c r="A142" i="3"/>
  <c r="A374" i="3"/>
  <c r="A654" i="3"/>
  <c r="A886" i="3"/>
  <c r="A179" i="3"/>
  <c r="A451" i="3"/>
  <c r="A699" i="3"/>
  <c r="A963" i="3"/>
  <c r="A844" i="3"/>
  <c r="A471" i="3"/>
  <c r="A960" i="3"/>
  <c r="A405" i="3"/>
  <c r="A961" i="3"/>
  <c r="A727" i="3"/>
  <c r="A503" i="3"/>
  <c r="A311" i="3"/>
  <c r="A119" i="3"/>
  <c r="A970" i="3"/>
  <c r="A821" i="3"/>
  <c r="A672" i="3"/>
  <c r="A533" i="3"/>
  <c r="A394" i="3"/>
  <c r="A288" i="3"/>
  <c r="A181" i="3"/>
  <c r="A85" i="3"/>
  <c r="A980" i="3"/>
  <c r="A895" i="3"/>
  <c r="A809" i="3"/>
  <c r="A724" i="3"/>
  <c r="A639" i="3"/>
  <c r="A553" i="3"/>
  <c r="A468" i="3"/>
  <c r="A383" i="3"/>
  <c r="A297" i="3"/>
  <c r="A212" i="3"/>
  <c r="A127" i="3"/>
  <c r="A41" i="3"/>
  <c r="A994" i="3"/>
  <c r="A909" i="3"/>
  <c r="A824" i="3"/>
  <c r="A738" i="3"/>
  <c r="A653" i="3"/>
  <c r="A929" i="3"/>
  <c r="A946" i="3"/>
  <c r="A861" i="3"/>
  <c r="A776" i="3"/>
  <c r="A690" i="3"/>
  <c r="A605" i="3"/>
  <c r="A520" i="3"/>
  <c r="A434" i="3"/>
  <c r="A349" i="3"/>
  <c r="A264" i="3"/>
  <c r="A178" i="3"/>
  <c r="A93" i="3"/>
  <c r="A8" i="3"/>
  <c r="A442" i="3"/>
  <c r="A246" i="3"/>
  <c r="A782" i="3"/>
  <c r="A291" i="3"/>
  <c r="A819" i="3"/>
  <c r="A193" i="3"/>
  <c r="A833" i="3"/>
  <c r="A417" i="3"/>
  <c r="A55" i="3"/>
  <c r="A736" i="3"/>
  <c r="A458" i="3"/>
  <c r="A234" i="3"/>
  <c r="A32" i="3"/>
  <c r="A937" i="3"/>
  <c r="A767" i="3"/>
  <c r="A596" i="3"/>
  <c r="A425" i="3"/>
  <c r="A255" i="3"/>
  <c r="A84" i="3"/>
  <c r="A952" i="3"/>
  <c r="A781" i="3"/>
  <c r="A621" i="3"/>
  <c r="A989" i="3"/>
  <c r="A850" i="3"/>
  <c r="A712" i="3"/>
  <c r="A573" i="3"/>
  <c r="A445" i="3"/>
  <c r="A306" i="3"/>
  <c r="A168" i="3"/>
  <c r="A29" i="3"/>
  <c r="A336" i="3"/>
  <c r="A334" i="3"/>
  <c r="A862" i="3"/>
  <c r="A379" i="3"/>
  <c r="A891" i="3"/>
  <c r="A151" i="3"/>
  <c r="A780" i="3"/>
  <c r="A375" i="3"/>
  <c r="A12" i="3"/>
  <c r="A704" i="3"/>
  <c r="A426" i="3"/>
  <c r="A202" i="3"/>
  <c r="A10" i="3"/>
  <c r="A916" i="3"/>
  <c r="A745" i="3"/>
  <c r="A575" i="3"/>
  <c r="A404" i="3"/>
  <c r="A233" i="3"/>
  <c r="A63" i="3"/>
  <c r="A930" i="3"/>
  <c r="A760" i="3"/>
  <c r="A968" i="3"/>
  <c r="A829" i="3"/>
  <c r="A701" i="3"/>
  <c r="A562" i="3"/>
  <c r="A424" i="3"/>
  <c r="A285" i="3"/>
  <c r="A146" i="3"/>
  <c r="A18" i="3"/>
  <c r="A868" i="3"/>
  <c r="A229" i="3"/>
  <c r="A358" i="3"/>
  <c r="A878" i="3"/>
  <c r="A387" i="3"/>
  <c r="A907" i="3"/>
  <c r="A876" i="3"/>
  <c r="A23" i="3"/>
  <c r="A748" i="3"/>
  <c r="A332" i="3"/>
  <c r="A981" i="3"/>
  <c r="A693" i="3"/>
  <c r="A416" i="3"/>
  <c r="A192" i="3"/>
  <c r="A905" i="3"/>
  <c r="A735" i="3"/>
  <c r="A564" i="3"/>
  <c r="A393" i="3"/>
  <c r="A223" i="3"/>
  <c r="A52" i="3"/>
  <c r="A920" i="3"/>
  <c r="A749" i="3"/>
  <c r="A957" i="3"/>
  <c r="A818" i="3"/>
  <c r="A680" i="3"/>
  <c r="A541" i="3"/>
  <c r="A402" i="3"/>
  <c r="A274" i="3"/>
  <c r="A136" i="3"/>
  <c r="A487" i="3"/>
  <c r="A869" i="3"/>
  <c r="A78" i="3"/>
  <c r="A630" i="3"/>
  <c r="A139" i="3"/>
  <c r="A675" i="3"/>
  <c r="A492" i="3"/>
  <c r="A437" i="3"/>
  <c r="A993" i="3"/>
  <c r="A545" i="3"/>
  <c r="A140" i="3"/>
  <c r="A842" i="3"/>
  <c r="A554" i="3"/>
  <c r="A298" i="3"/>
  <c r="A96" i="3"/>
  <c r="A991" i="3"/>
  <c r="A820" i="3"/>
  <c r="A649" i="3"/>
  <c r="A479" i="3"/>
  <c r="A308" i="3"/>
  <c r="A137" i="3"/>
  <c r="A834" i="3"/>
  <c r="A664" i="3"/>
  <c r="A865" i="3"/>
  <c r="A882" i="3"/>
  <c r="A744" i="3"/>
  <c r="A616" i="3"/>
  <c r="A477" i="3"/>
  <c r="A338" i="3"/>
  <c r="A200" i="3"/>
  <c r="A61" i="3"/>
  <c r="A430" i="3"/>
  <c r="A459" i="3"/>
  <c r="A864" i="3"/>
  <c r="A684" i="3"/>
  <c r="A949" i="3"/>
  <c r="A384" i="3"/>
  <c r="A884" i="3"/>
  <c r="A543" i="3"/>
  <c r="A201" i="3"/>
  <c r="A728" i="3"/>
  <c r="A797" i="3"/>
  <c r="A530" i="3"/>
  <c r="A253" i="3"/>
  <c r="A764" i="3"/>
  <c r="A542" i="3"/>
  <c r="A571" i="3"/>
  <c r="A682" i="3"/>
  <c r="A609" i="3"/>
  <c r="A885" i="3"/>
  <c r="A341" i="3"/>
  <c r="A852" i="3"/>
  <c r="A511" i="3"/>
  <c r="A169" i="3"/>
  <c r="A696" i="3"/>
  <c r="A786" i="3"/>
  <c r="A509" i="3"/>
  <c r="A232" i="3"/>
  <c r="A231" i="3"/>
  <c r="A666" i="3"/>
  <c r="A678" i="3"/>
  <c r="A707" i="3"/>
  <c r="A277" i="3"/>
  <c r="A481" i="3"/>
  <c r="A810" i="3"/>
  <c r="A266" i="3"/>
  <c r="A799" i="3"/>
  <c r="A457" i="3"/>
  <c r="A116" i="3"/>
  <c r="A984" i="3"/>
  <c r="A642" i="3"/>
  <c r="A1000" i="3"/>
  <c r="A733" i="3"/>
  <c r="A456" i="3"/>
  <c r="A189" i="3"/>
  <c r="A176" i="3"/>
  <c r="A950" i="3"/>
  <c r="A995" i="3"/>
  <c r="A801" i="3"/>
  <c r="A54" i="3"/>
  <c r="A99" i="3"/>
  <c r="A513" i="3"/>
  <c r="A161" i="3"/>
  <c r="A576" i="3"/>
  <c r="A106" i="3"/>
  <c r="A1001" i="3"/>
  <c r="A660" i="3"/>
  <c r="A319" i="3"/>
  <c r="A845" i="3"/>
  <c r="A904" i="3"/>
  <c r="A626" i="3"/>
  <c r="A360" i="3"/>
  <c r="A82" i="3"/>
  <c r="A490" i="3"/>
  <c r="A289" i="3"/>
  <c r="A170" i="3"/>
  <c r="A372" i="3"/>
  <c r="A898" i="3"/>
  <c r="A658" i="3"/>
  <c r="A114" i="3"/>
  <c r="A195" i="3"/>
  <c r="A611" i="3"/>
  <c r="A914" i="3"/>
  <c r="A663" i="3"/>
  <c r="A628" i="3"/>
  <c r="A317" i="3"/>
  <c r="A489" i="3"/>
  <c r="A497" i="3"/>
  <c r="A158" i="3"/>
  <c r="A225" i="3"/>
  <c r="A128" i="3"/>
  <c r="A340" i="3"/>
  <c r="A866" i="3"/>
  <c r="A648" i="3"/>
  <c r="A104" i="3"/>
  <c r="A567" i="3"/>
  <c r="A765" i="3"/>
  <c r="A566" i="3"/>
  <c r="A97" i="3"/>
  <c r="A74" i="3"/>
  <c r="A969" i="3"/>
  <c r="A287" i="3"/>
  <c r="A813" i="3"/>
  <c r="A594" i="3"/>
  <c r="A50" i="3"/>
  <c r="A890" i="3"/>
  <c r="A608" i="3"/>
  <c r="A522" i="3"/>
  <c r="A364" i="3"/>
  <c r="A59" i="3"/>
  <c r="A853" i="3"/>
  <c r="A831" i="3"/>
  <c r="A148" i="3"/>
  <c r="A674" i="3"/>
  <c r="A983" i="3"/>
  <c r="A488" i="3"/>
  <c r="A661" i="3"/>
  <c r="A713" i="3"/>
  <c r="A31" i="3"/>
  <c r="A936" i="3"/>
  <c r="A392" i="3"/>
  <c r="A681" i="3"/>
  <c r="A370" i="3"/>
  <c r="A940" i="3"/>
  <c r="A872" i="3"/>
  <c r="A309" i="3"/>
  <c r="A221" i="3"/>
  <c r="E12" i="6"/>
  <c r="G12" i="6" s="1"/>
  <c r="B40" i="3" l="1"/>
  <c r="B8" i="3"/>
  <c r="B6" i="3"/>
  <c r="B44" i="3"/>
  <c r="B44" i="4"/>
  <c r="B8" i="4"/>
  <c r="B6" i="4"/>
  <c r="B40" i="4"/>
  <c r="B42" i="4"/>
  <c r="B38" i="4"/>
  <c r="B38" i="3"/>
  <c r="B42" i="3"/>
  <c r="B4" i="4"/>
  <c r="B4" i="3"/>
  <c r="B36" i="3"/>
  <c r="B36" i="4"/>
  <c r="E11" i="5" l="1"/>
  <c r="B15" i="5"/>
  <c r="E3" i="5"/>
  <c r="B14" i="5"/>
  <c r="F2" i="4" a="1"/>
  <c r="F2" i="3" a="1"/>
  <c r="B2" i="4"/>
  <c r="B48" i="3"/>
  <c r="B46" i="3" s="1"/>
  <c r="B48" i="4"/>
  <c r="B10" i="3"/>
  <c r="B2" i="3"/>
  <c r="B14" i="3"/>
  <c r="B12" i="3"/>
  <c r="E2" i="3" s="1" a="1"/>
  <c r="B14" i="4"/>
  <c r="B12" i="4"/>
  <c r="E2" i="4" s="1" a="1"/>
  <c r="B10" i="4"/>
  <c r="E11" i="8" l="1"/>
  <c r="B15" i="8"/>
  <c r="F14" i="8"/>
  <c r="E14" i="8"/>
  <c r="E3" i="8"/>
  <c r="B14" i="8"/>
  <c r="E15" i="8"/>
  <c r="E2" i="8"/>
  <c r="E13" i="8"/>
  <c r="F13" i="8" s="1"/>
  <c r="E8" i="8"/>
  <c r="E7" i="8"/>
  <c r="E5" i="8"/>
  <c r="F5" i="8" s="1"/>
  <c r="F6" i="8"/>
  <c r="E6" i="8"/>
  <c r="E10" i="5"/>
  <c r="F12" i="5" s="1"/>
  <c r="E15" i="5"/>
  <c r="F14" i="5"/>
  <c r="E14" i="5"/>
  <c r="E13" i="5"/>
  <c r="F13" i="5" s="1"/>
  <c r="E2" i="5"/>
  <c r="H2" i="4" a="1"/>
  <c r="H308" i="4" s="1"/>
  <c r="F6" i="5"/>
  <c r="E6" i="5"/>
  <c r="E5" i="5"/>
  <c r="F5" i="5" s="1"/>
  <c r="E7" i="5"/>
  <c r="E8" i="5"/>
  <c r="G2" i="4" a="1"/>
  <c r="H2" i="3" a="1"/>
  <c r="H66" i="3" s="1"/>
  <c r="E16" i="8"/>
  <c r="E16" i="5"/>
  <c r="G2" i="3" a="1"/>
  <c r="E10" i="8"/>
  <c r="J2" i="3" a="1"/>
  <c r="J2" i="4" a="1"/>
  <c r="F3" i="4"/>
  <c r="F11" i="4"/>
  <c r="F19" i="4"/>
  <c r="F6" i="4"/>
  <c r="F15" i="4"/>
  <c r="F24" i="4"/>
  <c r="F32" i="4"/>
  <c r="F40" i="4"/>
  <c r="F48" i="4"/>
  <c r="F56" i="4"/>
  <c r="F64" i="4"/>
  <c r="F72" i="4"/>
  <c r="F80" i="4"/>
  <c r="F88" i="4"/>
  <c r="F96" i="4"/>
  <c r="F104" i="4"/>
  <c r="F112" i="4"/>
  <c r="F120" i="4"/>
  <c r="F128" i="4"/>
  <c r="F136" i="4"/>
  <c r="F144" i="4"/>
  <c r="F152" i="4"/>
  <c r="F160" i="4"/>
  <c r="F168" i="4"/>
  <c r="F176" i="4"/>
  <c r="F184" i="4"/>
  <c r="F192" i="4"/>
  <c r="F200" i="4"/>
  <c r="F208" i="4"/>
  <c r="F216" i="4"/>
  <c r="F224" i="4"/>
  <c r="F232" i="4"/>
  <c r="F240" i="4"/>
  <c r="F248" i="4"/>
  <c r="F256" i="4"/>
  <c r="F264" i="4"/>
  <c r="F272" i="4"/>
  <c r="F280" i="4"/>
  <c r="F288" i="4"/>
  <c r="F296" i="4"/>
  <c r="F304" i="4"/>
  <c r="F312" i="4"/>
  <c r="F320" i="4"/>
  <c r="F328" i="4"/>
  <c r="F336" i="4"/>
  <c r="F344" i="4"/>
  <c r="F352" i="4"/>
  <c r="F360" i="4"/>
  <c r="F368" i="4"/>
  <c r="F376" i="4"/>
  <c r="F384" i="4"/>
  <c r="F392" i="4"/>
  <c r="F400" i="4"/>
  <c r="F408" i="4"/>
  <c r="F416" i="4"/>
  <c r="F424" i="4"/>
  <c r="F432" i="4"/>
  <c r="F440" i="4"/>
  <c r="F448" i="4"/>
  <c r="F456" i="4"/>
  <c r="F464" i="4"/>
  <c r="F472" i="4"/>
  <c r="F480" i="4"/>
  <c r="F488" i="4"/>
  <c r="F496" i="4"/>
  <c r="F504" i="4"/>
  <c r="F512" i="4"/>
  <c r="F520" i="4"/>
  <c r="F528" i="4"/>
  <c r="F536" i="4"/>
  <c r="F544" i="4"/>
  <c r="F552" i="4"/>
  <c r="F560" i="4"/>
  <c r="F568" i="4"/>
  <c r="F576" i="4"/>
  <c r="F584" i="4"/>
  <c r="F592" i="4"/>
  <c r="F600" i="4"/>
  <c r="F608" i="4"/>
  <c r="F616" i="4"/>
  <c r="F624" i="4"/>
  <c r="F632" i="4"/>
  <c r="F640" i="4"/>
  <c r="F648" i="4"/>
  <c r="F656" i="4"/>
  <c r="F664" i="4"/>
  <c r="F672" i="4"/>
  <c r="F680" i="4"/>
  <c r="F688" i="4"/>
  <c r="F696" i="4"/>
  <c r="F704" i="4"/>
  <c r="F712" i="4"/>
  <c r="F720" i="4"/>
  <c r="F728" i="4"/>
  <c r="F736" i="4"/>
  <c r="F744" i="4"/>
  <c r="F752" i="4"/>
  <c r="F760" i="4"/>
  <c r="F768" i="4"/>
  <c r="F776" i="4"/>
  <c r="F784" i="4"/>
  <c r="F792" i="4"/>
  <c r="F800" i="4"/>
  <c r="F4" i="4"/>
  <c r="F14" i="4"/>
  <c r="F25" i="4"/>
  <c r="F34" i="4"/>
  <c r="F43" i="4"/>
  <c r="F52" i="4"/>
  <c r="F61" i="4"/>
  <c r="F70" i="4"/>
  <c r="F79" i="4"/>
  <c r="F89" i="4"/>
  <c r="F98" i="4"/>
  <c r="F107" i="4"/>
  <c r="F116" i="4"/>
  <c r="F125" i="4"/>
  <c r="F134" i="4"/>
  <c r="F143" i="4"/>
  <c r="F153" i="4"/>
  <c r="F162" i="4"/>
  <c r="F171" i="4"/>
  <c r="F180" i="4"/>
  <c r="F189" i="4"/>
  <c r="F198" i="4"/>
  <c r="F207" i="4"/>
  <c r="F217" i="4"/>
  <c r="F226" i="4"/>
  <c r="F235" i="4"/>
  <c r="F244" i="4"/>
  <c r="F253" i="4"/>
  <c r="F262" i="4"/>
  <c r="F271" i="4"/>
  <c r="F281" i="4"/>
  <c r="F290" i="4"/>
  <c r="F299" i="4"/>
  <c r="F308" i="4"/>
  <c r="F317" i="4"/>
  <c r="F326" i="4"/>
  <c r="F335" i="4"/>
  <c r="F345" i="4"/>
  <c r="F354" i="4"/>
  <c r="F363" i="4"/>
  <c r="F372" i="4"/>
  <c r="F381" i="4"/>
  <c r="F390" i="4"/>
  <c r="F399" i="4"/>
  <c r="F409" i="4"/>
  <c r="F418" i="4"/>
  <c r="F427" i="4"/>
  <c r="F436" i="4"/>
  <c r="F445" i="4"/>
  <c r="F454" i="4"/>
  <c r="F463" i="4"/>
  <c r="F473" i="4"/>
  <c r="F482" i="4"/>
  <c r="F491" i="4"/>
  <c r="F500" i="4"/>
  <c r="F509" i="4"/>
  <c r="F518" i="4"/>
  <c r="F527" i="4"/>
  <c r="F537" i="4"/>
  <c r="F546" i="4"/>
  <c r="F555" i="4"/>
  <c r="F564" i="4"/>
  <c r="F573" i="4"/>
  <c r="F582" i="4"/>
  <c r="F591" i="4"/>
  <c r="F601" i="4"/>
  <c r="F610" i="4"/>
  <c r="F619" i="4"/>
  <c r="F628" i="4"/>
  <c r="F637" i="4"/>
  <c r="F646" i="4"/>
  <c r="F655" i="4"/>
  <c r="F665" i="4"/>
  <c r="F674" i="4"/>
  <c r="F683" i="4"/>
  <c r="F692" i="4"/>
  <c r="F701" i="4"/>
  <c r="F710" i="4"/>
  <c r="F719" i="4"/>
  <c r="F729" i="4"/>
  <c r="F738" i="4"/>
  <c r="F747" i="4"/>
  <c r="F756" i="4"/>
  <c r="F765" i="4"/>
  <c r="F774" i="4"/>
  <c r="F783" i="4"/>
  <c r="F793" i="4"/>
  <c r="F802" i="4"/>
  <c r="F810" i="4"/>
  <c r="F818" i="4"/>
  <c r="F826" i="4"/>
  <c r="F834" i="4"/>
  <c r="F842" i="4"/>
  <c r="F850" i="4"/>
  <c r="F858" i="4"/>
  <c r="F866" i="4"/>
  <c r="F874" i="4"/>
  <c r="F882" i="4"/>
  <c r="F890" i="4"/>
  <c r="F898" i="4"/>
  <c r="F906" i="4"/>
  <c r="F914" i="4"/>
  <c r="F922" i="4"/>
  <c r="F930" i="4"/>
  <c r="F938" i="4"/>
  <c r="F946" i="4"/>
  <c r="F954" i="4"/>
  <c r="F962" i="4"/>
  <c r="F970" i="4"/>
  <c r="F978" i="4"/>
  <c r="F986" i="4"/>
  <c r="F994" i="4"/>
  <c r="F1001" i="4"/>
  <c r="F5" i="4"/>
  <c r="F16" i="4"/>
  <c r="F26" i="4"/>
  <c r="F35" i="4"/>
  <c r="F44" i="4"/>
  <c r="F53" i="4"/>
  <c r="F62" i="4"/>
  <c r="F71" i="4"/>
  <c r="F81" i="4"/>
  <c r="F90" i="4"/>
  <c r="F99" i="4"/>
  <c r="F108" i="4"/>
  <c r="F117" i="4"/>
  <c r="F126" i="4"/>
  <c r="F135" i="4"/>
  <c r="F145" i="4"/>
  <c r="F154" i="4"/>
  <c r="F163" i="4"/>
  <c r="F172" i="4"/>
  <c r="F181" i="4"/>
  <c r="F190" i="4"/>
  <c r="F199" i="4"/>
  <c r="F209" i="4"/>
  <c r="F218" i="4"/>
  <c r="F227" i="4"/>
  <c r="F236" i="4"/>
  <c r="F245" i="4"/>
  <c r="F254" i="4"/>
  <c r="F263" i="4"/>
  <c r="F273" i="4"/>
  <c r="F282" i="4"/>
  <c r="F291" i="4"/>
  <c r="F300" i="4"/>
  <c r="F309" i="4"/>
  <c r="F318" i="4"/>
  <c r="F327" i="4"/>
  <c r="F337" i="4"/>
  <c r="F346" i="4"/>
  <c r="F355" i="4"/>
  <c r="F364" i="4"/>
  <c r="F373" i="4"/>
  <c r="F382" i="4"/>
  <c r="F391" i="4"/>
  <c r="F401" i="4"/>
  <c r="F410" i="4"/>
  <c r="F419" i="4"/>
  <c r="F428" i="4"/>
  <c r="F437" i="4"/>
  <c r="F446" i="4"/>
  <c r="F455" i="4"/>
  <c r="F465" i="4"/>
  <c r="F474" i="4"/>
  <c r="F483" i="4"/>
  <c r="F492" i="4"/>
  <c r="F501" i="4"/>
  <c r="F510" i="4"/>
  <c r="F519" i="4"/>
  <c r="F529" i="4"/>
  <c r="F538" i="4"/>
  <c r="F547" i="4"/>
  <c r="F556" i="4"/>
  <c r="F565" i="4"/>
  <c r="F574" i="4"/>
  <c r="F583" i="4"/>
  <c r="F593" i="4"/>
  <c r="F602" i="4"/>
  <c r="F611" i="4"/>
  <c r="F620" i="4"/>
  <c r="F629" i="4"/>
  <c r="F638" i="4"/>
  <c r="F647" i="4"/>
  <c r="F657" i="4"/>
  <c r="F666" i="4"/>
  <c r="F675" i="4"/>
  <c r="F684" i="4"/>
  <c r="F693" i="4"/>
  <c r="F702" i="4"/>
  <c r="F711" i="4"/>
  <c r="F721" i="4"/>
  <c r="F730" i="4"/>
  <c r="F739" i="4"/>
  <c r="F748" i="4"/>
  <c r="F757" i="4"/>
  <c r="F766" i="4"/>
  <c r="F775" i="4"/>
  <c r="F785" i="4"/>
  <c r="F794" i="4"/>
  <c r="F803" i="4"/>
  <c r="F811" i="4"/>
  <c r="F819" i="4"/>
  <c r="F827" i="4"/>
  <c r="F835" i="4"/>
  <c r="F843" i="4"/>
  <c r="F851" i="4"/>
  <c r="F859" i="4"/>
  <c r="F867" i="4"/>
  <c r="F875" i="4"/>
  <c r="F883" i="4"/>
  <c r="F891" i="4"/>
  <c r="F899" i="4"/>
  <c r="F907" i="4"/>
  <c r="F915" i="4"/>
  <c r="F923" i="4"/>
  <c r="F931" i="4"/>
  <c r="F939" i="4"/>
  <c r="F947" i="4"/>
  <c r="F450" i="4"/>
  <c r="F998" i="4"/>
  <c r="F963" i="4"/>
  <c r="F990" i="4"/>
  <c r="F860" i="4"/>
  <c r="F902" i="4"/>
  <c r="F934" i="4"/>
  <c r="F955" i="4"/>
  <c r="F973" i="4"/>
  <c r="F1000" i="4"/>
  <c r="F51" i="4"/>
  <c r="F161" i="4"/>
  <c r="F234" i="4"/>
  <c r="F295" i="4"/>
  <c r="F369" i="4"/>
  <c r="F442" i="4"/>
  <c r="F526" i="4"/>
  <c r="F613" i="4"/>
  <c r="F709" i="4"/>
  <c r="F807" i="4"/>
  <c r="F893" i="4"/>
  <c r="F965" i="4"/>
  <c r="F676" i="4"/>
  <c r="F627" i="4"/>
  <c r="F10" i="4"/>
  <c r="F23" i="4"/>
  <c r="F37" i="4"/>
  <c r="F49" i="4"/>
  <c r="F60" i="4"/>
  <c r="F74" i="4"/>
  <c r="F85" i="4"/>
  <c r="F97" i="4"/>
  <c r="F110" i="4"/>
  <c r="F122" i="4"/>
  <c r="F133" i="4"/>
  <c r="F147" i="4"/>
  <c r="F158" i="4"/>
  <c r="F170" i="4"/>
  <c r="F183" i="4"/>
  <c r="F195" i="4"/>
  <c r="F206" i="4"/>
  <c r="F220" i="4"/>
  <c r="F231" i="4"/>
  <c r="F243" i="4"/>
  <c r="F257" i="4"/>
  <c r="F268" i="4"/>
  <c r="F279" i="4"/>
  <c r="F293" i="4"/>
  <c r="F305" i="4"/>
  <c r="F316" i="4"/>
  <c r="F330" i="4"/>
  <c r="F341" i="4"/>
  <c r="F353" i="4"/>
  <c r="F366" i="4"/>
  <c r="F378" i="4"/>
  <c r="F389" i="4"/>
  <c r="F414" i="4"/>
  <c r="F426" i="4"/>
  <c r="F439" i="4"/>
  <c r="F451" i="4"/>
  <c r="F462" i="4"/>
  <c r="F476" i="4"/>
  <c r="F487" i="4"/>
  <c r="F499" i="4"/>
  <c r="F524" i="4"/>
  <c r="F549" i="4"/>
  <c r="F597" i="4"/>
  <c r="F659" i="4"/>
  <c r="F732" i="4"/>
  <c r="F825" i="4"/>
  <c r="F933" i="4"/>
  <c r="F113" i="4"/>
  <c r="F270" i="4"/>
  <c r="F405" i="4"/>
  <c r="F551" i="4"/>
  <c r="F698" i="4"/>
  <c r="F849" i="4"/>
  <c r="F983" i="4"/>
  <c r="F17" i="4"/>
  <c r="F41" i="4"/>
  <c r="F66" i="4"/>
  <c r="F91" i="4"/>
  <c r="F114" i="4"/>
  <c r="F139" i="4"/>
  <c r="F164" i="4"/>
  <c r="F187" i="4"/>
  <c r="F212" i="4"/>
  <c r="F237" i="4"/>
  <c r="F260" i="4"/>
  <c r="F285" i="4"/>
  <c r="F310" i="4"/>
  <c r="F333" i="4"/>
  <c r="F358" i="4"/>
  <c r="F383" i="4"/>
  <c r="F406" i="4"/>
  <c r="F443" i="4"/>
  <c r="F468" i="4"/>
  <c r="F505" i="4"/>
  <c r="F541" i="4"/>
  <c r="F578" i="4"/>
  <c r="F626" i="4"/>
  <c r="F699" i="4"/>
  <c r="F772" i="4"/>
  <c r="F852" i="4"/>
  <c r="F936" i="4"/>
  <c r="F261" i="4"/>
  <c r="F494" i="4"/>
  <c r="F725" i="4"/>
  <c r="F917" i="4"/>
  <c r="F12" i="4"/>
  <c r="F27" i="4"/>
  <c r="F38" i="4"/>
  <c r="F50" i="4"/>
  <c r="F63" i="4"/>
  <c r="F75" i="4"/>
  <c r="F86" i="4"/>
  <c r="F100" i="4"/>
  <c r="F111" i="4"/>
  <c r="F123" i="4"/>
  <c r="F137" i="4"/>
  <c r="F148" i="4"/>
  <c r="F159" i="4"/>
  <c r="F173" i="4"/>
  <c r="F185" i="4"/>
  <c r="F196" i="4"/>
  <c r="F210" i="4"/>
  <c r="F221" i="4"/>
  <c r="F233" i="4"/>
  <c r="F246" i="4"/>
  <c r="F258" i="4"/>
  <c r="F269" i="4"/>
  <c r="F283" i="4"/>
  <c r="F294" i="4"/>
  <c r="F306" i="4"/>
  <c r="F319" i="4"/>
  <c r="F331" i="4"/>
  <c r="F342" i="4"/>
  <c r="F356" i="4"/>
  <c r="F367" i="4"/>
  <c r="F379" i="4"/>
  <c r="F393" i="4"/>
  <c r="F404" i="4"/>
  <c r="F415" i="4"/>
  <c r="F429" i="4"/>
  <c r="F441" i="4"/>
  <c r="F452" i="4"/>
  <c r="F466" i="4"/>
  <c r="F477" i="4"/>
  <c r="F489" i="4"/>
  <c r="F502" i="4"/>
  <c r="F514" i="4"/>
  <c r="F525" i="4"/>
  <c r="F539" i="4"/>
  <c r="F550" i="4"/>
  <c r="F562" i="4"/>
  <c r="F575" i="4"/>
  <c r="F587" i="4"/>
  <c r="F598" i="4"/>
  <c r="F612" i="4"/>
  <c r="F623" i="4"/>
  <c r="F635" i="4"/>
  <c r="F649" i="4"/>
  <c r="F660" i="4"/>
  <c r="F671" i="4"/>
  <c r="F685" i="4"/>
  <c r="F697" i="4"/>
  <c r="F708" i="4"/>
  <c r="F722" i="4"/>
  <c r="F733" i="4"/>
  <c r="F745" i="4"/>
  <c r="F758" i="4"/>
  <c r="F770" i="4"/>
  <c r="F781" i="4"/>
  <c r="F795" i="4"/>
  <c r="F806" i="4"/>
  <c r="F816" i="4"/>
  <c r="F828" i="4"/>
  <c r="F838" i="4"/>
  <c r="F848" i="4"/>
  <c r="F870" i="4"/>
  <c r="F912" i="4"/>
  <c r="F982" i="4"/>
  <c r="F186" i="4"/>
  <c r="F357" i="4"/>
  <c r="F515" i="4"/>
  <c r="F673" i="4"/>
  <c r="F839" i="4"/>
  <c r="F992" i="4"/>
  <c r="F29" i="4"/>
  <c r="F54" i="4"/>
  <c r="F77" i="4"/>
  <c r="F102" i="4"/>
  <c r="F127" i="4"/>
  <c r="F150" i="4"/>
  <c r="F175" i="4"/>
  <c r="F201" i="4"/>
  <c r="F223" i="4"/>
  <c r="F249" i="4"/>
  <c r="F274" i="4"/>
  <c r="F297" i="4"/>
  <c r="F322" i="4"/>
  <c r="F347" i="4"/>
  <c r="F370" i="4"/>
  <c r="F395" i="4"/>
  <c r="F431" i="4"/>
  <c r="F457" i="4"/>
  <c r="F479" i="4"/>
  <c r="F516" i="4"/>
  <c r="F553" i="4"/>
  <c r="F589" i="4"/>
  <c r="F639" i="4"/>
  <c r="F713" i="4"/>
  <c r="F797" i="4"/>
  <c r="F862" i="4"/>
  <c r="F926" i="4"/>
  <c r="F975" i="4"/>
  <c r="F238" i="4"/>
  <c r="F458" i="4"/>
  <c r="F663" i="4"/>
  <c r="F841" i="4"/>
  <c r="F985" i="4"/>
  <c r="F7" i="4"/>
  <c r="F20" i="4"/>
  <c r="F31" i="4"/>
  <c r="F45" i="4"/>
  <c r="F57" i="4"/>
  <c r="F68" i="4"/>
  <c r="F82" i="4"/>
  <c r="F93" i="4"/>
  <c r="F105" i="4"/>
  <c r="F118" i="4"/>
  <c r="F130" i="4"/>
  <c r="F141" i="4"/>
  <c r="F155" i="4"/>
  <c r="F166" i="4"/>
  <c r="F178" i="4"/>
  <c r="F191" i="4"/>
  <c r="F203" i="4"/>
  <c r="F214" i="4"/>
  <c r="F228" i="4"/>
  <c r="F239" i="4"/>
  <c r="F251" i="4"/>
  <c r="F265" i="4"/>
  <c r="F276" i="4"/>
  <c r="F287" i="4"/>
  <c r="F301" i="4"/>
  <c r="F313" i="4"/>
  <c r="F324" i="4"/>
  <c r="F338" i="4"/>
  <c r="F349" i="4"/>
  <c r="F361" i="4"/>
  <c r="F374" i="4"/>
  <c r="F386" i="4"/>
  <c r="F397" i="4"/>
  <c r="F411" i="4"/>
  <c r="F422" i="4"/>
  <c r="F434" i="4"/>
  <c r="F447" i="4"/>
  <c r="F459" i="4"/>
  <c r="F470" i="4"/>
  <c r="F484" i="4"/>
  <c r="F495" i="4"/>
  <c r="F507" i="4"/>
  <c r="F521" i="4"/>
  <c r="F532" i="4"/>
  <c r="F543" i="4"/>
  <c r="F557" i="4"/>
  <c r="F569" i="4"/>
  <c r="F580" i="4"/>
  <c r="F594" i="4"/>
  <c r="F605" i="4"/>
  <c r="F617" i="4"/>
  <c r="F630" i="4"/>
  <c r="F642" i="4"/>
  <c r="F653" i="4"/>
  <c r="F667" i="4"/>
  <c r="F678" i="4"/>
  <c r="F690" i="4"/>
  <c r="F703" i="4"/>
  <c r="F715" i="4"/>
  <c r="F726" i="4"/>
  <c r="F740" i="4"/>
  <c r="F751" i="4"/>
  <c r="F763" i="4"/>
  <c r="F777" i="4"/>
  <c r="F788" i="4"/>
  <c r="F799" i="4"/>
  <c r="F812" i="4"/>
  <c r="F822" i="4"/>
  <c r="F832" i="4"/>
  <c r="F844" i="4"/>
  <c r="F854" i="4"/>
  <c r="F864" i="4"/>
  <c r="F876" i="4"/>
  <c r="F886" i="4"/>
  <c r="F896" i="4"/>
  <c r="F908" i="4"/>
  <c r="F918" i="4"/>
  <c r="F928" i="4"/>
  <c r="F940" i="4"/>
  <c r="F950" i="4"/>
  <c r="F959" i="4"/>
  <c r="F968" i="4"/>
  <c r="F977" i="4"/>
  <c r="F987" i="4"/>
  <c r="F996" i="4"/>
  <c r="F8" i="4"/>
  <c r="F21" i="4"/>
  <c r="F33" i="4"/>
  <c r="F46" i="4"/>
  <c r="F58" i="4"/>
  <c r="F69" i="4"/>
  <c r="F83" i="4"/>
  <c r="F94" i="4"/>
  <c r="F106" i="4"/>
  <c r="F119" i="4"/>
  <c r="F131" i="4"/>
  <c r="F142" i="4"/>
  <c r="F156" i="4"/>
  <c r="F167" i="4"/>
  <c r="F179" i="4"/>
  <c r="F193" i="4"/>
  <c r="F204" i="4"/>
  <c r="F215" i="4"/>
  <c r="F229" i="4"/>
  <c r="F241" i="4"/>
  <c r="F252" i="4"/>
  <c r="F266" i="4"/>
  <c r="F277" i="4"/>
  <c r="F289" i="4"/>
  <c r="F302" i="4"/>
  <c r="F314" i="4"/>
  <c r="F325" i="4"/>
  <c r="F339" i="4"/>
  <c r="F350" i="4"/>
  <c r="F362" i="4"/>
  <c r="F375" i="4"/>
  <c r="F387" i="4"/>
  <c r="F398" i="4"/>
  <c r="F412" i="4"/>
  <c r="F423" i="4"/>
  <c r="F435" i="4"/>
  <c r="F449" i="4"/>
  <c r="F460" i="4"/>
  <c r="F471" i="4"/>
  <c r="F485" i="4"/>
  <c r="F497" i="4"/>
  <c r="F508" i="4"/>
  <c r="F522" i="4"/>
  <c r="F533" i="4"/>
  <c r="F545" i="4"/>
  <c r="F558" i="4"/>
  <c r="F570" i="4"/>
  <c r="F581" i="4"/>
  <c r="F595" i="4"/>
  <c r="F606" i="4"/>
  <c r="F618" i="4"/>
  <c r="F631" i="4"/>
  <c r="F643" i="4"/>
  <c r="F654" i="4"/>
  <c r="F668" i="4"/>
  <c r="F679" i="4"/>
  <c r="F691" i="4"/>
  <c r="F705" i="4"/>
  <c r="F716" i="4"/>
  <c r="F727" i="4"/>
  <c r="F741" i="4"/>
  <c r="F753" i="4"/>
  <c r="F764" i="4"/>
  <c r="F778" i="4"/>
  <c r="F789" i="4"/>
  <c r="F801" i="4"/>
  <c r="F813" i="4"/>
  <c r="F823" i="4"/>
  <c r="F833" i="4"/>
  <c r="F845" i="4"/>
  <c r="F855" i="4"/>
  <c r="F865" i="4"/>
  <c r="F877" i="4"/>
  <c r="F887" i="4"/>
  <c r="F897" i="4"/>
  <c r="F909" i="4"/>
  <c r="F919" i="4"/>
  <c r="F929" i="4"/>
  <c r="F941" i="4"/>
  <c r="F951" i="4"/>
  <c r="F960" i="4"/>
  <c r="F969" i="4"/>
  <c r="F979" i="4"/>
  <c r="F988" i="4"/>
  <c r="F997" i="4"/>
  <c r="F9" i="4"/>
  <c r="F22" i="4"/>
  <c r="F36" i="4"/>
  <c r="F47" i="4"/>
  <c r="F59" i="4"/>
  <c r="F73" i="4"/>
  <c r="F84" i="4"/>
  <c r="F95" i="4"/>
  <c r="F109" i="4"/>
  <c r="F121" i="4"/>
  <c r="F132" i="4"/>
  <c r="F146" i="4"/>
  <c r="F157" i="4"/>
  <c r="F169" i="4"/>
  <c r="F182" i="4"/>
  <c r="F194" i="4"/>
  <c r="F205" i="4"/>
  <c r="F219" i="4"/>
  <c r="F230" i="4"/>
  <c r="F242" i="4"/>
  <c r="F255" i="4"/>
  <c r="F267" i="4"/>
  <c r="F278" i="4"/>
  <c r="F292" i="4"/>
  <c r="F303" i="4"/>
  <c r="F315" i="4"/>
  <c r="F329" i="4"/>
  <c r="F340" i="4"/>
  <c r="F351" i="4"/>
  <c r="F365" i="4"/>
  <c r="F377" i="4"/>
  <c r="F388" i="4"/>
  <c r="F402" i="4"/>
  <c r="F413" i="4"/>
  <c r="F425" i="4"/>
  <c r="F438" i="4"/>
  <c r="F461" i="4"/>
  <c r="F475" i="4"/>
  <c r="F486" i="4"/>
  <c r="F498" i="4"/>
  <c r="F511" i="4"/>
  <c r="F523" i="4"/>
  <c r="F534" i="4"/>
  <c r="F548" i="4"/>
  <c r="F559" i="4"/>
  <c r="F571" i="4"/>
  <c r="F585" i="4"/>
  <c r="F596" i="4"/>
  <c r="F607" i="4"/>
  <c r="F621" i="4"/>
  <c r="F633" i="4"/>
  <c r="F644" i="4"/>
  <c r="F658" i="4"/>
  <c r="F669" i="4"/>
  <c r="F681" i="4"/>
  <c r="F694" i="4"/>
  <c r="F706" i="4"/>
  <c r="F717" i="4"/>
  <c r="F731" i="4"/>
  <c r="F742" i="4"/>
  <c r="F754" i="4"/>
  <c r="F767" i="4"/>
  <c r="F779" i="4"/>
  <c r="F790" i="4"/>
  <c r="F804" i="4"/>
  <c r="F814" i="4"/>
  <c r="F824" i="4"/>
  <c r="F836" i="4"/>
  <c r="F846" i="4"/>
  <c r="F856" i="4"/>
  <c r="F868" i="4"/>
  <c r="F878" i="4"/>
  <c r="F888" i="4"/>
  <c r="F900" i="4"/>
  <c r="F910" i="4"/>
  <c r="F920" i="4"/>
  <c r="F932" i="4"/>
  <c r="F942" i="4"/>
  <c r="F952" i="4"/>
  <c r="F961" i="4"/>
  <c r="F971" i="4"/>
  <c r="F980" i="4"/>
  <c r="F989" i="4"/>
  <c r="F403" i="4"/>
  <c r="F513" i="4"/>
  <c r="F535" i="4"/>
  <c r="F561" i="4"/>
  <c r="F572" i="4"/>
  <c r="F586" i="4"/>
  <c r="F609" i="4"/>
  <c r="F622" i="4"/>
  <c r="F634" i="4"/>
  <c r="F645" i="4"/>
  <c r="F670" i="4"/>
  <c r="F682" i="4"/>
  <c r="F695" i="4"/>
  <c r="F707" i="4"/>
  <c r="F718" i="4"/>
  <c r="F743" i="4"/>
  <c r="F755" i="4"/>
  <c r="F769" i="4"/>
  <c r="F780" i="4"/>
  <c r="F791" i="4"/>
  <c r="F805" i="4"/>
  <c r="F815" i="4"/>
  <c r="F837" i="4"/>
  <c r="F847" i="4"/>
  <c r="F857" i="4"/>
  <c r="F869" i="4"/>
  <c r="F879" i="4"/>
  <c r="F889" i="4"/>
  <c r="F901" i="4"/>
  <c r="F911" i="4"/>
  <c r="F921" i="4"/>
  <c r="F943" i="4"/>
  <c r="F953" i="4"/>
  <c r="F972" i="4"/>
  <c r="F981" i="4"/>
  <c r="F999" i="4"/>
  <c r="F880" i="4"/>
  <c r="F892" i="4"/>
  <c r="F924" i="4"/>
  <c r="F944" i="4"/>
  <c r="F964" i="4"/>
  <c r="F991" i="4"/>
  <c r="F13" i="4"/>
  <c r="F28" i="4"/>
  <c r="F39" i="4"/>
  <c r="F65" i="4"/>
  <c r="F76" i="4"/>
  <c r="F87" i="4"/>
  <c r="F101" i="4"/>
  <c r="F124" i="4"/>
  <c r="F138" i="4"/>
  <c r="F149" i="4"/>
  <c r="F174" i="4"/>
  <c r="F197" i="4"/>
  <c r="F211" i="4"/>
  <c r="F222" i="4"/>
  <c r="F247" i="4"/>
  <c r="F259" i="4"/>
  <c r="F284" i="4"/>
  <c r="F307" i="4"/>
  <c r="F321" i="4"/>
  <c r="F332" i="4"/>
  <c r="F343" i="4"/>
  <c r="F380" i="4"/>
  <c r="F394" i="4"/>
  <c r="F417" i="4"/>
  <c r="F430" i="4"/>
  <c r="F453" i="4"/>
  <c r="F467" i="4"/>
  <c r="F478" i="4"/>
  <c r="F490" i="4"/>
  <c r="F503" i="4"/>
  <c r="F540" i="4"/>
  <c r="F563" i="4"/>
  <c r="F577" i="4"/>
  <c r="F588" i="4"/>
  <c r="F599" i="4"/>
  <c r="F625" i="4"/>
  <c r="F636" i="4"/>
  <c r="F650" i="4"/>
  <c r="F661" i="4"/>
  <c r="F686" i="4"/>
  <c r="F723" i="4"/>
  <c r="F734" i="4"/>
  <c r="F746" i="4"/>
  <c r="F759" i="4"/>
  <c r="F771" i="4"/>
  <c r="F782" i="4"/>
  <c r="F796" i="4"/>
  <c r="F817" i="4"/>
  <c r="F829" i="4"/>
  <c r="F861" i="4"/>
  <c r="F871" i="4"/>
  <c r="F881" i="4"/>
  <c r="F903" i="4"/>
  <c r="F913" i="4"/>
  <c r="F925" i="4"/>
  <c r="F935" i="4"/>
  <c r="F945" i="4"/>
  <c r="F956" i="4"/>
  <c r="F974" i="4"/>
  <c r="F420" i="4"/>
  <c r="F493" i="4"/>
  <c r="F530" i="4"/>
  <c r="F566" i="4"/>
  <c r="F603" i="4"/>
  <c r="F614" i="4"/>
  <c r="F651" i="4"/>
  <c r="F662" i="4"/>
  <c r="F687" i="4"/>
  <c r="F724" i="4"/>
  <c r="F735" i="4"/>
  <c r="F749" i="4"/>
  <c r="F761" i="4"/>
  <c r="F786" i="4"/>
  <c r="F808" i="4"/>
  <c r="F820" i="4"/>
  <c r="F830" i="4"/>
  <c r="F840" i="4"/>
  <c r="F872" i="4"/>
  <c r="F884" i="4"/>
  <c r="F894" i="4"/>
  <c r="F904" i="4"/>
  <c r="F916" i="4"/>
  <c r="F948" i="4"/>
  <c r="F957" i="4"/>
  <c r="F966" i="4"/>
  <c r="F984" i="4"/>
  <c r="F993" i="4"/>
  <c r="F2" i="4"/>
  <c r="F18" i="4"/>
  <c r="F30" i="4"/>
  <c r="F42" i="4"/>
  <c r="F55" i="4"/>
  <c r="F67" i="4"/>
  <c r="F78" i="4"/>
  <c r="F92" i="4"/>
  <c r="F103" i="4"/>
  <c r="F115" i="4"/>
  <c r="F129" i="4"/>
  <c r="F140" i="4"/>
  <c r="F151" i="4"/>
  <c r="F165" i="4"/>
  <c r="F177" i="4"/>
  <c r="F188" i="4"/>
  <c r="F202" i="4"/>
  <c r="F213" i="4"/>
  <c r="F225" i="4"/>
  <c r="F250" i="4"/>
  <c r="F275" i="4"/>
  <c r="F286" i="4"/>
  <c r="F298" i="4"/>
  <c r="F311" i="4"/>
  <c r="F323" i="4"/>
  <c r="F334" i="4"/>
  <c r="F348" i="4"/>
  <c r="F359" i="4"/>
  <c r="F371" i="4"/>
  <c r="F385" i="4"/>
  <c r="F396" i="4"/>
  <c r="F407" i="4"/>
  <c r="F421" i="4"/>
  <c r="F433" i="4"/>
  <c r="F444" i="4"/>
  <c r="F469" i="4"/>
  <c r="F481" i="4"/>
  <c r="F506" i="4"/>
  <c r="F517" i="4"/>
  <c r="F531" i="4"/>
  <c r="F542" i="4"/>
  <c r="F554" i="4"/>
  <c r="F567" i="4"/>
  <c r="F579" i="4"/>
  <c r="F590" i="4"/>
  <c r="F604" i="4"/>
  <c r="F615" i="4"/>
  <c r="F641" i="4"/>
  <c r="F652" i="4"/>
  <c r="F677" i="4"/>
  <c r="F689" i="4"/>
  <c r="F700" i="4"/>
  <c r="F714" i="4"/>
  <c r="F737" i="4"/>
  <c r="F750" i="4"/>
  <c r="F762" i="4"/>
  <c r="F773" i="4"/>
  <c r="F787" i="4"/>
  <c r="F798" i="4"/>
  <c r="F809" i="4"/>
  <c r="F821" i="4"/>
  <c r="F831" i="4"/>
  <c r="F853" i="4"/>
  <c r="F863" i="4"/>
  <c r="F873" i="4"/>
  <c r="F885" i="4"/>
  <c r="F895" i="4"/>
  <c r="F905" i="4"/>
  <c r="F927" i="4"/>
  <c r="F937" i="4"/>
  <c r="F949" i="4"/>
  <c r="F958" i="4"/>
  <c r="F967" i="4"/>
  <c r="F976" i="4"/>
  <c r="F995" i="4"/>
  <c r="C2" i="4" a="1"/>
  <c r="C2" i="3" a="1"/>
  <c r="E163" i="4"/>
  <c r="E334" i="4"/>
  <c r="E462" i="4"/>
  <c r="E560" i="4"/>
  <c r="E646" i="4"/>
  <c r="E730" i="4"/>
  <c r="E813" i="4"/>
  <c r="E894" i="4"/>
  <c r="E967" i="4"/>
  <c r="E101" i="4"/>
  <c r="E272" i="4"/>
  <c r="E427" i="4"/>
  <c r="E525" i="4"/>
  <c r="E617" i="4"/>
  <c r="E700" i="4"/>
  <c r="E784" i="4"/>
  <c r="E867" i="4"/>
  <c r="E940" i="4"/>
  <c r="E38" i="4"/>
  <c r="E209" i="4"/>
  <c r="E379" i="4"/>
  <c r="E489" i="4"/>
  <c r="E587" i="4"/>
  <c r="E670" i="4"/>
  <c r="E754" i="4"/>
  <c r="E837" i="4"/>
  <c r="E914" i="4"/>
  <c r="E987" i="4"/>
  <c r="E219" i="4"/>
  <c r="E457" i="4"/>
  <c r="E610" i="4"/>
  <c r="E745" i="4"/>
  <c r="E874" i="4"/>
  <c r="E992" i="4"/>
  <c r="E261" i="4"/>
  <c r="E481" i="4"/>
  <c r="E629" i="4"/>
  <c r="E761" i="4"/>
  <c r="E891" i="4"/>
  <c r="E25" i="4"/>
  <c r="E302" i="4"/>
  <c r="E504" i="4"/>
  <c r="E645" i="4"/>
  <c r="E780" i="4"/>
  <c r="E908" i="4"/>
  <c r="E67" i="4"/>
  <c r="E338" i="4"/>
  <c r="E521" i="4"/>
  <c r="E665" i="4"/>
  <c r="E800" i="4"/>
  <c r="E926" i="4"/>
  <c r="E174" i="4"/>
  <c r="E582" i="4"/>
  <c r="E852" i="4"/>
  <c r="E176" i="4"/>
  <c r="E588" i="4"/>
  <c r="E853" i="4"/>
  <c r="E177" i="4"/>
  <c r="E589" i="4"/>
  <c r="E854" i="4"/>
  <c r="E274" i="4"/>
  <c r="E634" i="4"/>
  <c r="E898" i="4"/>
  <c r="E515" i="4"/>
  <c r="E70" i="4"/>
  <c r="E802" i="4"/>
  <c r="E530" i="4"/>
  <c r="E113" i="4"/>
  <c r="E822" i="4"/>
  <c r="E739" i="4"/>
  <c r="E57" i="4"/>
  <c r="E227" i="4"/>
  <c r="E398" i="4"/>
  <c r="E498" i="4"/>
  <c r="E594" i="4"/>
  <c r="E678" i="4"/>
  <c r="E762" i="4"/>
  <c r="E845" i="4"/>
  <c r="E921" i="4"/>
  <c r="E994" i="4"/>
  <c r="E165" i="4"/>
  <c r="E336" i="4"/>
  <c r="E464" i="4"/>
  <c r="E561" i="4"/>
  <c r="E648" i="4"/>
  <c r="E731" i="4"/>
  <c r="E816" i="4"/>
  <c r="E895" i="4"/>
  <c r="E968" i="4"/>
  <c r="E102" i="4"/>
  <c r="E273" i="4"/>
  <c r="E429" i="4"/>
  <c r="E526" i="4"/>
  <c r="E618" i="4"/>
  <c r="E701" i="4"/>
  <c r="E785" i="4"/>
  <c r="E868" i="4"/>
  <c r="E942" i="4"/>
  <c r="E49" i="4"/>
  <c r="E325" i="4"/>
  <c r="E517" i="4"/>
  <c r="E661" i="4"/>
  <c r="E792" i="4"/>
  <c r="E919" i="4"/>
  <c r="E90" i="4"/>
  <c r="E366" i="4"/>
  <c r="E539" i="4"/>
  <c r="E676" i="4"/>
  <c r="E811" i="4"/>
  <c r="E936" i="4"/>
  <c r="E131" i="4"/>
  <c r="E402" i="4"/>
  <c r="E558" i="4"/>
  <c r="E697" i="4"/>
  <c r="E830" i="4"/>
  <c r="E953" i="4"/>
  <c r="E168" i="4"/>
  <c r="E424" i="4"/>
  <c r="E581" i="4"/>
  <c r="E716" i="4"/>
  <c r="E850" i="4"/>
  <c r="E970" i="4"/>
  <c r="E370" i="4"/>
  <c r="E684" i="4"/>
  <c r="E943" i="4"/>
  <c r="E381" i="4"/>
  <c r="E685" i="4"/>
  <c r="E944" i="4"/>
  <c r="E387" i="4"/>
  <c r="E688" i="4"/>
  <c r="E945" i="4"/>
  <c r="E446" i="4"/>
  <c r="E736" i="4"/>
  <c r="E984" i="4"/>
  <c r="E725" i="4"/>
  <c r="E449" i="4"/>
  <c r="E988" i="4"/>
  <c r="E738" i="4"/>
  <c r="E473" i="4"/>
  <c r="E218" i="4"/>
  <c r="E776" i="4"/>
  <c r="E900" i="4"/>
  <c r="E121" i="4"/>
  <c r="E291" i="4"/>
  <c r="E438" i="4"/>
  <c r="E536" i="4"/>
  <c r="E626" i="4"/>
  <c r="E709" i="4"/>
  <c r="E793" i="4"/>
  <c r="E875" i="4"/>
  <c r="E948" i="4"/>
  <c r="E58" i="4"/>
  <c r="E229" i="4"/>
  <c r="E400" i="4"/>
  <c r="E499" i="4"/>
  <c r="E596" i="4"/>
  <c r="E680" i="4"/>
  <c r="E763" i="4"/>
  <c r="E846" i="4"/>
  <c r="E922" i="4"/>
  <c r="E995" i="4"/>
  <c r="E166" i="4"/>
  <c r="E337" i="4"/>
  <c r="E465" i="4"/>
  <c r="E562" i="4"/>
  <c r="E649" i="4"/>
  <c r="E733" i="4"/>
  <c r="E817" i="4"/>
  <c r="E896" i="4"/>
  <c r="E969" i="4"/>
  <c r="E154" i="4"/>
  <c r="E419" i="4"/>
  <c r="E577" i="4"/>
  <c r="E708" i="4"/>
  <c r="E843" i="4"/>
  <c r="E963" i="4"/>
  <c r="E195" i="4"/>
  <c r="E442" i="4"/>
  <c r="E593" i="4"/>
  <c r="E728" i="4"/>
  <c r="E862" i="4"/>
  <c r="E980" i="4"/>
  <c r="E232" i="4"/>
  <c r="E461" i="4"/>
  <c r="E612" i="4"/>
  <c r="E747" i="4"/>
  <c r="E880" i="4"/>
  <c r="E998" i="4"/>
  <c r="E264" i="4"/>
  <c r="E483" i="4"/>
  <c r="E633" i="4"/>
  <c r="E766" i="4"/>
  <c r="E897" i="4"/>
  <c r="E29" i="4"/>
  <c r="E506" i="4"/>
  <c r="E786" i="4"/>
  <c r="E40" i="4"/>
  <c r="E507" i="4"/>
  <c r="E788" i="4"/>
  <c r="E46" i="4"/>
  <c r="E509" i="4"/>
  <c r="E789" i="4"/>
  <c r="E134" i="4"/>
  <c r="E566" i="4"/>
  <c r="E834" i="4"/>
  <c r="E323" i="4"/>
  <c r="E918" i="4"/>
  <c r="E672" i="4"/>
  <c r="E347" i="4"/>
  <c r="E929" i="4"/>
  <c r="E692" i="4"/>
  <c r="E991" i="4"/>
  <c r="E283" i="4"/>
  <c r="E493" i="4"/>
  <c r="E185" i="4"/>
  <c r="E425" i="4"/>
  <c r="E584" i="4"/>
  <c r="E720" i="4"/>
  <c r="E856" i="4"/>
  <c r="E976" i="4"/>
  <c r="E208" i="4"/>
  <c r="E451" i="4"/>
  <c r="E606" i="4"/>
  <c r="E742" i="4"/>
  <c r="E876" i="4"/>
  <c r="E986" i="4"/>
  <c r="E251" i="4"/>
  <c r="E477" i="4"/>
  <c r="E628" i="4"/>
  <c r="E764" i="4"/>
  <c r="E887" i="4"/>
  <c r="E16" i="4"/>
  <c r="E435" i="4"/>
  <c r="E675" i="4"/>
  <c r="E890" i="4"/>
  <c r="E155" i="4"/>
  <c r="E518" i="4"/>
  <c r="E746" i="4"/>
  <c r="E952" i="4"/>
  <c r="E328" i="4"/>
  <c r="E598" i="4"/>
  <c r="E812" i="4"/>
  <c r="E26" i="4"/>
  <c r="E445" i="4"/>
  <c r="E683" i="4"/>
  <c r="E881" i="4"/>
  <c r="E305" i="4"/>
  <c r="E819" i="4"/>
  <c r="E432" i="4"/>
  <c r="E883" i="4"/>
  <c r="E472" i="4"/>
  <c r="E916" i="4"/>
  <c r="E601" i="4"/>
  <c r="E48" i="4"/>
  <c r="E210" i="4"/>
  <c r="E217" i="4"/>
  <c r="E389" i="4"/>
  <c r="E640" i="4"/>
  <c r="E899" i="4"/>
  <c r="E206" i="4"/>
  <c r="E450" i="4"/>
  <c r="E605" i="4"/>
  <c r="E740" i="4"/>
  <c r="E866" i="4"/>
  <c r="E985" i="4"/>
  <c r="E250" i="4"/>
  <c r="E475" i="4"/>
  <c r="E627" i="4"/>
  <c r="E753" i="4"/>
  <c r="E886" i="4"/>
  <c r="E15" i="4"/>
  <c r="E294" i="4"/>
  <c r="E502" i="4"/>
  <c r="E638" i="4"/>
  <c r="E774" i="4"/>
  <c r="E905" i="4"/>
  <c r="E89" i="4"/>
  <c r="E478" i="4"/>
  <c r="E693" i="4"/>
  <c r="E906" i="4"/>
  <c r="E221" i="4"/>
  <c r="E557" i="4"/>
  <c r="E779" i="4"/>
  <c r="E964" i="4"/>
  <c r="E368" i="4"/>
  <c r="E630" i="4"/>
  <c r="E849" i="4"/>
  <c r="E93" i="4"/>
  <c r="E466" i="4"/>
  <c r="E698" i="4"/>
  <c r="E910" i="4"/>
  <c r="E430" i="4"/>
  <c r="E882" i="4"/>
  <c r="E12" i="4"/>
  <c r="E270" i="4"/>
  <c r="E486" i="4"/>
  <c r="E636" i="4"/>
  <c r="E772" i="4"/>
  <c r="E903" i="4"/>
  <c r="E37" i="4"/>
  <c r="E314" i="4"/>
  <c r="E513" i="4"/>
  <c r="E658" i="4"/>
  <c r="E794" i="4"/>
  <c r="E913" i="4"/>
  <c r="E81" i="4"/>
  <c r="E358" i="4"/>
  <c r="E538" i="4"/>
  <c r="E681" i="4"/>
  <c r="E806" i="4"/>
  <c r="E932" i="4"/>
  <c r="E189" i="4"/>
  <c r="E534" i="4"/>
  <c r="E758" i="4"/>
  <c r="E947" i="4"/>
  <c r="E326" i="4"/>
  <c r="E611" i="4"/>
  <c r="E829" i="4"/>
  <c r="E61" i="4"/>
  <c r="E443" i="4"/>
  <c r="E682" i="4"/>
  <c r="E892" i="4"/>
  <c r="E198" i="4"/>
  <c r="E542" i="4"/>
  <c r="E748" i="4"/>
  <c r="E954" i="4"/>
  <c r="E545" i="4"/>
  <c r="E971" i="4"/>
  <c r="E620" i="4"/>
  <c r="E1001" i="4"/>
  <c r="E654" i="4"/>
  <c r="E200" i="4"/>
  <c r="E768" i="4"/>
  <c r="E590" i="4"/>
  <c r="E602" i="4"/>
  <c r="E673" i="4"/>
  <c r="E757" i="4"/>
  <c r="E902" i="4"/>
  <c r="E491" i="4"/>
  <c r="E838" i="4"/>
  <c r="E349" i="4"/>
  <c r="E99" i="4"/>
  <c r="E377" i="4"/>
  <c r="E547" i="4"/>
  <c r="E689" i="4"/>
  <c r="E825" i="4"/>
  <c r="E939" i="4"/>
  <c r="E144" i="4"/>
  <c r="E414" i="4"/>
  <c r="E573" i="4"/>
  <c r="E710" i="4"/>
  <c r="E836" i="4"/>
  <c r="E959" i="4"/>
  <c r="E187" i="4"/>
  <c r="E441" i="4"/>
  <c r="E597" i="4"/>
  <c r="E722" i="4"/>
  <c r="E858" i="4"/>
  <c r="E249" i="4"/>
  <c r="E616" i="4"/>
  <c r="E884" i="4"/>
  <c r="E293" i="4"/>
  <c r="E637" i="4"/>
  <c r="E904" i="4"/>
  <c r="E315" i="4"/>
  <c r="E660" i="4"/>
  <c r="E923" i="4"/>
  <c r="E360" i="4"/>
  <c r="E777" i="4"/>
  <c r="E125" i="4"/>
  <c r="E662" i="4"/>
  <c r="E993" i="4"/>
  <c r="E541" i="4"/>
  <c r="E924" i="4"/>
  <c r="E408" i="4"/>
  <c r="E818" i="4"/>
  <c r="E467" i="4"/>
  <c r="E241" i="4"/>
  <c r="E915" i="4"/>
  <c r="E724" i="4"/>
  <c r="E485" i="4"/>
  <c r="E178" i="4"/>
  <c r="E737" i="4"/>
  <c r="E990" i="4"/>
  <c r="E456" i="4"/>
  <c r="E840" i="4"/>
  <c r="E962" i="4"/>
  <c r="E313" i="4"/>
  <c r="E657" i="4"/>
  <c r="E912" i="4"/>
  <c r="E357" i="4"/>
  <c r="E669" i="4"/>
  <c r="E931" i="4"/>
  <c r="E401" i="4"/>
  <c r="E691" i="4"/>
  <c r="E951" i="4"/>
  <c r="E390" i="4"/>
  <c r="E810" i="4"/>
  <c r="E296" i="4"/>
  <c r="E694" i="4"/>
  <c r="E91" i="4"/>
  <c r="E579" i="4"/>
  <c r="E937" i="4"/>
  <c r="E505" i="4"/>
  <c r="E832" i="4"/>
  <c r="E619" i="4"/>
  <c r="E306" i="4"/>
  <c r="E972" i="4"/>
  <c r="E756" i="4"/>
  <c r="E528" i="4"/>
  <c r="E434" i="4"/>
  <c r="E871" i="4"/>
  <c r="E253" i="4"/>
  <c r="E706" i="4"/>
  <c r="E956" i="4"/>
  <c r="E707" i="4"/>
  <c r="E413" i="4"/>
  <c r="E699" i="4"/>
  <c r="E958" i="4"/>
  <c r="E440" i="4"/>
  <c r="E721" i="4"/>
  <c r="E977" i="4"/>
  <c r="E453" i="4"/>
  <c r="E744" i="4"/>
  <c r="E978" i="4"/>
  <c r="E555" i="4"/>
  <c r="E861" i="4"/>
  <c r="E421" i="4"/>
  <c r="E797" i="4"/>
  <c r="E197" i="4"/>
  <c r="E715" i="4"/>
  <c r="E982" i="4"/>
  <c r="E600" i="4"/>
  <c r="E938" i="4"/>
  <c r="E717" i="4"/>
  <c r="E546" i="4"/>
  <c r="E242" i="4"/>
  <c r="E888" i="4"/>
  <c r="E702" i="4"/>
  <c r="E790" i="4"/>
  <c r="E72" i="4"/>
  <c r="E624" i="4"/>
  <c r="E635" i="4"/>
  <c r="E841" i="4"/>
  <c r="E411" i="4"/>
  <c r="E568" i="4"/>
  <c r="E934" i="4"/>
  <c r="E523" i="4"/>
  <c r="E14" i="4"/>
  <c r="E585" i="4"/>
  <c r="E123" i="4"/>
  <c r="E712" i="4"/>
  <c r="E259" i="4"/>
  <c r="E935" i="4"/>
  <c r="E644" i="4"/>
  <c r="E422" i="4"/>
  <c r="E966" i="4"/>
  <c r="E734" i="4"/>
  <c r="E749" i="4"/>
  <c r="E820" i="4"/>
  <c r="E69" i="4"/>
  <c r="E656" i="4"/>
  <c r="E808" i="4"/>
  <c r="E609" i="4"/>
  <c r="E771" i="4"/>
  <c r="E770" i="4"/>
  <c r="E809" i="4"/>
  <c r="E571" i="4"/>
  <c r="E80" i="4"/>
  <c r="E690" i="4"/>
  <c r="E145" i="4"/>
  <c r="E795" i="4"/>
  <c r="E285" i="4"/>
  <c r="E979" i="4"/>
  <c r="E713" i="4"/>
  <c r="E482" i="4"/>
  <c r="E133" i="4"/>
  <c r="E781" i="4"/>
  <c r="E911" i="4"/>
  <c r="E112" i="4"/>
  <c r="E345" i="4"/>
  <c r="E859" i="4"/>
  <c r="E872" i="4"/>
  <c r="E282" i="4"/>
  <c r="E281" i="4"/>
  <c r="E674" i="4"/>
  <c r="E78" i="4"/>
  <c r="E752" i="4"/>
  <c r="E186" i="4"/>
  <c r="E804" i="4"/>
  <c r="E417" i="4"/>
  <c r="E848" i="4"/>
  <c r="E592" i="4"/>
  <c r="E50" i="4"/>
  <c r="E879" i="4"/>
  <c r="E664" i="4"/>
  <c r="E304" i="4"/>
  <c r="E983" i="4"/>
  <c r="E110" i="4"/>
  <c r="E433" i="4"/>
  <c r="E666" i="4"/>
  <c r="E346" i="4"/>
  <c r="E889" i="4"/>
  <c r="E494" i="4"/>
  <c r="E410" i="4"/>
  <c r="E82" i="4"/>
  <c r="E667" i="4"/>
  <c r="E537" i="4"/>
  <c r="E514" i="4"/>
  <c r="E114" i="4"/>
  <c r="E459" i="4"/>
  <c r="E520" i="4"/>
  <c r="E614" i="4"/>
  <c r="E470" i="4"/>
  <c r="E974" i="4"/>
  <c r="E928" i="4"/>
  <c r="E961" i="4"/>
  <c r="E782" i="4"/>
  <c r="E549" i="4"/>
  <c r="E550" i="4"/>
  <c r="E496" i="4"/>
  <c r="E497" i="4"/>
  <c r="E729" i="4"/>
  <c r="E651" i="4"/>
  <c r="E653" i="4"/>
  <c r="E409" i="4"/>
  <c r="E454" i="4"/>
  <c r="E569" i="4"/>
  <c r="E803" i="4"/>
  <c r="E773" i="4"/>
  <c r="E574" i="4"/>
  <c r="E625" i="4"/>
  <c r="E578" i="4"/>
  <c r="E765" i="4"/>
  <c r="E865" i="4"/>
  <c r="E718" i="4"/>
  <c r="E801" i="4"/>
  <c r="E603" i="4"/>
  <c r="E2" i="4"/>
  <c r="E570" i="4"/>
  <c r="E146" i="4"/>
  <c r="E418" i="4"/>
  <c r="E35" i="4"/>
  <c r="E835" i="4"/>
  <c r="E826" i="4"/>
  <c r="E608" i="4"/>
  <c r="E643" i="4"/>
  <c r="E844" i="4"/>
  <c r="E798" i="4"/>
  <c r="E999" i="4"/>
  <c r="E755" i="4"/>
  <c r="E870" i="4"/>
  <c r="E553" i="4"/>
  <c r="E153" i="4"/>
  <c r="E531" i="4"/>
  <c r="E930" i="4"/>
  <c r="E827" i="4"/>
  <c r="E907" i="4"/>
  <c r="E104" i="4"/>
  <c r="E927" i="4"/>
  <c r="E873" i="4"/>
  <c r="E122" i="4"/>
  <c r="E878" i="4"/>
  <c r="E920" i="4"/>
  <c r="E240" i="4"/>
  <c r="E955" i="4"/>
  <c r="E642" i="4"/>
  <c r="E378" i="4"/>
  <c r="E960" i="4"/>
  <c r="E157" i="4"/>
  <c r="E652" i="4"/>
  <c r="E975" i="4"/>
  <c r="E5" i="4"/>
  <c r="E488" i="4"/>
  <c r="E996" i="4"/>
  <c r="E262" i="4"/>
  <c r="E1000" i="4"/>
  <c r="E529" i="4"/>
  <c r="E142" i="4"/>
  <c r="E726" i="4"/>
  <c r="E317" i="4"/>
  <c r="E510" i="4"/>
  <c r="E392" i="4"/>
  <c r="E821" i="4"/>
  <c r="E59" i="4"/>
  <c r="E369" i="4"/>
  <c r="E355" i="4"/>
  <c r="E238" i="4"/>
  <c r="E474" i="4"/>
  <c r="E563" i="4"/>
  <c r="E950" i="4"/>
  <c r="E621" i="4"/>
  <c r="E24" i="4"/>
  <c r="E552" i="4"/>
  <c r="E946" i="4"/>
  <c r="E828" i="4"/>
  <c r="E136" i="4"/>
  <c r="E857" i="4"/>
  <c r="E27" i="4"/>
  <c r="E63" i="4"/>
  <c r="E127" i="4"/>
  <c r="E191" i="4"/>
  <c r="E255" i="4"/>
  <c r="E319" i="4"/>
  <c r="E383" i="4"/>
  <c r="E447" i="4"/>
  <c r="E511" i="4"/>
  <c r="E575" i="4"/>
  <c r="E639" i="4"/>
  <c r="E703" i="4"/>
  <c r="E767" i="4"/>
  <c r="E831" i="4"/>
  <c r="E36" i="4"/>
  <c r="E100" i="4"/>
  <c r="E164" i="4"/>
  <c r="E228" i="4"/>
  <c r="E292" i="4"/>
  <c r="E356" i="4"/>
  <c r="E420" i="4"/>
  <c r="E484" i="4"/>
  <c r="E548" i="4"/>
  <c r="E365" i="4"/>
  <c r="E280" i="4"/>
  <c r="E194" i="4"/>
  <c r="E109" i="4"/>
  <c r="E23" i="4"/>
  <c r="E342" i="4"/>
  <c r="E257" i="4"/>
  <c r="E171" i="4"/>
  <c r="E86" i="4"/>
  <c r="E997" i="4"/>
  <c r="E933" i="4"/>
  <c r="E869" i="4"/>
  <c r="E796" i="4"/>
  <c r="E723" i="4"/>
  <c r="E650" i="4"/>
  <c r="E576" i="4"/>
  <c r="E490" i="4"/>
  <c r="E405" i="4"/>
  <c r="E320" i="4"/>
  <c r="E234" i="4"/>
  <c r="E149" i="4"/>
  <c r="E64" i="4"/>
  <c r="E382" i="4"/>
  <c r="E297" i="4"/>
  <c r="E211" i="4"/>
  <c r="E126" i="4"/>
  <c r="E41" i="4"/>
  <c r="E864" i="4"/>
  <c r="E13" i="4"/>
  <c r="E79" i="4"/>
  <c r="E143" i="4"/>
  <c r="E207" i="4"/>
  <c r="E271" i="4"/>
  <c r="E335" i="4"/>
  <c r="E399" i="4"/>
  <c r="E463" i="4"/>
  <c r="E527" i="4"/>
  <c r="E591" i="4"/>
  <c r="E655" i="4"/>
  <c r="E719" i="4"/>
  <c r="E783" i="4"/>
  <c r="E847" i="4"/>
  <c r="E52" i="4"/>
  <c r="E116" i="4"/>
  <c r="E180" i="4"/>
  <c r="E244" i="4"/>
  <c r="E308" i="4"/>
  <c r="E372" i="4"/>
  <c r="E436" i="4"/>
  <c r="E500" i="4"/>
  <c r="E564" i="4"/>
  <c r="E344" i="4"/>
  <c r="E258" i="4"/>
  <c r="E173" i="4"/>
  <c r="E88" i="4"/>
  <c r="E406" i="4"/>
  <c r="E321" i="4"/>
  <c r="E235" i="4"/>
  <c r="E150" i="4"/>
  <c r="E65" i="4"/>
  <c r="E981" i="4"/>
  <c r="E917" i="4"/>
  <c r="E851" i="4"/>
  <c r="E778" i="4"/>
  <c r="E705" i="4"/>
  <c r="E632" i="4"/>
  <c r="E554" i="4"/>
  <c r="E469" i="4"/>
  <c r="E384" i="4"/>
  <c r="E298" i="4"/>
  <c r="E213" i="4"/>
  <c r="E128" i="4"/>
  <c r="E42" i="4"/>
  <c r="E361" i="4"/>
  <c r="E275" i="4"/>
  <c r="E190" i="4"/>
  <c r="E105" i="4"/>
  <c r="E17" i="4"/>
  <c r="E704" i="4"/>
  <c r="E3" i="4"/>
  <c r="E39" i="4"/>
  <c r="E103" i="4"/>
  <c r="E167" i="4"/>
  <c r="E231" i="4"/>
  <c r="E295" i="4"/>
  <c r="E359" i="4"/>
  <c r="E423" i="4"/>
  <c r="E487" i="4"/>
  <c r="E551" i="4"/>
  <c r="E615" i="4"/>
  <c r="E679" i="4"/>
  <c r="E743" i="4"/>
  <c r="E807" i="4"/>
  <c r="E9" i="4"/>
  <c r="E76" i="4"/>
  <c r="E140" i="4"/>
  <c r="E204" i="4"/>
  <c r="E268" i="4"/>
  <c r="E332" i="4"/>
  <c r="E396" i="4"/>
  <c r="E460" i="4"/>
  <c r="E524" i="4"/>
  <c r="E397" i="4"/>
  <c r="E312" i="4"/>
  <c r="E226" i="4"/>
  <c r="E141" i="4"/>
  <c r="E56" i="4"/>
  <c r="E374" i="4"/>
  <c r="E289" i="4"/>
  <c r="E203" i="4"/>
  <c r="E118" i="4"/>
  <c r="E33" i="4"/>
  <c r="E957" i="4"/>
  <c r="E893" i="4"/>
  <c r="E824" i="4"/>
  <c r="E750" i="4"/>
  <c r="E677" i="4"/>
  <c r="E604" i="4"/>
  <c r="E522" i="4"/>
  <c r="E437" i="4"/>
  <c r="E352" i="4"/>
  <c r="E266" i="4"/>
  <c r="E181" i="4"/>
  <c r="E96" i="4"/>
  <c r="E7" i="4"/>
  <c r="E329" i="4"/>
  <c r="E243" i="4"/>
  <c r="E158" i="4"/>
  <c r="E73" i="4"/>
  <c r="E230" i="4"/>
  <c r="E11" i="4"/>
  <c r="E87" i="4"/>
  <c r="E183" i="4"/>
  <c r="E287" i="4"/>
  <c r="E391" i="4"/>
  <c r="E495" i="4"/>
  <c r="E599" i="4"/>
  <c r="E695" i="4"/>
  <c r="E799" i="4"/>
  <c r="E44" i="4"/>
  <c r="E148" i="4"/>
  <c r="E252" i="4"/>
  <c r="E348" i="4"/>
  <c r="E452" i="4"/>
  <c r="E556" i="4"/>
  <c r="E301" i="4"/>
  <c r="E162" i="4"/>
  <c r="E34" i="4"/>
  <c r="E299" i="4"/>
  <c r="E161" i="4"/>
  <c r="E21" i="4"/>
  <c r="E909" i="4"/>
  <c r="E805" i="4"/>
  <c r="E686" i="4"/>
  <c r="E565" i="4"/>
  <c r="E426" i="4"/>
  <c r="E288" i="4"/>
  <c r="E160" i="4"/>
  <c r="E20" i="4"/>
  <c r="E286" i="4"/>
  <c r="E147" i="4"/>
  <c r="E6" i="4"/>
  <c r="E239" i="4"/>
  <c r="E543" i="4"/>
  <c r="E751" i="4"/>
  <c r="E92" i="4"/>
  <c r="E404" i="4"/>
  <c r="E237" i="4"/>
  <c r="E225" i="4"/>
  <c r="E860" i="4"/>
  <c r="E501" i="4"/>
  <c r="E85" i="4"/>
  <c r="E83" i="4"/>
  <c r="E247" i="4"/>
  <c r="E559" i="4"/>
  <c r="E863" i="4"/>
  <c r="E316" i="4"/>
  <c r="E354" i="4"/>
  <c r="E353" i="4"/>
  <c r="E949" i="4"/>
  <c r="E613" i="4"/>
  <c r="E202" i="4"/>
  <c r="E201" i="4"/>
  <c r="E55" i="4"/>
  <c r="E671" i="4"/>
  <c r="E324" i="4"/>
  <c r="E331" i="4"/>
  <c r="E595" i="4"/>
  <c r="E318" i="4"/>
  <c r="E375" i="4"/>
  <c r="E184" i="4"/>
  <c r="E309" i="4"/>
  <c r="E19" i="4"/>
  <c r="E95" i="4"/>
  <c r="E199" i="4"/>
  <c r="E303" i="4"/>
  <c r="E407" i="4"/>
  <c r="E503" i="4"/>
  <c r="E607" i="4"/>
  <c r="E711" i="4"/>
  <c r="E815" i="4"/>
  <c r="E60" i="4"/>
  <c r="E156" i="4"/>
  <c r="E260" i="4"/>
  <c r="E364" i="4"/>
  <c r="E468" i="4"/>
  <c r="E572" i="4"/>
  <c r="E290" i="4"/>
  <c r="E152" i="4"/>
  <c r="E10" i="4"/>
  <c r="E278" i="4"/>
  <c r="E139" i="4"/>
  <c r="E8" i="4"/>
  <c r="E901" i="4"/>
  <c r="E787" i="4"/>
  <c r="E668" i="4"/>
  <c r="E544" i="4"/>
  <c r="E416" i="4"/>
  <c r="E277" i="4"/>
  <c r="E138" i="4"/>
  <c r="E403" i="4"/>
  <c r="E265" i="4"/>
  <c r="E137" i="4"/>
  <c r="E159" i="4"/>
  <c r="E367" i="4"/>
  <c r="E567" i="4"/>
  <c r="E775" i="4"/>
  <c r="E18" i="4"/>
  <c r="E220" i="4"/>
  <c r="E428" i="4"/>
  <c r="E333" i="4"/>
  <c r="E66" i="4"/>
  <c r="E193" i="4"/>
  <c r="E54" i="4"/>
  <c r="E833" i="4"/>
  <c r="E714" i="4"/>
  <c r="E330" i="4"/>
  <c r="E53" i="4"/>
  <c r="E179" i="4"/>
  <c r="E51" i="4"/>
  <c r="E175" i="4"/>
  <c r="E479" i="4"/>
  <c r="E687" i="4"/>
  <c r="E28" i="4"/>
  <c r="E236" i="4"/>
  <c r="E540" i="4"/>
  <c r="E45" i="4"/>
  <c r="E182" i="4"/>
  <c r="E925" i="4"/>
  <c r="E696" i="4"/>
  <c r="E170" i="4"/>
  <c r="E307" i="4"/>
  <c r="E30" i="4"/>
  <c r="E4" i="4"/>
  <c r="E111" i="4"/>
  <c r="E215" i="4"/>
  <c r="E311" i="4"/>
  <c r="E415" i="4"/>
  <c r="E519" i="4"/>
  <c r="E623" i="4"/>
  <c r="E727" i="4"/>
  <c r="E823" i="4"/>
  <c r="E68" i="4"/>
  <c r="E172" i="4"/>
  <c r="E276" i="4"/>
  <c r="E380" i="4"/>
  <c r="E476" i="4"/>
  <c r="E580" i="4"/>
  <c r="E269" i="4"/>
  <c r="E130" i="4"/>
  <c r="E395" i="4"/>
  <c r="E267" i="4"/>
  <c r="E129" i="4"/>
  <c r="E989" i="4"/>
  <c r="E885" i="4"/>
  <c r="E769" i="4"/>
  <c r="E659" i="4"/>
  <c r="E533" i="4"/>
  <c r="E394" i="4"/>
  <c r="E256" i="4"/>
  <c r="E117" i="4"/>
  <c r="E393" i="4"/>
  <c r="E254" i="4"/>
  <c r="E115" i="4"/>
  <c r="E31" i="4"/>
  <c r="E343" i="4"/>
  <c r="E647" i="4"/>
  <c r="E196" i="4"/>
  <c r="E508" i="4"/>
  <c r="E98" i="4"/>
  <c r="E97" i="4"/>
  <c r="E741" i="4"/>
  <c r="E362" i="4"/>
  <c r="E350" i="4"/>
  <c r="E151" i="4"/>
  <c r="E455" i="4"/>
  <c r="E759" i="4"/>
  <c r="E212" i="4"/>
  <c r="E516" i="4"/>
  <c r="E77" i="4"/>
  <c r="E214" i="4"/>
  <c r="E842" i="4"/>
  <c r="E480" i="4"/>
  <c r="E74" i="4"/>
  <c r="E62" i="4"/>
  <c r="E471" i="4"/>
  <c r="E124" i="4"/>
  <c r="E205" i="4"/>
  <c r="E941" i="4"/>
  <c r="E192" i="4"/>
  <c r="E71" i="4"/>
  <c r="E444" i="4"/>
  <c r="E586" i="4"/>
  <c r="E22" i="4"/>
  <c r="E119" i="4"/>
  <c r="E223" i="4"/>
  <c r="E327" i="4"/>
  <c r="E431" i="4"/>
  <c r="E535" i="4"/>
  <c r="E631" i="4"/>
  <c r="E735" i="4"/>
  <c r="E839" i="4"/>
  <c r="E84" i="4"/>
  <c r="E188" i="4"/>
  <c r="E284" i="4"/>
  <c r="E388" i="4"/>
  <c r="E492" i="4"/>
  <c r="E386" i="4"/>
  <c r="E248" i="4"/>
  <c r="E120" i="4"/>
  <c r="E385" i="4"/>
  <c r="E246" i="4"/>
  <c r="E107" i="4"/>
  <c r="E973" i="4"/>
  <c r="E877" i="4"/>
  <c r="E760" i="4"/>
  <c r="E641" i="4"/>
  <c r="E512" i="4"/>
  <c r="E373" i="4"/>
  <c r="E245" i="4"/>
  <c r="E106" i="4"/>
  <c r="E371" i="4"/>
  <c r="E233" i="4"/>
  <c r="E94" i="4"/>
  <c r="E135" i="4"/>
  <c r="E439" i="4"/>
  <c r="E855" i="4"/>
  <c r="E300" i="4"/>
  <c r="E376" i="4"/>
  <c r="E363" i="4"/>
  <c r="E965" i="4"/>
  <c r="E622" i="4"/>
  <c r="E224" i="4"/>
  <c r="E222" i="4"/>
  <c r="E47" i="4"/>
  <c r="E351" i="4"/>
  <c r="E663" i="4"/>
  <c r="E108" i="4"/>
  <c r="E412" i="4"/>
  <c r="E216" i="4"/>
  <c r="E75" i="4"/>
  <c r="E732" i="4"/>
  <c r="E341" i="4"/>
  <c r="E339" i="4"/>
  <c r="E263" i="4"/>
  <c r="E532" i="4"/>
  <c r="E458" i="4"/>
  <c r="E279" i="4"/>
  <c r="E583" i="4"/>
  <c r="E791" i="4"/>
  <c r="E132" i="4"/>
  <c r="E340" i="4"/>
  <c r="E322" i="4"/>
  <c r="E310" i="4"/>
  <c r="E43" i="4"/>
  <c r="E814" i="4"/>
  <c r="E448" i="4"/>
  <c r="E32" i="4"/>
  <c r="E169" i="4"/>
  <c r="F9" i="3"/>
  <c r="F133" i="3"/>
  <c r="F764" i="3"/>
  <c r="F185" i="3"/>
  <c r="F900" i="3"/>
  <c r="F145" i="3"/>
  <c r="F372" i="3"/>
  <c r="F429" i="3"/>
  <c r="F602" i="3"/>
  <c r="F708" i="3"/>
  <c r="F548" i="3"/>
  <c r="F865" i="3"/>
  <c r="F981" i="3"/>
  <c r="F322" i="3"/>
  <c r="F659" i="3"/>
  <c r="F854" i="3"/>
  <c r="F769" i="3"/>
  <c r="F699" i="3"/>
  <c r="F667" i="3"/>
  <c r="F447" i="3"/>
  <c r="F26" i="3"/>
  <c r="F484" i="3"/>
  <c r="F745" i="3"/>
  <c r="F991" i="3"/>
  <c r="F454" i="3"/>
  <c r="F718" i="3"/>
  <c r="F294" i="3"/>
  <c r="F622" i="3"/>
  <c r="F885" i="3"/>
  <c r="F895" i="3"/>
  <c r="F977" i="3"/>
  <c r="F501" i="3"/>
  <c r="F930" i="3"/>
  <c r="F867" i="3"/>
  <c r="F801" i="3"/>
  <c r="F60" i="3"/>
  <c r="F252" i="3"/>
  <c r="F85" i="3"/>
  <c r="F521" i="3"/>
  <c r="F777" i="3"/>
  <c r="F31" i="3"/>
  <c r="F489" i="3"/>
  <c r="F748" i="3"/>
  <c r="F358" i="3"/>
  <c r="F654" i="3"/>
  <c r="F910" i="3"/>
  <c r="F723" i="3"/>
  <c r="F861" i="3"/>
  <c r="F273" i="3"/>
  <c r="F137" i="3"/>
  <c r="F42" i="3"/>
  <c r="F949" i="3"/>
  <c r="F892" i="3"/>
  <c r="F934" i="3"/>
  <c r="F154" i="3"/>
  <c r="F549" i="3"/>
  <c r="F813" i="3"/>
  <c r="F93" i="3"/>
  <c r="F523" i="3"/>
  <c r="F781" i="3"/>
  <c r="F407" i="3"/>
  <c r="F691" i="3"/>
  <c r="F938" i="3"/>
  <c r="F77" i="3"/>
  <c r="F825" i="3"/>
  <c r="F942" i="3"/>
  <c r="F645" i="3"/>
  <c r="F569" i="3"/>
  <c r="F499" i="3"/>
  <c r="F258" i="3"/>
  <c r="F767" i="3"/>
  <c r="F401" i="3"/>
  <c r="F678" i="3"/>
  <c r="F932" i="3"/>
  <c r="F343" i="3"/>
  <c r="F650" i="3"/>
  <c r="F180" i="3"/>
  <c r="F557" i="3"/>
  <c r="F818" i="3"/>
  <c r="F562" i="3"/>
  <c r="F277" i="3"/>
  <c r="F52" i="3"/>
  <c r="F230" i="3"/>
  <c r="F842" i="3"/>
  <c r="F553" i="3"/>
  <c r="F458" i="3"/>
  <c r="F970" i="3"/>
  <c r="F422" i="3"/>
  <c r="F444" i="3"/>
  <c r="F244" i="3"/>
  <c r="F279" i="3"/>
  <c r="F874" i="3"/>
  <c r="F586" i="3"/>
  <c r="F495" i="3"/>
  <c r="F996" i="3"/>
  <c r="F757" i="3"/>
  <c r="F598" i="3"/>
  <c r="F605" i="3"/>
  <c r="F450" i="3"/>
  <c r="F959" i="3"/>
  <c r="F684" i="3"/>
  <c r="F594" i="3"/>
  <c r="F742" i="3"/>
  <c r="F956" i="3"/>
  <c r="F577" i="3"/>
  <c r="F329" i="3"/>
  <c r="F974" i="3"/>
  <c r="F479" i="3"/>
  <c r="F465" i="3"/>
  <c r="F647" i="3"/>
  <c r="F286" i="3"/>
  <c r="F103" i="3"/>
  <c r="F788" i="3"/>
  <c r="F964" i="3"/>
  <c r="F596" i="3"/>
  <c r="F841" i="3"/>
  <c r="F414" i="3"/>
  <c r="F821" i="3"/>
  <c r="F669" i="3"/>
  <c r="F715" i="3"/>
  <c r="F237" i="3"/>
  <c r="F642" i="3"/>
  <c r="F635" i="3"/>
  <c r="F994" i="3"/>
  <c r="F630" i="3"/>
  <c r="F727" i="3"/>
  <c r="F196" i="3"/>
  <c r="F611" i="3"/>
  <c r="F234" i="3"/>
  <c r="F751" i="3"/>
  <c r="F927" i="3"/>
  <c r="F921" i="3"/>
  <c r="F319" i="3"/>
  <c r="F878" i="3"/>
  <c r="F475" i="3"/>
  <c r="F951" i="3"/>
  <c r="F572" i="3"/>
  <c r="F503" i="3"/>
  <c r="F188" i="3"/>
  <c r="F4" i="3"/>
  <c r="F815" i="3"/>
  <c r="F538" i="3"/>
  <c r="F887" i="3"/>
  <c r="F732" i="3"/>
  <c r="F513" i="3"/>
  <c r="F362" i="3"/>
  <c r="F805" i="3"/>
  <c r="F337" i="3"/>
  <c r="F34" i="3"/>
  <c r="F794" i="3"/>
  <c r="F675" i="3"/>
  <c r="F985" i="3"/>
  <c r="F471" i="3"/>
  <c r="F973" i="3"/>
  <c r="F909" i="3"/>
  <c r="F618" i="3"/>
  <c r="F721" i="3"/>
  <c r="F694" i="3"/>
  <c r="F529" i="3"/>
  <c r="F869" i="3"/>
  <c r="F301" i="3"/>
  <c r="F405" i="3"/>
  <c r="F796" i="3"/>
  <c r="F213" i="3"/>
  <c r="F837" i="3"/>
  <c r="F205" i="3"/>
  <c r="F671" i="3"/>
  <c r="F581" i="3"/>
  <c r="F380" i="3"/>
  <c r="F906" i="3"/>
  <c r="F953" i="3"/>
  <c r="F82" i="3"/>
  <c r="F545" i="3"/>
  <c r="F621" i="3"/>
  <c r="F998" i="3"/>
  <c r="F791" i="3"/>
  <c r="F365" i="3"/>
  <c r="F508" i="3"/>
  <c r="F845" i="3"/>
  <c r="F476" i="3"/>
  <c r="F316" i="3"/>
  <c r="F772" i="3"/>
  <c r="F162" i="3"/>
  <c r="F917" i="3"/>
  <c r="F988" i="3"/>
  <c r="F809" i="3"/>
  <c r="F613" i="3"/>
  <c r="F393" i="3"/>
  <c r="F17" i="3"/>
  <c r="F941" i="3"/>
  <c r="F755" i="3"/>
  <c r="F559" i="3"/>
  <c r="F298" i="3"/>
  <c r="F703" i="3"/>
  <c r="F525" i="3"/>
  <c r="F740" i="3"/>
  <c r="F574" i="3"/>
  <c r="F913" i="3"/>
  <c r="F966" i="3"/>
  <c r="F785" i="3"/>
  <c r="F589" i="3"/>
  <c r="F350" i="3"/>
  <c r="F919" i="3"/>
  <c r="F731" i="3"/>
  <c r="F535" i="3"/>
  <c r="F255" i="3"/>
  <c r="F129" i="3"/>
  <c r="F111" i="3"/>
  <c r="F626" i="3"/>
  <c r="F924" i="3"/>
  <c r="F735" i="3"/>
  <c r="F540" i="3"/>
  <c r="F265" i="3"/>
  <c r="F877" i="3"/>
  <c r="F682" i="3"/>
  <c r="F486" i="3"/>
  <c r="F159" i="3"/>
  <c r="F532" i="3"/>
  <c r="F833" i="3"/>
  <c r="F492" i="3"/>
  <c r="F852" i="3"/>
  <c r="F585" i="3"/>
  <c r="F57" i="3"/>
  <c r="F759" i="3"/>
  <c r="F467" i="3"/>
  <c r="F828" i="3"/>
  <c r="F511" i="3"/>
  <c r="F5" i="3"/>
  <c r="F686" i="3"/>
  <c r="F308" i="3"/>
  <c r="F779" i="3"/>
  <c r="F426" i="3"/>
  <c r="F695" i="3"/>
  <c r="F711" i="3"/>
  <c r="F119" i="3"/>
  <c r="F633" i="3"/>
  <c r="F850" i="3"/>
  <c r="F662" i="3"/>
  <c r="F68" i="3"/>
  <c r="F609" i="3"/>
  <c r="F638" i="3"/>
  <c r="F983" i="3"/>
  <c r="F462" i="3"/>
  <c r="F386" i="3"/>
  <c r="F565" i="3"/>
  <c r="F962" i="3"/>
  <c r="F383" i="3"/>
  <c r="F516" i="3"/>
  <c r="F341" i="3"/>
  <c r="F436" i="3"/>
  <c r="F210" i="3"/>
  <c r="F221" i="3"/>
  <c r="F108" i="3"/>
  <c r="F889" i="3"/>
  <c r="F170" i="3"/>
  <c r="F945" i="3"/>
  <c r="F858" i="3"/>
  <c r="F830" i="3"/>
  <c r="F706" i="3"/>
  <c r="F898" i="3"/>
  <c r="F943" i="3"/>
  <c r="F855" i="3"/>
  <c r="F758" i="3"/>
  <c r="F660" i="3"/>
  <c r="F563" i="3"/>
  <c r="F466" i="3"/>
  <c r="F305" i="3"/>
  <c r="F116" i="3"/>
  <c r="F961" i="3"/>
  <c r="F876" i="3"/>
  <c r="F778" i="3"/>
  <c r="F681" i="3"/>
  <c r="F583" i="3"/>
  <c r="F485" i="3"/>
  <c r="F340" i="3"/>
  <c r="F157" i="3"/>
  <c r="F22" i="3"/>
  <c r="F86" i="3"/>
  <c r="F150" i="3"/>
  <c r="F214" i="3"/>
  <c r="F56" i="3"/>
  <c r="F120" i="3"/>
  <c r="F184" i="3"/>
  <c r="F248" i="3"/>
  <c r="F312" i="3"/>
  <c r="F376" i="3"/>
  <c r="F440" i="3"/>
  <c r="F504" i="3"/>
  <c r="F568" i="3"/>
  <c r="F632" i="3"/>
  <c r="F696" i="3"/>
  <c r="F760" i="3"/>
  <c r="F824" i="3"/>
  <c r="F11" i="3"/>
  <c r="F75" i="3"/>
  <c r="F139" i="3"/>
  <c r="F203" i="3"/>
  <c r="F267" i="3"/>
  <c r="F331" i="3"/>
  <c r="F395" i="3"/>
  <c r="F459" i="3"/>
  <c r="F100" i="3"/>
  <c r="F202" i="3"/>
  <c r="F292" i="3"/>
  <c r="F377" i="3"/>
  <c r="F25" i="3"/>
  <c r="F127" i="3"/>
  <c r="F229" i="3"/>
  <c r="F314" i="3"/>
  <c r="F399" i="3"/>
  <c r="F482" i="3"/>
  <c r="F555" i="3"/>
  <c r="F628" i="3"/>
  <c r="F701" i="3"/>
  <c r="F774" i="3"/>
  <c r="F847" i="3"/>
  <c r="F915" i="3"/>
  <c r="F979" i="3"/>
  <c r="F66" i="3"/>
  <c r="F169" i="3"/>
  <c r="F263" i="3"/>
  <c r="F349" i="3"/>
  <c r="F434" i="3"/>
  <c r="F84" i="3"/>
  <c r="F186" i="3"/>
  <c r="F278" i="3"/>
  <c r="F364" i="3"/>
  <c r="F449" i="3"/>
  <c r="F524" i="3"/>
  <c r="F597" i="3"/>
  <c r="F670" i="3"/>
  <c r="F743" i="3"/>
  <c r="F817" i="3"/>
  <c r="F888" i="3"/>
  <c r="F952" i="3"/>
  <c r="F990" i="3"/>
  <c r="F905" i="3"/>
  <c r="F812" i="3"/>
  <c r="F714" i="3"/>
  <c r="F617" i="3"/>
  <c r="F519" i="3"/>
  <c r="F397" i="3"/>
  <c r="F226" i="3"/>
  <c r="F21" i="3"/>
  <c r="F925" i="3"/>
  <c r="F834" i="3"/>
  <c r="F737" i="3"/>
  <c r="F639" i="3"/>
  <c r="F541" i="3"/>
  <c r="F437" i="3"/>
  <c r="F266" i="3"/>
  <c r="F69" i="3"/>
  <c r="F902" i="3"/>
  <c r="F804" i="3"/>
  <c r="F997" i="3"/>
  <c r="F911" i="3"/>
  <c r="F819" i="3"/>
  <c r="F722" i="3"/>
  <c r="F623" i="3"/>
  <c r="F526" i="3"/>
  <c r="F412" i="3"/>
  <c r="F241" i="3"/>
  <c r="F39" i="3"/>
  <c r="F929" i="3"/>
  <c r="F839" i="3"/>
  <c r="F741" i="3"/>
  <c r="F644" i="3"/>
  <c r="F547" i="3"/>
  <c r="F446" i="3"/>
  <c r="F276" i="3"/>
  <c r="F81" i="3"/>
  <c r="F46" i="3"/>
  <c r="F110" i="3"/>
  <c r="F174" i="3"/>
  <c r="F16" i="3"/>
  <c r="F80" i="3"/>
  <c r="F144" i="3"/>
  <c r="F208" i="3"/>
  <c r="F272" i="3"/>
  <c r="F336" i="3"/>
  <c r="F400" i="3"/>
  <c r="F464" i="3"/>
  <c r="F528" i="3"/>
  <c r="F592" i="3"/>
  <c r="F656" i="3"/>
  <c r="F720" i="3"/>
  <c r="F784" i="3"/>
  <c r="F848" i="3"/>
  <c r="F35" i="3"/>
  <c r="F99" i="3"/>
  <c r="F163" i="3"/>
  <c r="F227" i="3"/>
  <c r="F291" i="3"/>
  <c r="F355" i="3"/>
  <c r="F419" i="3"/>
  <c r="F36" i="3"/>
  <c r="F138" i="3"/>
  <c r="F238" i="3"/>
  <c r="F324" i="3"/>
  <c r="F409" i="3"/>
  <c r="F63" i="3"/>
  <c r="F165" i="3"/>
  <c r="F261" i="3"/>
  <c r="F346" i="3"/>
  <c r="F431" i="3"/>
  <c r="F509" i="3"/>
  <c r="F582" i="3"/>
  <c r="F655" i="3"/>
  <c r="F729" i="3"/>
  <c r="F802" i="3"/>
  <c r="F875" i="3"/>
  <c r="F939" i="3"/>
  <c r="F2" i="3"/>
  <c r="F105" i="3"/>
  <c r="F207" i="3"/>
  <c r="F295" i="3"/>
  <c r="F381" i="3"/>
  <c r="F20" i="3"/>
  <c r="F122" i="3"/>
  <c r="F225" i="3"/>
  <c r="F310" i="3"/>
  <c r="F396" i="3"/>
  <c r="F478" i="3"/>
  <c r="F551" i="3"/>
  <c r="F625" i="3"/>
  <c r="F698" i="3"/>
  <c r="F771" i="3"/>
  <c r="F844" i="3"/>
  <c r="F912" i="3"/>
  <c r="F976" i="3"/>
  <c r="F958" i="3"/>
  <c r="F873" i="3"/>
  <c r="F775" i="3"/>
  <c r="F677" i="3"/>
  <c r="F580" i="3"/>
  <c r="F483" i="3"/>
  <c r="F333" i="3"/>
  <c r="F149" i="3"/>
  <c r="F978" i="3"/>
  <c r="F893" i="3"/>
  <c r="F797" i="3"/>
  <c r="F700" i="3"/>
  <c r="F603" i="3"/>
  <c r="F505" i="3"/>
  <c r="F373" i="3"/>
  <c r="F197" i="3"/>
  <c r="F965" i="3"/>
  <c r="F879" i="3"/>
  <c r="F782" i="3"/>
  <c r="F685" i="3"/>
  <c r="F587" i="3"/>
  <c r="F490" i="3"/>
  <c r="F348" i="3"/>
  <c r="F167" i="3"/>
  <c r="F982" i="3"/>
  <c r="F897" i="3"/>
  <c r="F803" i="3"/>
  <c r="F705" i="3"/>
  <c r="F607" i="3"/>
  <c r="F510" i="3"/>
  <c r="F382" i="3"/>
  <c r="F209" i="3"/>
  <c r="F6" i="3"/>
  <c r="F70" i="3"/>
  <c r="F134" i="3"/>
  <c r="F198" i="3"/>
  <c r="F40" i="3"/>
  <c r="F104" i="3"/>
  <c r="F168" i="3"/>
  <c r="F232" i="3"/>
  <c r="F296" i="3"/>
  <c r="F360" i="3"/>
  <c r="F424" i="3"/>
  <c r="F488" i="3"/>
  <c r="F552" i="3"/>
  <c r="F616" i="3"/>
  <c r="F680" i="3"/>
  <c r="F744" i="3"/>
  <c r="F808" i="3"/>
  <c r="F872" i="3"/>
  <c r="F59" i="3"/>
  <c r="F123" i="3"/>
  <c r="F187" i="3"/>
  <c r="F251" i="3"/>
  <c r="F315" i="3"/>
  <c r="F379" i="3"/>
  <c r="F443" i="3"/>
  <c r="F74" i="3"/>
  <c r="F177" i="3"/>
  <c r="F270" i="3"/>
  <c r="F356" i="3"/>
  <c r="F441" i="3"/>
  <c r="F101" i="3"/>
  <c r="F204" i="3"/>
  <c r="F293" i="3"/>
  <c r="F378" i="3"/>
  <c r="F463" i="3"/>
  <c r="F537" i="3"/>
  <c r="F610" i="3"/>
  <c r="F683" i="3"/>
  <c r="F756" i="3"/>
  <c r="F829" i="3"/>
  <c r="F899" i="3"/>
  <c r="F963" i="3"/>
  <c r="F41" i="3"/>
  <c r="F143" i="3"/>
  <c r="F242" i="3"/>
  <c r="F327" i="3"/>
  <c r="F413" i="3"/>
  <c r="F58" i="3"/>
  <c r="F161" i="3"/>
  <c r="F257" i="3"/>
  <c r="F342" i="3"/>
  <c r="F428" i="3"/>
  <c r="F506" i="3"/>
  <c r="F579" i="3"/>
  <c r="F652" i="3"/>
  <c r="F725" i="3"/>
  <c r="F798" i="3"/>
  <c r="F871" i="3"/>
  <c r="F936" i="3"/>
  <c r="F1000" i="3"/>
  <c r="F926" i="3"/>
  <c r="F836" i="3"/>
  <c r="F739" i="3"/>
  <c r="F641" i="3"/>
  <c r="F543" i="3"/>
  <c r="F439" i="3"/>
  <c r="F269" i="3"/>
  <c r="F73" i="3"/>
  <c r="F946" i="3"/>
  <c r="F859" i="3"/>
  <c r="F761" i="3"/>
  <c r="F663" i="3"/>
  <c r="F566" i="3"/>
  <c r="F468" i="3"/>
  <c r="F309" i="3"/>
  <c r="F121" i="3"/>
  <c r="F881" i="3"/>
  <c r="F975" i="3"/>
  <c r="F831" i="3"/>
  <c r="F673" i="3"/>
  <c r="F514" i="3"/>
  <c r="F284" i="3"/>
  <c r="F993" i="3"/>
  <c r="F851" i="3"/>
  <c r="F693" i="3"/>
  <c r="F534" i="3"/>
  <c r="F318" i="3"/>
  <c r="F29" i="3"/>
  <c r="F102" i="3"/>
  <c r="F206" i="3"/>
  <c r="F88" i="3"/>
  <c r="F192" i="3"/>
  <c r="F288" i="3"/>
  <c r="F392" i="3"/>
  <c r="F496" i="3"/>
  <c r="F954" i="3"/>
  <c r="F806" i="3"/>
  <c r="F649" i="3"/>
  <c r="F502" i="3"/>
  <c r="F262" i="3"/>
  <c r="F972" i="3"/>
  <c r="F827" i="3"/>
  <c r="F668" i="3"/>
  <c r="F522" i="3"/>
  <c r="F297" i="3"/>
  <c r="F14" i="3"/>
  <c r="F118" i="3"/>
  <c r="F222" i="3"/>
  <c r="F96" i="3"/>
  <c r="F200" i="3"/>
  <c r="F304" i="3"/>
  <c r="F408" i="3"/>
  <c r="F512" i="3"/>
  <c r="F608" i="3"/>
  <c r="F712" i="3"/>
  <c r="F816" i="3"/>
  <c r="F43" i="3"/>
  <c r="F147" i="3"/>
  <c r="F243" i="3"/>
  <c r="F347" i="3"/>
  <c r="F451" i="3"/>
  <c r="F151" i="3"/>
  <c r="F302" i="3"/>
  <c r="F430" i="3"/>
  <c r="F153" i="3"/>
  <c r="F303" i="3"/>
  <c r="F442" i="3"/>
  <c r="F564" i="3"/>
  <c r="F674" i="3"/>
  <c r="F793" i="3"/>
  <c r="F907" i="3"/>
  <c r="F15" i="3"/>
  <c r="F181" i="3"/>
  <c r="F317" i="3"/>
  <c r="F7" i="3"/>
  <c r="F173" i="3"/>
  <c r="F321" i="3"/>
  <c r="F460" i="3"/>
  <c r="F570" i="3"/>
  <c r="F689" i="3"/>
  <c r="F807" i="3"/>
  <c r="F920" i="3"/>
  <c r="F980" i="3"/>
  <c r="F849" i="3"/>
  <c r="F690" i="3"/>
  <c r="F531" i="3"/>
  <c r="F311" i="3"/>
  <c r="F999" i="3"/>
  <c r="F870" i="3"/>
  <c r="F713" i="3"/>
  <c r="F554" i="3"/>
  <c r="F351" i="3"/>
  <c r="F44" i="3"/>
  <c r="F933" i="3"/>
  <c r="F795" i="3"/>
  <c r="F636" i="3"/>
  <c r="F477" i="3"/>
  <c r="F218" i="3"/>
  <c r="F950" i="3"/>
  <c r="F814" i="3"/>
  <c r="F657" i="3"/>
  <c r="F498" i="3"/>
  <c r="F254" i="3"/>
  <c r="F30" i="3"/>
  <c r="F126" i="3"/>
  <c r="F8" i="3"/>
  <c r="F112" i="3"/>
  <c r="F216" i="3"/>
  <c r="F320" i="3"/>
  <c r="F416" i="3"/>
  <c r="F520" i="3"/>
  <c r="F624" i="3"/>
  <c r="F728" i="3"/>
  <c r="F832" i="3"/>
  <c r="F51" i="3"/>
  <c r="F155" i="3"/>
  <c r="F259" i="3"/>
  <c r="F363" i="3"/>
  <c r="F10" i="3"/>
  <c r="F164" i="3"/>
  <c r="F313" i="3"/>
  <c r="F12" i="3"/>
  <c r="F178" i="3"/>
  <c r="F325" i="3"/>
  <c r="F453" i="3"/>
  <c r="F573" i="3"/>
  <c r="F692" i="3"/>
  <c r="F811" i="3"/>
  <c r="F923" i="3"/>
  <c r="F28" i="3"/>
  <c r="F194" i="3"/>
  <c r="F338" i="3"/>
  <c r="F33" i="3"/>
  <c r="F199" i="3"/>
  <c r="F332" i="3"/>
  <c r="F469" i="3"/>
  <c r="F588" i="3"/>
  <c r="F707" i="3"/>
  <c r="F826" i="3"/>
  <c r="F928" i="3"/>
  <c r="F969" i="3"/>
  <c r="F823" i="3"/>
  <c r="F666" i="3"/>
  <c r="F507" i="3"/>
  <c r="F290" i="3"/>
  <c r="F989" i="3"/>
  <c r="F846" i="3"/>
  <c r="F687" i="3"/>
  <c r="F530" i="3"/>
  <c r="F330" i="3"/>
  <c r="F18" i="3"/>
  <c r="F868" i="3"/>
  <c r="F709" i="3"/>
  <c r="F550" i="3"/>
  <c r="F369" i="3"/>
  <c r="F65" i="3"/>
  <c r="F886" i="3"/>
  <c r="F730" i="3"/>
  <c r="F571" i="3"/>
  <c r="F404" i="3"/>
  <c r="F106" i="3"/>
  <c r="F78" i="3"/>
  <c r="F182" i="3"/>
  <c r="F64" i="3"/>
  <c r="F160" i="3"/>
  <c r="F264" i="3"/>
  <c r="F368" i="3"/>
  <c r="F472" i="3"/>
  <c r="F576" i="3"/>
  <c r="F672" i="3"/>
  <c r="F776" i="3"/>
  <c r="F3" i="3"/>
  <c r="F107" i="3"/>
  <c r="F211" i="3"/>
  <c r="F307" i="3"/>
  <c r="F411" i="3"/>
  <c r="F87" i="3"/>
  <c r="F249" i="3"/>
  <c r="F388" i="3"/>
  <c r="F89" i="3"/>
  <c r="F250" i="3"/>
  <c r="F389" i="3"/>
  <c r="F518" i="3"/>
  <c r="F637" i="3"/>
  <c r="F747" i="3"/>
  <c r="F866" i="3"/>
  <c r="F971" i="3"/>
  <c r="F117" i="3"/>
  <c r="F274" i="3"/>
  <c r="F402" i="3"/>
  <c r="F109" i="3"/>
  <c r="F268" i="3"/>
  <c r="F406" i="3"/>
  <c r="F533" i="3"/>
  <c r="F643" i="3"/>
  <c r="F762" i="3"/>
  <c r="F880" i="3"/>
  <c r="F984" i="3"/>
  <c r="F894" i="3"/>
  <c r="F750" i="3"/>
  <c r="F593" i="3"/>
  <c r="F418" i="3"/>
  <c r="F124" i="3"/>
  <c r="F914" i="3"/>
  <c r="F773" i="3"/>
  <c r="F614" i="3"/>
  <c r="F455" i="3"/>
  <c r="F172" i="3"/>
  <c r="F770" i="3"/>
  <c r="F452" i="3"/>
  <c r="F940" i="3"/>
  <c r="F631" i="3"/>
  <c r="F233" i="3"/>
  <c r="F142" i="3"/>
  <c r="F128" i="3"/>
  <c r="F328" i="3"/>
  <c r="F536" i="3"/>
  <c r="F688" i="3"/>
  <c r="F856" i="3"/>
  <c r="F131" i="3"/>
  <c r="F299" i="3"/>
  <c r="F23" i="3"/>
  <c r="F260" i="3"/>
  <c r="F50" i="3"/>
  <c r="F282" i="3"/>
  <c r="F500" i="3"/>
  <c r="F710" i="3"/>
  <c r="F883" i="3"/>
  <c r="F79" i="3"/>
  <c r="F306" i="3"/>
  <c r="F97" i="3"/>
  <c r="F353" i="3"/>
  <c r="F542" i="3"/>
  <c r="F734" i="3"/>
  <c r="F904" i="3"/>
  <c r="F916" i="3"/>
  <c r="F653" i="3"/>
  <c r="F375" i="3"/>
  <c r="F957" i="3"/>
  <c r="F724" i="3"/>
  <c r="F481" i="3"/>
  <c r="F658" i="3"/>
  <c r="F746" i="3"/>
  <c r="F433" i="3"/>
  <c r="F918" i="3"/>
  <c r="F620" i="3"/>
  <c r="F183" i="3"/>
  <c r="F158" i="3"/>
  <c r="F136" i="3"/>
  <c r="F344" i="3"/>
  <c r="F544" i="3"/>
  <c r="F704" i="3"/>
  <c r="F864" i="3"/>
  <c r="F171" i="3"/>
  <c r="F323" i="3"/>
  <c r="F49" i="3"/>
  <c r="F281" i="3"/>
  <c r="F76" i="3"/>
  <c r="F335" i="3"/>
  <c r="F527" i="3"/>
  <c r="F719" i="3"/>
  <c r="F891" i="3"/>
  <c r="F92" i="3"/>
  <c r="F359" i="3"/>
  <c r="F135" i="3"/>
  <c r="F374" i="3"/>
  <c r="F561" i="3"/>
  <c r="F753" i="3"/>
  <c r="F944" i="3"/>
  <c r="F884" i="3"/>
  <c r="F629" i="3"/>
  <c r="F354" i="3"/>
  <c r="F935" i="3"/>
  <c r="F676" i="3"/>
  <c r="F415" i="3"/>
  <c r="F986" i="3"/>
  <c r="F697" i="3"/>
  <c r="F326" i="3"/>
  <c r="F863" i="3"/>
  <c r="F558" i="3"/>
  <c r="F55" i="3"/>
  <c r="F190" i="3"/>
  <c r="F176" i="3"/>
  <c r="F384" i="3"/>
  <c r="F584" i="3"/>
  <c r="F752" i="3"/>
  <c r="F27" i="3"/>
  <c r="F195" i="3"/>
  <c r="F371" i="3"/>
  <c r="F113" i="3"/>
  <c r="F345" i="3"/>
  <c r="F140" i="3"/>
  <c r="F367" i="3"/>
  <c r="F591" i="3"/>
  <c r="F765" i="3"/>
  <c r="F947" i="3"/>
  <c r="F156" i="3"/>
  <c r="F391" i="3"/>
  <c r="F212" i="3"/>
  <c r="F417" i="3"/>
  <c r="F615" i="3"/>
  <c r="F789" i="3"/>
  <c r="F968" i="3"/>
  <c r="F799" i="3"/>
  <c r="F567" i="3"/>
  <c r="F201" i="3"/>
  <c r="F882" i="3"/>
  <c r="F627" i="3"/>
  <c r="F287" i="3"/>
  <c r="F890" i="3"/>
  <c r="F575" i="3"/>
  <c r="F90" i="3"/>
  <c r="F754" i="3"/>
  <c r="F425" i="3"/>
  <c r="F62" i="3"/>
  <c r="F48" i="3"/>
  <c r="F256" i="3"/>
  <c r="F456" i="3"/>
  <c r="F648" i="3"/>
  <c r="F800" i="3"/>
  <c r="F91" i="3"/>
  <c r="F275" i="3"/>
  <c r="F427" i="3"/>
  <c r="F215" i="3"/>
  <c r="F420" i="3"/>
  <c r="F239" i="3"/>
  <c r="F473" i="3"/>
  <c r="F646" i="3"/>
  <c r="F838" i="3"/>
  <c r="F995" i="3"/>
  <c r="F253" i="3"/>
  <c r="F45" i="3"/>
  <c r="F289" i="3"/>
  <c r="F497" i="3"/>
  <c r="F679" i="3"/>
  <c r="F862" i="3"/>
  <c r="F948" i="3"/>
  <c r="F726" i="3"/>
  <c r="F470" i="3"/>
  <c r="F47" i="3"/>
  <c r="F786" i="3"/>
  <c r="F517" i="3"/>
  <c r="F146" i="3"/>
  <c r="F612" i="3"/>
  <c r="F790" i="3"/>
  <c r="F38" i="3"/>
  <c r="F224" i="3"/>
  <c r="F600" i="3"/>
  <c r="F67" i="3"/>
  <c r="F387" i="3"/>
  <c r="F366" i="3"/>
  <c r="F410" i="3"/>
  <c r="F783" i="3"/>
  <c r="F220" i="3"/>
  <c r="F236" i="3"/>
  <c r="F634" i="3"/>
  <c r="F992" i="3"/>
  <c r="F556" i="3"/>
  <c r="F822" i="3"/>
  <c r="F245" i="3"/>
  <c r="F787" i="3"/>
  <c r="F901" i="3"/>
  <c r="F32" i="3"/>
  <c r="F235" i="3"/>
  <c r="F619" i="3"/>
  <c r="F487" i="3"/>
  <c r="F98" i="3"/>
  <c r="F13" i="3"/>
  <c r="F480" i="3"/>
  <c r="F228" i="3"/>
  <c r="F53" i="3"/>
  <c r="F896" i="3"/>
  <c r="F493" i="3"/>
  <c r="F733" i="3"/>
  <c r="F560" i="3"/>
  <c r="F357" i="3"/>
  <c r="F606" i="3"/>
  <c r="F903" i="3"/>
  <c r="F599" i="3"/>
  <c r="F766" i="3"/>
  <c r="F54" i="3"/>
  <c r="F240" i="3"/>
  <c r="F640" i="3"/>
  <c r="F83" i="3"/>
  <c r="F403" i="3"/>
  <c r="F398" i="3"/>
  <c r="F421" i="3"/>
  <c r="F820" i="3"/>
  <c r="F231" i="3"/>
  <c r="F246" i="3"/>
  <c r="F661" i="3"/>
  <c r="F1001" i="3"/>
  <c r="F494" i="3"/>
  <c r="F810" i="3"/>
  <c r="F223" i="3"/>
  <c r="F132" i="3"/>
  <c r="F339" i="3"/>
  <c r="F148" i="3"/>
  <c r="F394" i="3"/>
  <c r="F539" i="3"/>
  <c r="F717" i="3"/>
  <c r="F94" i="3"/>
  <c r="F280" i="3"/>
  <c r="F664" i="3"/>
  <c r="F115" i="3"/>
  <c r="F435" i="3"/>
  <c r="F37" i="3"/>
  <c r="F491" i="3"/>
  <c r="F857" i="3"/>
  <c r="F285" i="3"/>
  <c r="F300" i="3"/>
  <c r="F716" i="3"/>
  <c r="F937" i="3"/>
  <c r="F457" i="3"/>
  <c r="F749" i="3"/>
  <c r="F95" i="3"/>
  <c r="F125" i="3"/>
  <c r="F461" i="3"/>
  <c r="F792" i="3"/>
  <c r="F217" i="3"/>
  <c r="F445" i="3"/>
  <c r="F763" i="3"/>
  <c r="F361" i="3"/>
  <c r="F840" i="3"/>
  <c r="F271" i="3"/>
  <c r="F71" i="3"/>
  <c r="F702" i="3"/>
  <c r="F908" i="3"/>
  <c r="F19" i="3"/>
  <c r="F738" i="3"/>
  <c r="F960" i="3"/>
  <c r="F390" i="3"/>
  <c r="F595" i="3"/>
  <c r="F166" i="3"/>
  <c r="F352" i="3"/>
  <c r="F736" i="3"/>
  <c r="F179" i="3"/>
  <c r="F61" i="3"/>
  <c r="F114" i="3"/>
  <c r="F546" i="3"/>
  <c r="F931" i="3"/>
  <c r="F370" i="3"/>
  <c r="F385" i="3"/>
  <c r="F780" i="3"/>
  <c r="F860" i="3"/>
  <c r="F247" i="3"/>
  <c r="F651" i="3"/>
  <c r="F922" i="3"/>
  <c r="F193" i="3"/>
  <c r="F474" i="3"/>
  <c r="F24" i="3"/>
  <c r="F432" i="3"/>
  <c r="F768" i="3"/>
  <c r="F219" i="3"/>
  <c r="F191" i="3"/>
  <c r="F601" i="3"/>
  <c r="F955" i="3"/>
  <c r="F423" i="3"/>
  <c r="F438" i="3"/>
  <c r="F835" i="3"/>
  <c r="F175" i="3"/>
  <c r="F590" i="3"/>
  <c r="F141" i="3"/>
  <c r="F448" i="3"/>
  <c r="F189" i="3"/>
  <c r="F987" i="3"/>
  <c r="F853" i="3"/>
  <c r="F578" i="3"/>
  <c r="F843" i="3"/>
  <c r="F72" i="3"/>
  <c r="F283" i="3"/>
  <c r="F665" i="3"/>
  <c r="F515" i="3"/>
  <c r="F967" i="3"/>
  <c r="F152" i="3"/>
  <c r="F334" i="3"/>
  <c r="F130" i="3"/>
  <c r="F604" i="3"/>
  <c r="E452" i="3"/>
  <c r="E716" i="3"/>
  <c r="E68" i="3"/>
  <c r="E110" i="3"/>
  <c r="E648" i="3"/>
  <c r="E132" i="3"/>
  <c r="E593" i="3"/>
  <c r="E940" i="3"/>
  <c r="E876" i="3"/>
  <c r="E238" i="3"/>
  <c r="E494" i="3"/>
  <c r="E281" i="3"/>
  <c r="E972" i="3"/>
  <c r="E844" i="3"/>
  <c r="E780" i="3"/>
  <c r="E748" i="3"/>
  <c r="E153" i="3"/>
  <c r="E324" i="3"/>
  <c r="E574" i="3"/>
  <c r="E908" i="3"/>
  <c r="E366" i="3"/>
  <c r="E537" i="3"/>
  <c r="E409" i="3"/>
  <c r="E764" i="3"/>
  <c r="E892" i="3"/>
  <c r="E25" i="3"/>
  <c r="E89" i="3"/>
  <c r="E260" i="3"/>
  <c r="E16" i="3"/>
  <c r="E46" i="3"/>
  <c r="E812" i="3"/>
  <c r="E666" i="3"/>
  <c r="E956" i="3"/>
  <c r="E629" i="3"/>
  <c r="E796" i="3"/>
  <c r="E430" i="3"/>
  <c r="E217" i="3"/>
  <c r="E700" i="3"/>
  <c r="E4" i="3"/>
  <c r="E828" i="3"/>
  <c r="E895" i="3"/>
  <c r="E767" i="3"/>
  <c r="E633" i="3"/>
  <c r="E477" i="3"/>
  <c r="E307" i="3"/>
  <c r="E136" i="3"/>
  <c r="E909" i="3"/>
  <c r="E781" i="3"/>
  <c r="E649" i="3"/>
  <c r="E496" i="3"/>
  <c r="E325" i="3"/>
  <c r="E155" i="3"/>
  <c r="E684" i="3"/>
  <c r="E345" i="3"/>
  <c r="E991" i="3"/>
  <c r="E863" i="3"/>
  <c r="E735" i="3"/>
  <c r="E596" i="3"/>
  <c r="E435" i="3"/>
  <c r="E264" i="3"/>
  <c r="E93" i="3"/>
  <c r="E877" i="3"/>
  <c r="E749" i="3"/>
  <c r="E612" i="3"/>
  <c r="E453" i="3"/>
  <c r="E283" i="3"/>
  <c r="E112" i="3"/>
  <c r="E174" i="3"/>
  <c r="E943" i="3"/>
  <c r="E783" i="3"/>
  <c r="E578" i="3"/>
  <c r="E371" i="3"/>
  <c r="E157" i="3"/>
  <c r="E861" i="3"/>
  <c r="E701" i="3"/>
  <c r="E517" i="3"/>
  <c r="E261" i="3"/>
  <c r="E48" i="3"/>
  <c r="E999" i="3"/>
  <c r="E871" i="3"/>
  <c r="E743" i="3"/>
  <c r="E605" i="3"/>
  <c r="E445" i="3"/>
  <c r="E275" i="3"/>
  <c r="E104" i="3"/>
  <c r="E938" i="3"/>
  <c r="E810" i="3"/>
  <c r="E682" i="3"/>
  <c r="E513" i="3"/>
  <c r="E342" i="3"/>
  <c r="E172" i="3"/>
  <c r="E965" i="3"/>
  <c r="E837" i="3"/>
  <c r="E709" i="3"/>
  <c r="E566" i="3"/>
  <c r="E400" i="3"/>
  <c r="E229" i="3"/>
  <c r="E59" i="3"/>
  <c r="E50" i="3"/>
  <c r="E114" i="3"/>
  <c r="E178" i="3"/>
  <c r="E242" i="3"/>
  <c r="E306" i="3"/>
  <c r="E370" i="3"/>
  <c r="E434" i="3"/>
  <c r="E498" i="3"/>
  <c r="E23" i="3"/>
  <c r="E87" i="3"/>
  <c r="E151" i="3"/>
  <c r="E215" i="3"/>
  <c r="E279" i="3"/>
  <c r="E343" i="3"/>
  <c r="E407" i="3"/>
  <c r="E471" i="3"/>
  <c r="E535" i="3"/>
  <c r="E599" i="3"/>
  <c r="E663" i="3"/>
  <c r="E62" i="3"/>
  <c r="E148" i="3"/>
  <c r="E233" i="3"/>
  <c r="E318" i="3"/>
  <c r="E404" i="3"/>
  <c r="E489" i="3"/>
  <c r="E570" i="3"/>
  <c r="E643" i="3"/>
  <c r="E712" i="3"/>
  <c r="E776" i="3"/>
  <c r="E840" i="3"/>
  <c r="E904" i="3"/>
  <c r="E968" i="3"/>
  <c r="E43" i="3"/>
  <c r="E128" i="3"/>
  <c r="E213" i="3"/>
  <c r="E299" i="3"/>
  <c r="E384" i="3"/>
  <c r="E469" i="3"/>
  <c r="E553" i="3"/>
  <c r="E626" i="3"/>
  <c r="E697" i="3"/>
  <c r="E761" i="3"/>
  <c r="E825" i="3"/>
  <c r="E889" i="3"/>
  <c r="E953" i="3"/>
  <c r="E13" i="3"/>
  <c r="E99" i="3"/>
  <c r="E516" i="3"/>
  <c r="E988" i="3"/>
  <c r="E927" i="3"/>
  <c r="E751" i="3"/>
  <c r="E560" i="3"/>
  <c r="E349" i="3"/>
  <c r="E115" i="3"/>
  <c r="E845" i="3"/>
  <c r="E685" i="3"/>
  <c r="E475" i="3"/>
  <c r="E240" i="3"/>
  <c r="E27" i="3"/>
  <c r="E983" i="3"/>
  <c r="E855" i="3"/>
  <c r="E727" i="3"/>
  <c r="E587" i="3"/>
  <c r="E424" i="3"/>
  <c r="E253" i="3"/>
  <c r="E83" i="3"/>
  <c r="E922" i="3"/>
  <c r="E794" i="3"/>
  <c r="E664" i="3"/>
  <c r="E492" i="3"/>
  <c r="E321" i="3"/>
  <c r="E150" i="3"/>
  <c r="E949" i="3"/>
  <c r="E821" i="3"/>
  <c r="E693" i="3"/>
  <c r="E548" i="3"/>
  <c r="E379" i="3"/>
  <c r="E208" i="3"/>
  <c r="E37" i="3"/>
  <c r="E58" i="3"/>
  <c r="E122" i="3"/>
  <c r="E186" i="3"/>
  <c r="E250" i="3"/>
  <c r="E314" i="3"/>
  <c r="E378" i="3"/>
  <c r="E442" i="3"/>
  <c r="E506" i="3"/>
  <c r="E31" i="3"/>
  <c r="E95" i="3"/>
  <c r="E159" i="3"/>
  <c r="E223" i="3"/>
  <c r="E287" i="3"/>
  <c r="E351" i="3"/>
  <c r="E415" i="3"/>
  <c r="E479" i="3"/>
  <c r="E543" i="3"/>
  <c r="E607" i="3"/>
  <c r="E671" i="3"/>
  <c r="E73" i="3"/>
  <c r="E158" i="3"/>
  <c r="E244" i="3"/>
  <c r="E329" i="3"/>
  <c r="E414" i="3"/>
  <c r="E500" i="3"/>
  <c r="E579" i="3"/>
  <c r="E652" i="3"/>
  <c r="E720" i="3"/>
  <c r="E784" i="3"/>
  <c r="E848" i="3"/>
  <c r="E912" i="3"/>
  <c r="E976" i="3"/>
  <c r="E53" i="3"/>
  <c r="E139" i="3"/>
  <c r="E224" i="3"/>
  <c r="E309" i="3"/>
  <c r="E395" i="3"/>
  <c r="E480" i="3"/>
  <c r="E562" i="3"/>
  <c r="E635" i="3"/>
  <c r="E705" i="3"/>
  <c r="E769" i="3"/>
  <c r="E833" i="3"/>
  <c r="E897" i="3"/>
  <c r="E961" i="3"/>
  <c r="E24" i="3"/>
  <c r="E109" i="3"/>
  <c r="E195" i="3"/>
  <c r="E280" i="3"/>
  <c r="E732" i="3"/>
  <c r="E924" i="3"/>
  <c r="E196" i="3"/>
  <c r="E911" i="3"/>
  <c r="E719" i="3"/>
  <c r="E541" i="3"/>
  <c r="E328" i="3"/>
  <c r="E72" i="3"/>
  <c r="E302" i="3"/>
  <c r="E388" i="3"/>
  <c r="E879" i="3"/>
  <c r="E703" i="3"/>
  <c r="E520" i="3"/>
  <c r="E285" i="3"/>
  <c r="E51" i="3"/>
  <c r="E973" i="3"/>
  <c r="E813" i="3"/>
  <c r="E630" i="3"/>
  <c r="E411" i="3"/>
  <c r="E197" i="3"/>
  <c r="E951" i="3"/>
  <c r="E823" i="3"/>
  <c r="E695" i="3"/>
  <c r="E550" i="3"/>
  <c r="E381" i="3"/>
  <c r="E211" i="3"/>
  <c r="E40" i="3"/>
  <c r="E890" i="3"/>
  <c r="E762" i="3"/>
  <c r="E627" i="3"/>
  <c r="E449" i="3"/>
  <c r="E278" i="3"/>
  <c r="E108" i="3"/>
  <c r="E917" i="3"/>
  <c r="E789" i="3"/>
  <c r="E658" i="3"/>
  <c r="E507" i="3"/>
  <c r="E336" i="3"/>
  <c r="E165" i="3"/>
  <c r="E10" i="3"/>
  <c r="E74" i="3"/>
  <c r="E138" i="3"/>
  <c r="E202" i="3"/>
  <c r="E266" i="3"/>
  <c r="E330" i="3"/>
  <c r="E394" i="3"/>
  <c r="E458" i="3"/>
  <c r="E522" i="3"/>
  <c r="E47" i="3"/>
  <c r="E111" i="3"/>
  <c r="E175" i="3"/>
  <c r="E239" i="3"/>
  <c r="E303" i="3"/>
  <c r="E367" i="3"/>
  <c r="E431" i="3"/>
  <c r="E495" i="3"/>
  <c r="E559" i="3"/>
  <c r="E623" i="3"/>
  <c r="E9" i="3"/>
  <c r="E94" i="3"/>
  <c r="E180" i="3"/>
  <c r="E265" i="3"/>
  <c r="E350" i="3"/>
  <c r="E436" i="3"/>
  <c r="E521" i="3"/>
  <c r="E597" i="3"/>
  <c r="E670" i="3"/>
  <c r="E736" i="3"/>
  <c r="E800" i="3"/>
  <c r="E864" i="3"/>
  <c r="E928" i="3"/>
  <c r="E992" i="3"/>
  <c r="E75" i="3"/>
  <c r="E160" i="3"/>
  <c r="E245" i="3"/>
  <c r="E331" i="3"/>
  <c r="E416" i="3"/>
  <c r="E501" i="3"/>
  <c r="E580" i="3"/>
  <c r="E653" i="3"/>
  <c r="E721" i="3"/>
  <c r="E785" i="3"/>
  <c r="E849" i="3"/>
  <c r="E913" i="3"/>
  <c r="E977" i="3"/>
  <c r="E45" i="3"/>
  <c r="E131" i="3"/>
  <c r="E216" i="3"/>
  <c r="E301" i="3"/>
  <c r="E831" i="3"/>
  <c r="E456" i="3"/>
  <c r="E8" i="3"/>
  <c r="E765" i="3"/>
  <c r="E432" i="3"/>
  <c r="E91" i="3"/>
  <c r="E791" i="3"/>
  <c r="E569" i="3"/>
  <c r="E317" i="3"/>
  <c r="E19" i="3"/>
  <c r="E611" i="3"/>
  <c r="E815" i="3"/>
  <c r="E413" i="3"/>
  <c r="E989" i="3"/>
  <c r="E733" i="3"/>
  <c r="E389" i="3"/>
  <c r="E69" i="3"/>
  <c r="E967" i="3"/>
  <c r="E775" i="3"/>
  <c r="E531" i="3"/>
  <c r="E296" i="3"/>
  <c r="E874" i="3"/>
  <c r="E698" i="3"/>
  <c r="E406" i="3"/>
  <c r="E129" i="3"/>
  <c r="E805" i="3"/>
  <c r="E603" i="3"/>
  <c r="E315" i="3"/>
  <c r="E80" i="3"/>
  <c r="E90" i="3"/>
  <c r="E194" i="3"/>
  <c r="E290" i="3"/>
  <c r="E402" i="3"/>
  <c r="E799" i="3"/>
  <c r="E392" i="3"/>
  <c r="E957" i="3"/>
  <c r="E717" i="3"/>
  <c r="E368" i="3"/>
  <c r="E5" i="3"/>
  <c r="E935" i="3"/>
  <c r="E759" i="3"/>
  <c r="E509" i="3"/>
  <c r="E232" i="3"/>
  <c r="E556" i="3"/>
  <c r="E847" i="3"/>
  <c r="E200" i="3"/>
  <c r="E925" i="3"/>
  <c r="E539" i="3"/>
  <c r="E887" i="3"/>
  <c r="E488" i="3"/>
  <c r="E651" i="3"/>
  <c r="E797" i="3"/>
  <c r="E219" i="3"/>
  <c r="E711" i="3"/>
  <c r="E360" i="3"/>
  <c r="E954" i="3"/>
  <c r="E714" i="3"/>
  <c r="E385" i="3"/>
  <c r="E65" i="3"/>
  <c r="E773" i="3"/>
  <c r="E528" i="3"/>
  <c r="E251" i="3"/>
  <c r="E34" i="3"/>
  <c r="E154" i="3"/>
  <c r="E274" i="3"/>
  <c r="E386" i="3"/>
  <c r="E490" i="3"/>
  <c r="E63" i="3"/>
  <c r="E167" i="3"/>
  <c r="E263" i="3"/>
  <c r="E375" i="3"/>
  <c r="E860" i="3"/>
  <c r="E975" i="3"/>
  <c r="E243" i="3"/>
  <c r="E576" i="3"/>
  <c r="E919" i="3"/>
  <c r="E642" i="3"/>
  <c r="E168" i="3"/>
  <c r="E842" i="3"/>
  <c r="E590" i="3"/>
  <c r="E257" i="3"/>
  <c r="E933" i="3"/>
  <c r="E725" i="3"/>
  <c r="E443" i="3"/>
  <c r="E123" i="3"/>
  <c r="E82" i="3"/>
  <c r="E210" i="3"/>
  <c r="E322" i="3"/>
  <c r="E426" i="3"/>
  <c r="E538" i="3"/>
  <c r="E103" i="3"/>
  <c r="E199" i="3"/>
  <c r="E311" i="3"/>
  <c r="E399" i="3"/>
  <c r="E511" i="3"/>
  <c r="E615" i="3"/>
  <c r="E41" i="3"/>
  <c r="E190" i="3"/>
  <c r="E308" i="3"/>
  <c r="E457" i="3"/>
  <c r="E588" i="3"/>
  <c r="E696" i="3"/>
  <c r="E808" i="3"/>
  <c r="E896" i="3"/>
  <c r="E11" i="3"/>
  <c r="E149" i="3"/>
  <c r="E277" i="3"/>
  <c r="E427" i="3"/>
  <c r="E544" i="3"/>
  <c r="E672" i="3"/>
  <c r="E777" i="3"/>
  <c r="E873" i="3"/>
  <c r="E985" i="3"/>
  <c r="E88" i="3"/>
  <c r="E227" i="3"/>
  <c r="E333" i="3"/>
  <c r="E419" i="3"/>
  <c r="E504" i="3"/>
  <c r="E582" i="3"/>
  <c r="E656" i="3"/>
  <c r="E723" i="3"/>
  <c r="E787" i="3"/>
  <c r="E851" i="3"/>
  <c r="E915" i="3"/>
  <c r="E979" i="3"/>
  <c r="E60" i="3"/>
  <c r="E145" i="3"/>
  <c r="E230" i="3"/>
  <c r="E316" i="3"/>
  <c r="E401" i="3"/>
  <c r="E486" i="3"/>
  <c r="E568" i="3"/>
  <c r="E641" i="3"/>
  <c r="E710" i="3"/>
  <c r="E774" i="3"/>
  <c r="E838" i="3"/>
  <c r="E902" i="3"/>
  <c r="E966" i="3"/>
  <c r="E499" i="3"/>
  <c r="E304" i="3"/>
  <c r="E839" i="3"/>
  <c r="E189" i="3"/>
  <c r="E970" i="3"/>
  <c r="E609" i="3"/>
  <c r="E214" i="3"/>
  <c r="E853" i="3"/>
  <c r="E464" i="3"/>
  <c r="E2" i="3"/>
  <c r="E146" i="3"/>
  <c r="E298" i="3"/>
  <c r="E466" i="3"/>
  <c r="E55" i="3"/>
  <c r="E191" i="3"/>
  <c r="E327" i="3"/>
  <c r="E455" i="3"/>
  <c r="E575" i="3"/>
  <c r="E20" i="3"/>
  <c r="E169" i="3"/>
  <c r="E340" i="3"/>
  <c r="E478" i="3"/>
  <c r="E625" i="3"/>
  <c r="E752" i="3"/>
  <c r="E872" i="3"/>
  <c r="E984" i="3"/>
  <c r="E117" i="3"/>
  <c r="E288" i="3"/>
  <c r="E448" i="3"/>
  <c r="E598" i="3"/>
  <c r="E729" i="3"/>
  <c r="E841" i="3"/>
  <c r="E945" i="3"/>
  <c r="E77" i="3"/>
  <c r="E237" i="3"/>
  <c r="E355" i="3"/>
  <c r="E451" i="3"/>
  <c r="E546" i="3"/>
  <c r="E628" i="3"/>
  <c r="E707" i="3"/>
  <c r="E779" i="3"/>
  <c r="E859" i="3"/>
  <c r="E931" i="3"/>
  <c r="E6" i="3"/>
  <c r="E102" i="3"/>
  <c r="E198" i="3"/>
  <c r="E294" i="3"/>
  <c r="E390" i="3"/>
  <c r="E497" i="3"/>
  <c r="E586" i="3"/>
  <c r="E668" i="3"/>
  <c r="E742" i="3"/>
  <c r="E814" i="3"/>
  <c r="E886" i="3"/>
  <c r="E958" i="3"/>
  <c r="E884" i="3"/>
  <c r="E756" i="3"/>
  <c r="E620" i="3"/>
  <c r="E462" i="3"/>
  <c r="E292" i="3"/>
  <c r="E121" i="3"/>
  <c r="E962" i="3"/>
  <c r="E834" i="3"/>
  <c r="E706" i="3"/>
  <c r="E563" i="3"/>
  <c r="E396" i="3"/>
  <c r="E225" i="3"/>
  <c r="E54" i="3"/>
  <c r="E221" i="3"/>
  <c r="E941" i="3"/>
  <c r="E176" i="3"/>
  <c r="E807" i="3"/>
  <c r="E147" i="3"/>
  <c r="E906" i="3"/>
  <c r="E572" i="3"/>
  <c r="E193" i="3"/>
  <c r="E757" i="3"/>
  <c r="E421" i="3"/>
  <c r="E18" i="3"/>
  <c r="E162" i="3"/>
  <c r="E338" i="3"/>
  <c r="E474" i="3"/>
  <c r="E71" i="3"/>
  <c r="E207" i="3"/>
  <c r="E335" i="3"/>
  <c r="E463" i="3"/>
  <c r="E583" i="3"/>
  <c r="E30" i="3"/>
  <c r="E201" i="3"/>
  <c r="E361" i="3"/>
  <c r="E510" i="3"/>
  <c r="E634" i="3"/>
  <c r="E760" i="3"/>
  <c r="E880" i="3"/>
  <c r="E1000" i="3"/>
  <c r="E171" i="3"/>
  <c r="E320" i="3"/>
  <c r="E459" i="3"/>
  <c r="E608" i="3"/>
  <c r="E737" i="3"/>
  <c r="E857" i="3"/>
  <c r="E969" i="3"/>
  <c r="E120" i="3"/>
  <c r="E248" i="3"/>
  <c r="E365" i="3"/>
  <c r="E461" i="3"/>
  <c r="E555" i="3"/>
  <c r="E637" i="3"/>
  <c r="E715" i="3"/>
  <c r="E795" i="3"/>
  <c r="E867" i="3"/>
  <c r="E939" i="3"/>
  <c r="E17" i="3"/>
  <c r="E113" i="3"/>
  <c r="E209" i="3"/>
  <c r="E305" i="3"/>
  <c r="E412" i="3"/>
  <c r="E508" i="3"/>
  <c r="E595" i="3"/>
  <c r="E677" i="3"/>
  <c r="E750" i="3"/>
  <c r="E822" i="3"/>
  <c r="E894" i="3"/>
  <c r="E974" i="3"/>
  <c r="E996" i="3"/>
  <c r="E868" i="3"/>
  <c r="E740" i="3"/>
  <c r="E602" i="3"/>
  <c r="E441" i="3"/>
  <c r="E270" i="3"/>
  <c r="E100" i="3"/>
  <c r="E473" i="3"/>
  <c r="E29" i="3"/>
  <c r="E829" i="3"/>
  <c r="E660" i="3"/>
  <c r="E61" i="3"/>
  <c r="E826" i="3"/>
  <c r="E470" i="3"/>
  <c r="E44" i="3"/>
  <c r="E997" i="3"/>
  <c r="E676" i="3"/>
  <c r="E293" i="3"/>
  <c r="E42" i="3"/>
  <c r="E218" i="3"/>
  <c r="E354" i="3"/>
  <c r="E514" i="3"/>
  <c r="E119" i="3"/>
  <c r="E247" i="3"/>
  <c r="E383" i="3"/>
  <c r="E503" i="3"/>
  <c r="E631" i="3"/>
  <c r="E84" i="3"/>
  <c r="E222" i="3"/>
  <c r="E382" i="3"/>
  <c r="E542" i="3"/>
  <c r="E680" i="3"/>
  <c r="E792" i="3"/>
  <c r="E920" i="3"/>
  <c r="E32" i="3"/>
  <c r="E192" i="3"/>
  <c r="E352" i="3"/>
  <c r="E512" i="3"/>
  <c r="E644" i="3"/>
  <c r="E753" i="3"/>
  <c r="E881" i="3"/>
  <c r="E1001" i="3"/>
  <c r="E152" i="3"/>
  <c r="E269" i="3"/>
  <c r="E387" i="3"/>
  <c r="E483" i="3"/>
  <c r="E573" i="3"/>
  <c r="E665" i="3"/>
  <c r="E739" i="3"/>
  <c r="E811" i="3"/>
  <c r="E883" i="3"/>
  <c r="E955" i="3"/>
  <c r="E38" i="3"/>
  <c r="E134" i="3"/>
  <c r="E241" i="3"/>
  <c r="E337" i="3"/>
  <c r="E433" i="3"/>
  <c r="E529" i="3"/>
  <c r="E613" i="3"/>
  <c r="E694" i="3"/>
  <c r="E766" i="3"/>
  <c r="E846" i="3"/>
  <c r="E918" i="3"/>
  <c r="E990" i="3"/>
  <c r="E964" i="3"/>
  <c r="E836" i="3"/>
  <c r="E708" i="3"/>
  <c r="E565" i="3"/>
  <c r="E398" i="3"/>
  <c r="E228" i="3"/>
  <c r="E57" i="3"/>
  <c r="E986" i="3"/>
  <c r="E914" i="3"/>
  <c r="E786" i="3"/>
  <c r="E654" i="3"/>
  <c r="E502" i="3"/>
  <c r="E332" i="3"/>
  <c r="E161" i="3"/>
  <c r="E669" i="3"/>
  <c r="E557" i="3"/>
  <c r="E403" i="3"/>
  <c r="E730" i="3"/>
  <c r="E300" i="3"/>
  <c r="E885" i="3"/>
  <c r="E585" i="3"/>
  <c r="E144" i="3"/>
  <c r="E106" i="3"/>
  <c r="E258" i="3"/>
  <c r="E418" i="3"/>
  <c r="E15" i="3"/>
  <c r="E143" i="3"/>
  <c r="E295" i="3"/>
  <c r="E439" i="3"/>
  <c r="E551" i="3"/>
  <c r="E655" i="3"/>
  <c r="E126" i="3"/>
  <c r="E286" i="3"/>
  <c r="E446" i="3"/>
  <c r="E606" i="3"/>
  <c r="E728" i="3"/>
  <c r="E832" i="3"/>
  <c r="E952" i="3"/>
  <c r="E96" i="3"/>
  <c r="E256" i="3"/>
  <c r="E405" i="3"/>
  <c r="E571" i="3"/>
  <c r="E689" i="3"/>
  <c r="E809" i="3"/>
  <c r="E929" i="3"/>
  <c r="E56" i="3"/>
  <c r="E184" i="3"/>
  <c r="E323" i="3"/>
  <c r="E429" i="3"/>
  <c r="E525" i="3"/>
  <c r="E610" i="3"/>
  <c r="E691" i="3"/>
  <c r="E763" i="3"/>
  <c r="E835" i="3"/>
  <c r="E907" i="3"/>
  <c r="E987" i="3"/>
  <c r="E81" i="3"/>
  <c r="E177" i="3"/>
  <c r="E273" i="3"/>
  <c r="E369" i="3"/>
  <c r="E465" i="3"/>
  <c r="E558" i="3"/>
  <c r="E650" i="3"/>
  <c r="E726" i="3"/>
  <c r="E798" i="3"/>
  <c r="E870" i="3"/>
  <c r="E942" i="3"/>
  <c r="E916" i="3"/>
  <c r="E788" i="3"/>
  <c r="E657" i="3"/>
  <c r="E505" i="3"/>
  <c r="E334" i="3"/>
  <c r="E164" i="3"/>
  <c r="E994" i="3"/>
  <c r="E866" i="3"/>
  <c r="E738" i="3"/>
  <c r="E600" i="3"/>
  <c r="E438" i="3"/>
  <c r="E268" i="3"/>
  <c r="E97" i="3"/>
  <c r="E893" i="3"/>
  <c r="E678" i="3"/>
  <c r="E858" i="3"/>
  <c r="E86" i="3"/>
  <c r="E741" i="3"/>
  <c r="E26" i="3"/>
  <c r="E346" i="3"/>
  <c r="E79" i="3"/>
  <c r="E359" i="3"/>
  <c r="E591" i="3"/>
  <c r="E212" i="3"/>
  <c r="E532" i="3"/>
  <c r="E768" i="3"/>
  <c r="E21" i="3"/>
  <c r="E341" i="3"/>
  <c r="E617" i="3"/>
  <c r="E865" i="3"/>
  <c r="E141" i="3"/>
  <c r="E376" i="3"/>
  <c r="E564" i="3"/>
  <c r="E731" i="3"/>
  <c r="E875" i="3"/>
  <c r="E28" i="3"/>
  <c r="E220" i="3"/>
  <c r="E422" i="3"/>
  <c r="E604" i="3"/>
  <c r="E758" i="3"/>
  <c r="E910" i="3"/>
  <c r="E852" i="3"/>
  <c r="E584" i="3"/>
  <c r="E249" i="3"/>
  <c r="E930" i="3"/>
  <c r="E722" i="3"/>
  <c r="E481" i="3"/>
  <c r="E204" i="3"/>
  <c r="E959" i="3"/>
  <c r="E667" i="3"/>
  <c r="E624" i="3"/>
  <c r="E778" i="3"/>
  <c r="E22" i="3"/>
  <c r="E640" i="3"/>
  <c r="E66" i="3"/>
  <c r="E362" i="3"/>
  <c r="E127" i="3"/>
  <c r="E391" i="3"/>
  <c r="E639" i="3"/>
  <c r="E254" i="3"/>
  <c r="E552" i="3"/>
  <c r="E816" i="3"/>
  <c r="E64" i="3"/>
  <c r="E363" i="3"/>
  <c r="E662" i="3"/>
  <c r="E905" i="3"/>
  <c r="E163" i="3"/>
  <c r="E397" i="3"/>
  <c r="E592" i="3"/>
  <c r="E747" i="3"/>
  <c r="E891" i="3"/>
  <c r="E49" i="3"/>
  <c r="E252" i="3"/>
  <c r="E444" i="3"/>
  <c r="E622" i="3"/>
  <c r="E782" i="3"/>
  <c r="E926" i="3"/>
  <c r="E820" i="3"/>
  <c r="E547" i="3"/>
  <c r="E206" i="3"/>
  <c r="E898" i="3"/>
  <c r="E690" i="3"/>
  <c r="E460" i="3"/>
  <c r="E182" i="3"/>
  <c r="E687" i="3"/>
  <c r="E594" i="3"/>
  <c r="E467" i="3"/>
  <c r="E746" i="3"/>
  <c r="E621" i="3"/>
  <c r="E98" i="3"/>
  <c r="E410" i="3"/>
  <c r="E135" i="3"/>
  <c r="E423" i="3"/>
  <c r="E647" i="3"/>
  <c r="E276" i="3"/>
  <c r="E561" i="3"/>
  <c r="E824" i="3"/>
  <c r="E85" i="3"/>
  <c r="E373" i="3"/>
  <c r="E681" i="3"/>
  <c r="E921" i="3"/>
  <c r="E173" i="3"/>
  <c r="E408" i="3"/>
  <c r="E601" i="3"/>
  <c r="E755" i="3"/>
  <c r="E899" i="3"/>
  <c r="E70" i="3"/>
  <c r="E262" i="3"/>
  <c r="E454" i="3"/>
  <c r="E632" i="3"/>
  <c r="E790" i="3"/>
  <c r="E934" i="3"/>
  <c r="E804" i="3"/>
  <c r="E526" i="3"/>
  <c r="E185" i="3"/>
  <c r="E882" i="3"/>
  <c r="E673" i="3"/>
  <c r="E417" i="3"/>
  <c r="E140" i="3"/>
  <c r="E364" i="3"/>
  <c r="E901" i="3"/>
  <c r="E187" i="3"/>
  <c r="E234" i="3"/>
  <c r="E7" i="3"/>
  <c r="E271" i="3"/>
  <c r="E527" i="3"/>
  <c r="E116" i="3"/>
  <c r="E425" i="3"/>
  <c r="E704" i="3"/>
  <c r="E944" i="3"/>
  <c r="E235" i="3"/>
  <c r="E533" i="3"/>
  <c r="E801" i="3"/>
  <c r="E35" i="3"/>
  <c r="E312" i="3"/>
  <c r="E515" i="3"/>
  <c r="E683" i="3"/>
  <c r="E827" i="3"/>
  <c r="E971" i="3"/>
  <c r="E166" i="3"/>
  <c r="E358" i="3"/>
  <c r="E549" i="3"/>
  <c r="E718" i="3"/>
  <c r="E862" i="3"/>
  <c r="E932" i="3"/>
  <c r="E675" i="3"/>
  <c r="E356" i="3"/>
  <c r="E14" i="3"/>
  <c r="E978" i="3"/>
  <c r="E770" i="3"/>
  <c r="E545" i="3"/>
  <c r="E289" i="3"/>
  <c r="E12" i="3"/>
  <c r="E614" i="3"/>
  <c r="E339" i="3"/>
  <c r="E645" i="3"/>
  <c r="E485" i="3"/>
  <c r="E450" i="3"/>
  <c r="E447" i="3"/>
  <c r="E297" i="3"/>
  <c r="E856" i="3"/>
  <c r="E437" i="3"/>
  <c r="E937" i="3"/>
  <c r="E440" i="3"/>
  <c r="E771" i="3"/>
  <c r="E92" i="3"/>
  <c r="E476" i="3"/>
  <c r="E806" i="3"/>
  <c r="E772" i="3"/>
  <c r="E142" i="3"/>
  <c r="E636" i="3"/>
  <c r="E118" i="3"/>
  <c r="E179" i="3"/>
  <c r="E125" i="3"/>
  <c r="E534" i="3"/>
  <c r="E357" i="3"/>
  <c r="E482" i="3"/>
  <c r="E487" i="3"/>
  <c r="E372" i="3"/>
  <c r="E888" i="3"/>
  <c r="E491" i="3"/>
  <c r="E993" i="3"/>
  <c r="E472" i="3"/>
  <c r="E803" i="3"/>
  <c r="E124" i="3"/>
  <c r="E518" i="3"/>
  <c r="E830" i="3"/>
  <c r="E724" i="3"/>
  <c r="E78" i="3"/>
  <c r="E554" i="3"/>
  <c r="E618" i="3"/>
  <c r="E76" i="3"/>
  <c r="E236" i="3"/>
  <c r="E101" i="3"/>
  <c r="E39" i="3"/>
  <c r="E567" i="3"/>
  <c r="E468" i="3"/>
  <c r="E960" i="3"/>
  <c r="E589" i="3"/>
  <c r="E67" i="3"/>
  <c r="E536" i="3"/>
  <c r="E843" i="3"/>
  <c r="E188" i="3"/>
  <c r="E577" i="3"/>
  <c r="E878" i="3"/>
  <c r="E638" i="3"/>
  <c r="E946" i="3"/>
  <c r="E524" i="3"/>
  <c r="E347" i="3"/>
  <c r="E130" i="3"/>
  <c r="E183" i="3"/>
  <c r="E679" i="3"/>
  <c r="E616" i="3"/>
  <c r="E107" i="3"/>
  <c r="E713" i="3"/>
  <c r="E205" i="3"/>
  <c r="E981" i="3"/>
  <c r="E226" i="3"/>
  <c r="E255" i="3"/>
  <c r="E105" i="3"/>
  <c r="E688" i="3"/>
  <c r="E203" i="3"/>
  <c r="E793" i="3"/>
  <c r="E291" i="3"/>
  <c r="E674" i="3"/>
  <c r="E963" i="3"/>
  <c r="E348" i="3"/>
  <c r="E702" i="3"/>
  <c r="E998" i="3"/>
  <c r="E948" i="3"/>
  <c r="E377" i="3"/>
  <c r="E802" i="3"/>
  <c r="E310" i="3"/>
  <c r="E133" i="3"/>
  <c r="E282" i="3"/>
  <c r="E661" i="3"/>
  <c r="E3" i="3"/>
  <c r="E923" i="3"/>
  <c r="E659" i="3"/>
  <c r="E374" i="3"/>
  <c r="E52" i="3"/>
  <c r="E326" i="3"/>
  <c r="E380" i="3"/>
  <c r="E170" i="3"/>
  <c r="E540" i="3"/>
  <c r="E530" i="3"/>
  <c r="E744" i="3"/>
  <c r="E259" i="3"/>
  <c r="E947" i="3"/>
  <c r="E686" i="3"/>
  <c r="E980" i="3"/>
  <c r="E353" i="3"/>
  <c r="E393" i="3"/>
  <c r="E36" i="3"/>
  <c r="E903" i="3"/>
  <c r="E231" i="3"/>
  <c r="E936" i="3"/>
  <c r="E344" i="3"/>
  <c r="E995" i="3"/>
  <c r="E734" i="3"/>
  <c r="E900" i="3"/>
  <c r="E246" i="3"/>
  <c r="E428" i="3"/>
  <c r="E646" i="3"/>
  <c r="E420" i="3"/>
  <c r="E818" i="3"/>
  <c r="E137" i="3"/>
  <c r="E699" i="3"/>
  <c r="E313" i="3"/>
  <c r="E754" i="3"/>
  <c r="E819" i="3"/>
  <c r="E319" i="3"/>
  <c r="E181" i="3"/>
  <c r="E493" i="3"/>
  <c r="E156" i="3"/>
  <c r="E854" i="3"/>
  <c r="E692" i="3"/>
  <c r="E33" i="3"/>
  <c r="E519" i="3"/>
  <c r="E267" i="3"/>
  <c r="E619" i="3"/>
  <c r="E284" i="3"/>
  <c r="E950" i="3"/>
  <c r="E484" i="3"/>
  <c r="E850" i="3"/>
  <c r="E869" i="3"/>
  <c r="E523" i="3"/>
  <c r="E982" i="3"/>
  <c r="E272" i="3"/>
  <c r="E745" i="3"/>
  <c r="E817" i="3"/>
  <c r="E581" i="3"/>
  <c r="B16" i="4"/>
  <c r="D2" i="4" s="1" a="1"/>
  <c r="B16" i="3"/>
  <c r="D2" i="3" s="1" a="1"/>
  <c r="B46" i="4"/>
  <c r="B50" i="4"/>
  <c r="B50" i="3"/>
  <c r="F4" i="8" l="1"/>
  <c r="E4" i="8"/>
  <c r="H557" i="4"/>
  <c r="E12" i="5"/>
  <c r="H949" i="4"/>
  <c r="H502" i="4"/>
  <c r="F12" i="8"/>
  <c r="E12" i="8"/>
  <c r="H440" i="4"/>
  <c r="H344" i="4"/>
  <c r="H850" i="4"/>
  <c r="H49" i="4"/>
  <c r="H50" i="4"/>
  <c r="H995" i="4"/>
  <c r="H151" i="4"/>
  <c r="H798" i="4"/>
  <c r="H43" i="4"/>
  <c r="H817" i="4"/>
  <c r="H291" i="4"/>
  <c r="H658" i="4"/>
  <c r="H52" i="4"/>
  <c r="H526" i="4"/>
  <c r="H175" i="4"/>
  <c r="H279" i="4"/>
  <c r="H62" i="4"/>
  <c r="H143" i="4"/>
  <c r="H727" i="4"/>
  <c r="H211" i="4"/>
  <c r="H486" i="4"/>
  <c r="H660" i="4"/>
  <c r="H365" i="4"/>
  <c r="H595" i="4"/>
  <c r="H933" i="4"/>
  <c r="H96" i="4"/>
  <c r="H208" i="4"/>
  <c r="H292" i="4"/>
  <c r="H283" i="4"/>
  <c r="H913" i="4"/>
  <c r="H691" i="4"/>
  <c r="H198" i="4"/>
  <c r="H60" i="4"/>
  <c r="H513" i="4"/>
  <c r="H355" i="4"/>
  <c r="H403" i="4"/>
  <c r="H55" i="4"/>
  <c r="H534" i="4"/>
  <c r="H912" i="4"/>
  <c r="H341" i="4"/>
  <c r="H651" i="4"/>
  <c r="H243" i="4"/>
  <c r="H345" i="4"/>
  <c r="H480" i="4"/>
  <c r="H475" i="4"/>
  <c r="H690" i="4"/>
  <c r="H93" i="4"/>
  <c r="H226" i="4"/>
  <c r="H768" i="4"/>
  <c r="H699" i="4"/>
  <c r="H66" i="4"/>
  <c r="H806" i="4"/>
  <c r="H350" i="4"/>
  <c r="H652" i="4"/>
  <c r="H667" i="4"/>
  <c r="H398" i="4"/>
  <c r="H599" i="4"/>
  <c r="H471" i="4"/>
  <c r="H801" i="4"/>
  <c r="H923" i="4"/>
  <c r="H387" i="4"/>
  <c r="H686" i="4"/>
  <c r="H19" i="4"/>
  <c r="H295" i="4"/>
  <c r="H449" i="4"/>
  <c r="H674" i="4"/>
  <c r="H902" i="4"/>
  <c r="H314" i="4"/>
  <c r="H808" i="4"/>
  <c r="H178" i="4"/>
  <c r="H453" i="4"/>
  <c r="H748" i="4"/>
  <c r="H164" i="4"/>
  <c r="H713" i="4"/>
  <c r="H738" i="4"/>
  <c r="H845" i="4"/>
  <c r="H671" i="4"/>
  <c r="H802" i="4"/>
  <c r="H287" i="4"/>
  <c r="H729" i="4"/>
  <c r="H47" i="4"/>
  <c r="H330" i="4"/>
  <c r="H39" i="4"/>
  <c r="H54" i="4"/>
  <c r="H265" i="4"/>
  <c r="H448" i="4"/>
  <c r="H790" i="4"/>
  <c r="H166" i="4"/>
  <c r="H648" i="4"/>
  <c r="H40" i="4"/>
  <c r="H325" i="4"/>
  <c r="H42" i="4"/>
  <c r="H11" i="4"/>
  <c r="H609" i="4"/>
  <c r="H951" i="4"/>
  <c r="H543" i="4"/>
  <c r="H353" i="4"/>
  <c r="H715" i="4"/>
  <c r="H996" i="4"/>
  <c r="H315" i="4"/>
  <c r="H721" i="4"/>
  <c r="H873" i="4"/>
  <c r="H2" i="4"/>
  <c r="H278" i="4"/>
  <c r="H624" i="4"/>
  <c r="H16" i="4"/>
  <c r="H488" i="4"/>
  <c r="H677" i="4"/>
  <c r="H221" i="4"/>
  <c r="H428" i="4"/>
  <c r="H44" i="4"/>
  <c r="H953" i="4"/>
  <c r="H994" i="4"/>
  <c r="H568" i="4"/>
  <c r="H897" i="4"/>
  <c r="H511" i="4"/>
  <c r="H127" i="4"/>
  <c r="H703" i="4"/>
  <c r="H858" i="4"/>
  <c r="H88" i="4"/>
  <c r="H566" i="4"/>
  <c r="H747" i="4"/>
  <c r="H892" i="4"/>
  <c r="H91" i="4"/>
  <c r="H518" i="4"/>
  <c r="H960" i="4"/>
  <c r="H370" i="4"/>
  <c r="H597" i="4"/>
  <c r="H117" i="4"/>
  <c r="H412" i="4"/>
  <c r="H636" i="4"/>
  <c r="H898" i="4"/>
  <c r="H963" i="4"/>
  <c r="H527" i="4"/>
  <c r="H780" i="4"/>
  <c r="H470" i="4"/>
  <c r="H280" i="4"/>
  <c r="H531" i="4"/>
  <c r="H728" i="4"/>
  <c r="H321" i="4"/>
  <c r="H522" i="4"/>
  <c r="H705" i="4"/>
  <c r="H882" i="4"/>
  <c r="H64" i="4"/>
  <c r="H506" i="4"/>
  <c r="H928" i="4"/>
  <c r="H360" i="4"/>
  <c r="H589" i="4"/>
  <c r="H101" i="4"/>
  <c r="H12" i="4"/>
  <c r="H92" i="4"/>
  <c r="H212" i="4"/>
  <c r="H340" i="4"/>
  <c r="H436" i="4"/>
  <c r="H564" i="4"/>
  <c r="H676" i="4"/>
  <c r="H21" i="4"/>
  <c r="H149" i="4"/>
  <c r="H245" i="4"/>
  <c r="H373" i="4"/>
  <c r="H485" i="4"/>
  <c r="H605" i="4"/>
  <c r="H733" i="4"/>
  <c r="H82" i="4"/>
  <c r="H254" i="4"/>
  <c r="H392" i="4"/>
  <c r="H552" i="4"/>
  <c r="H722" i="4"/>
  <c r="H840" i="4"/>
  <c r="H968" i="4"/>
  <c r="H58" i="4"/>
  <c r="H218" i="4"/>
  <c r="H390" i="4"/>
  <c r="H528" i="4"/>
  <c r="H698" i="4"/>
  <c r="H830" i="4"/>
  <c r="H942" i="4"/>
  <c r="H135" i="4"/>
  <c r="H320" i="4"/>
  <c r="H546" i="4"/>
  <c r="H746" i="4"/>
  <c r="H914" i="4"/>
  <c r="H121" i="4"/>
  <c r="H307" i="4"/>
  <c r="H563" i="4"/>
  <c r="H777" i="4"/>
  <c r="H947" i="4"/>
  <c r="H152" i="4"/>
  <c r="H337" i="4"/>
  <c r="H578" i="4"/>
  <c r="H820" i="4"/>
  <c r="H67" i="4"/>
  <c r="H323" i="4"/>
  <c r="H521" i="4"/>
  <c r="H174" i="4"/>
  <c r="H374" i="4"/>
  <c r="H571" i="4"/>
  <c r="H770" i="4"/>
  <c r="H890" i="4"/>
  <c r="H63" i="4"/>
  <c r="H233" i="4"/>
  <c r="H417" i="4"/>
  <c r="H617" i="4"/>
  <c r="H745" i="4"/>
  <c r="H849" i="4"/>
  <c r="H945" i="4"/>
  <c r="H810" i="4"/>
  <c r="H425" i="4"/>
  <c r="H499" i="4"/>
  <c r="H825" i="4"/>
  <c r="H128" i="4"/>
  <c r="H583" i="4"/>
  <c r="H887" i="4"/>
  <c r="H625" i="4"/>
  <c r="H369" i="4"/>
  <c r="H87" i="4"/>
  <c r="H867" i="4"/>
  <c r="H681" i="4"/>
  <c r="H215" i="4"/>
  <c r="H641" i="4"/>
  <c r="H962" i="4"/>
  <c r="H455" i="4"/>
  <c r="H793" i="4"/>
  <c r="H185" i="4"/>
  <c r="H919" i="4"/>
  <c r="H739" i="4"/>
  <c r="H482" i="4"/>
  <c r="H270" i="4"/>
  <c r="H961" i="4"/>
  <c r="H116" i="4"/>
  <c r="H220" i="4"/>
  <c r="H348" i="4"/>
  <c r="H460" i="4"/>
  <c r="H572" i="4"/>
  <c r="H700" i="4"/>
  <c r="H29" i="4"/>
  <c r="H157" i="4"/>
  <c r="H269" i="4"/>
  <c r="H389" i="4"/>
  <c r="H517" i="4"/>
  <c r="H613" i="4"/>
  <c r="H741" i="4"/>
  <c r="H104" i="4"/>
  <c r="H264" i="4"/>
  <c r="H434" i="4"/>
  <c r="H562" i="4"/>
  <c r="H734" i="4"/>
  <c r="H856" i="4"/>
  <c r="H976" i="4"/>
  <c r="H102" i="4"/>
  <c r="H230" i="4"/>
  <c r="H400" i="4"/>
  <c r="H550" i="4"/>
  <c r="H710" i="4"/>
  <c r="H854" i="4"/>
  <c r="H958" i="4"/>
  <c r="H162" i="4"/>
  <c r="H347" i="4"/>
  <c r="H561" i="4"/>
  <c r="H786" i="4"/>
  <c r="H924" i="4"/>
  <c r="H137" i="4"/>
  <c r="H351" i="4"/>
  <c r="H577" i="4"/>
  <c r="H809" i="4"/>
  <c r="H957" i="4"/>
  <c r="H167" i="4"/>
  <c r="H379" i="4"/>
  <c r="H593" i="4"/>
  <c r="H884" i="4"/>
  <c r="H83" i="4"/>
  <c r="H339" i="4"/>
  <c r="H408" i="4"/>
  <c r="H202" i="4"/>
  <c r="H430" i="4"/>
  <c r="H586" i="4"/>
  <c r="H783" i="4"/>
  <c r="H911" i="4"/>
  <c r="H75" i="4"/>
  <c r="H275" i="4"/>
  <c r="H431" i="4"/>
  <c r="H631" i="4"/>
  <c r="H759" i="4"/>
  <c r="H859" i="4"/>
  <c r="H965" i="4"/>
  <c r="H842" i="4"/>
  <c r="H57" i="4"/>
  <c r="H539" i="4"/>
  <c r="H855" i="4"/>
  <c r="H184" i="4"/>
  <c r="H623" i="4"/>
  <c r="H941" i="4"/>
  <c r="H697" i="4"/>
  <c r="H481" i="4"/>
  <c r="H201" i="4"/>
  <c r="H929" i="4"/>
  <c r="H753" i="4"/>
  <c r="H271" i="4"/>
  <c r="H723" i="4"/>
  <c r="H993" i="4"/>
  <c r="H497" i="4"/>
  <c r="H823" i="4"/>
  <c r="H299" i="4"/>
  <c r="H973" i="4"/>
  <c r="H811" i="4"/>
  <c r="H639" i="4"/>
  <c r="H384" i="4"/>
  <c r="H124" i="4"/>
  <c r="H236" i="4"/>
  <c r="H356" i="4"/>
  <c r="H484" i="4"/>
  <c r="H588" i="4"/>
  <c r="H716" i="4"/>
  <c r="H45" i="4"/>
  <c r="H165" i="4"/>
  <c r="H293" i="4"/>
  <c r="H397" i="4"/>
  <c r="H525" i="4"/>
  <c r="H629" i="4"/>
  <c r="H749" i="4"/>
  <c r="H136" i="4"/>
  <c r="H274" i="4"/>
  <c r="H446" i="4"/>
  <c r="H594" i="4"/>
  <c r="H744" i="4"/>
  <c r="H880" i="4"/>
  <c r="H984" i="4"/>
  <c r="H112" i="4"/>
  <c r="H262" i="4"/>
  <c r="H422" i="4"/>
  <c r="H592" i="4"/>
  <c r="H720" i="4"/>
  <c r="H862" i="4"/>
  <c r="H974" i="4"/>
  <c r="H177" i="4"/>
  <c r="H406" i="4"/>
  <c r="H576" i="4"/>
  <c r="H796" i="4"/>
  <c r="H946" i="4"/>
  <c r="H163" i="4"/>
  <c r="H407" i="4"/>
  <c r="H591" i="4"/>
  <c r="H819" i="4"/>
  <c r="H979" i="4"/>
  <c r="H182" i="4"/>
  <c r="H438" i="4"/>
  <c r="H622" i="4"/>
  <c r="H916" i="4"/>
  <c r="H111" i="4"/>
  <c r="H367" i="4"/>
  <c r="H27" i="4"/>
  <c r="H216" i="4"/>
  <c r="H443" i="4"/>
  <c r="H615" i="4"/>
  <c r="H794" i="4"/>
  <c r="H943" i="4"/>
  <c r="H89" i="4"/>
  <c r="H289" i="4"/>
  <c r="H459" i="4"/>
  <c r="H643" i="4"/>
  <c r="H771" i="4"/>
  <c r="H881" i="4"/>
  <c r="H977" i="4"/>
  <c r="H874" i="4"/>
  <c r="H115" i="4"/>
  <c r="H579" i="4"/>
  <c r="H885" i="4"/>
  <c r="H241" i="4"/>
  <c r="H696" i="4"/>
  <c r="H972" i="4"/>
  <c r="H779" i="4"/>
  <c r="H554" i="4"/>
  <c r="H313" i="4"/>
  <c r="H983" i="4"/>
  <c r="H813" i="4"/>
  <c r="H385" i="4"/>
  <c r="H755" i="4"/>
  <c r="H56" i="4"/>
  <c r="H537" i="4"/>
  <c r="H853" i="4"/>
  <c r="H415" i="4"/>
  <c r="H86" i="4"/>
  <c r="H921" i="4"/>
  <c r="H711" i="4"/>
  <c r="H483" i="4"/>
  <c r="H20" i="4"/>
  <c r="H140" i="4"/>
  <c r="H268" i="4"/>
  <c r="H364" i="4"/>
  <c r="H492" i="4"/>
  <c r="H604" i="4"/>
  <c r="H724" i="4"/>
  <c r="H77" i="4"/>
  <c r="H173" i="4"/>
  <c r="H301" i="4"/>
  <c r="H413" i="4"/>
  <c r="H533" i="4"/>
  <c r="H661" i="4"/>
  <c r="H757" i="4"/>
  <c r="H146" i="4"/>
  <c r="H296" i="4"/>
  <c r="H456" i="4"/>
  <c r="H626" i="4"/>
  <c r="H766" i="4"/>
  <c r="H896" i="4"/>
  <c r="H1000" i="4"/>
  <c r="H122" i="4"/>
  <c r="H294" i="4"/>
  <c r="H432" i="4"/>
  <c r="H602" i="4"/>
  <c r="H742" i="4"/>
  <c r="H870" i="4"/>
  <c r="H998" i="4"/>
  <c r="H192" i="4"/>
  <c r="H418" i="4"/>
  <c r="H618" i="4"/>
  <c r="H807" i="4"/>
  <c r="H978" i="4"/>
  <c r="H179" i="4"/>
  <c r="H419" i="4"/>
  <c r="H633" i="4"/>
  <c r="H841" i="4"/>
  <c r="H22" i="4"/>
  <c r="H194" i="4"/>
  <c r="H450" i="4"/>
  <c r="H650" i="4"/>
  <c r="H927" i="4"/>
  <c r="H183" i="4"/>
  <c r="H383" i="4"/>
  <c r="H46" i="4"/>
  <c r="H246" i="4"/>
  <c r="H458" i="4"/>
  <c r="H657" i="4"/>
  <c r="H804" i="4"/>
  <c r="H954" i="4"/>
  <c r="H119" i="4"/>
  <c r="H303" i="4"/>
  <c r="H503" i="4"/>
  <c r="H659" i="4"/>
  <c r="H795" i="4"/>
  <c r="H891" i="4"/>
  <c r="H987" i="4"/>
  <c r="H906" i="4"/>
  <c r="H171" i="4"/>
  <c r="H611" i="4"/>
  <c r="H909" i="4"/>
  <c r="H354" i="4"/>
  <c r="H737" i="4"/>
  <c r="H73" i="4"/>
  <c r="H834" i="4"/>
  <c r="H627" i="4"/>
  <c r="H427" i="4"/>
  <c r="H98" i="4"/>
  <c r="H930" i="4"/>
  <c r="H441" i="4"/>
  <c r="H791" i="4"/>
  <c r="H113" i="4"/>
  <c r="H569" i="4"/>
  <c r="H877" i="4"/>
  <c r="H512" i="4"/>
  <c r="H312" i="4"/>
  <c r="H981" i="4"/>
  <c r="H781" i="4"/>
  <c r="H567" i="4"/>
  <c r="H148" i="4"/>
  <c r="H276" i="4"/>
  <c r="H380" i="4"/>
  <c r="H500" i="4"/>
  <c r="H628" i="4"/>
  <c r="H640" i="4"/>
  <c r="H25" i="4"/>
  <c r="H665" i="4"/>
  <c r="H610" i="4"/>
  <c r="H821" i="4"/>
  <c r="H985" i="4"/>
  <c r="H523" i="4"/>
  <c r="H889" i="4"/>
  <c r="H769" i="4"/>
  <c r="H971" i="4"/>
  <c r="H227" i="4"/>
  <c r="H997" i="4"/>
  <c r="H805" i="4"/>
  <c r="H515" i="4"/>
  <c r="H161" i="4"/>
  <c r="H826" i="4"/>
  <c r="H472" i="4"/>
  <c r="H59" i="4"/>
  <c r="H195" i="4"/>
  <c r="H706" i="4"/>
  <c r="H224" i="4"/>
  <c r="H851" i="4"/>
  <c r="H435" i="4"/>
  <c r="H999" i="4"/>
  <c r="H662" i="4"/>
  <c r="H219" i="4"/>
  <c r="H878" i="4"/>
  <c r="H614" i="4"/>
  <c r="H304" i="4"/>
  <c r="H6" i="4"/>
  <c r="H784" i="4"/>
  <c r="H466" i="4"/>
  <c r="H168" i="4"/>
  <c r="H669" i="4"/>
  <c r="H437" i="4"/>
  <c r="H197" i="4"/>
  <c r="H732" i="4"/>
  <c r="H420" i="4"/>
  <c r="H76" i="4"/>
  <c r="H970" i="4"/>
  <c r="H975" i="4"/>
  <c r="H980" i="4"/>
  <c r="H843" i="4"/>
  <c r="H426" i="4"/>
  <c r="H908" i="4"/>
  <c r="H170" i="4"/>
  <c r="H495" i="4"/>
  <c r="H327" i="4"/>
  <c r="H707" i="4"/>
  <c r="H129" i="4"/>
  <c r="H411" i="4"/>
  <c r="H654" i="4"/>
  <c r="H938" i="4"/>
  <c r="H901" i="4"/>
  <c r="H687" i="4"/>
  <c r="H319" i="4"/>
  <c r="H964" i="4"/>
  <c r="H672" i="4"/>
  <c r="H288" i="4"/>
  <c r="H439" i="4"/>
  <c r="H948" i="4"/>
  <c r="H465" i="4"/>
  <c r="H35" i="4"/>
  <c r="H675" i="4"/>
  <c r="H207" i="4"/>
  <c r="H828" i="4"/>
  <c r="H433" i="4"/>
  <c r="H17" i="4"/>
  <c r="H782" i="4"/>
  <c r="H454" i="4"/>
  <c r="H134" i="4"/>
  <c r="H904" i="4"/>
  <c r="H638" i="4"/>
  <c r="H338" i="4"/>
  <c r="H8" i="4"/>
  <c r="H541" i="4"/>
  <c r="H309" i="4"/>
  <c r="H85" i="4"/>
  <c r="H556" i="4"/>
  <c r="H284" i="4"/>
  <c r="H899" i="4"/>
  <c r="H371" i="4"/>
  <c r="H865" i="4"/>
  <c r="H767" i="4"/>
  <c r="H907" i="4"/>
  <c r="H159" i="4"/>
  <c r="H812" i="4"/>
  <c r="H256" i="4"/>
  <c r="H857" i="4"/>
  <c r="H71" i="4"/>
  <c r="H457" i="4"/>
  <c r="H750" i="4"/>
  <c r="H837" i="4"/>
  <c r="H575" i="4"/>
  <c r="H203" i="4"/>
  <c r="H879" i="4"/>
  <c r="H558" i="4"/>
  <c r="H160" i="4"/>
  <c r="H255" i="4"/>
  <c r="H778" i="4"/>
  <c r="H322" i="4"/>
  <c r="H937" i="4"/>
  <c r="H547" i="4"/>
  <c r="H65" i="4"/>
  <c r="H704" i="4"/>
  <c r="H305" i="4"/>
  <c r="H934" i="4"/>
  <c r="H688" i="4"/>
  <c r="H358" i="4"/>
  <c r="H38" i="4"/>
  <c r="H832" i="4"/>
  <c r="H542" i="4"/>
  <c r="H232" i="4"/>
  <c r="H709" i="4"/>
  <c r="H469" i="4"/>
  <c r="H237" i="4"/>
  <c r="H13" i="4"/>
  <c r="H532" i="4"/>
  <c r="H204" i="4"/>
  <c r="H789" i="4"/>
  <c r="H257" i="4"/>
  <c r="H803" i="4"/>
  <c r="H726" i="4"/>
  <c r="H876" i="4"/>
  <c r="H99" i="4"/>
  <c r="H751" i="4"/>
  <c r="H24" i="4"/>
  <c r="H833" i="4"/>
  <c r="H10" i="4"/>
  <c r="H399" i="4"/>
  <c r="H679" i="4"/>
  <c r="H827" i="4"/>
  <c r="H545" i="4"/>
  <c r="H191" i="4"/>
  <c r="H868" i="4"/>
  <c r="H544" i="4"/>
  <c r="H118" i="4"/>
  <c r="H225" i="4"/>
  <c r="H763" i="4"/>
  <c r="H310" i="4"/>
  <c r="H905" i="4"/>
  <c r="H491" i="4"/>
  <c r="H34" i="4"/>
  <c r="H689" i="4"/>
  <c r="H290" i="4"/>
  <c r="H926" i="4"/>
  <c r="H646" i="4"/>
  <c r="H336" i="4"/>
  <c r="H26" i="4"/>
  <c r="H816" i="4"/>
  <c r="H530" i="4"/>
  <c r="H200" i="4"/>
  <c r="H685" i="4"/>
  <c r="H461" i="4"/>
  <c r="H229" i="4"/>
  <c r="H5" i="4"/>
  <c r="H508" i="4"/>
  <c r="H188" i="4"/>
  <c r="H844" i="4"/>
  <c r="H155" i="4"/>
  <c r="H555" i="4"/>
  <c r="H866" i="4"/>
  <c r="H199" i="4"/>
  <c r="H585" i="4"/>
  <c r="H939" i="4"/>
  <c r="H683" i="4"/>
  <c r="H342" i="4"/>
  <c r="H931" i="4"/>
  <c r="H682" i="4"/>
  <c r="H329" i="4"/>
  <c r="H875" i="4"/>
  <c r="H214" i="4"/>
  <c r="H598" i="4"/>
  <c r="H835" i="4"/>
  <c r="H142" i="4"/>
  <c r="H553" i="4"/>
  <c r="H917" i="4"/>
  <c r="H655" i="4"/>
  <c r="H298" i="4"/>
  <c r="H940" i="4"/>
  <c r="H695" i="4"/>
  <c r="H343" i="4"/>
  <c r="H267" i="4"/>
  <c r="H788" i="4"/>
  <c r="H955" i="4"/>
  <c r="H869" i="4"/>
  <c r="H785" i="4"/>
  <c r="H673" i="4"/>
  <c r="H559" i="4"/>
  <c r="H447" i="4"/>
  <c r="H331" i="4"/>
  <c r="H217" i="4"/>
  <c r="H105" i="4"/>
  <c r="H986" i="4"/>
  <c r="H900" i="4"/>
  <c r="H815" i="4"/>
  <c r="H714" i="4"/>
  <c r="H600" i="4"/>
  <c r="H487" i="4"/>
  <c r="H359" i="4"/>
  <c r="H231" i="4"/>
  <c r="H103" i="4"/>
  <c r="H915" i="4"/>
  <c r="H395" i="4"/>
  <c r="H239" i="4"/>
  <c r="H97" i="4"/>
  <c r="H959" i="4"/>
  <c r="H799" i="4"/>
  <c r="H635" i="4"/>
  <c r="H507" i="4"/>
  <c r="H352" i="4"/>
  <c r="H209" i="4"/>
  <c r="H81" i="4"/>
  <c r="H969" i="4"/>
  <c r="H861" i="4"/>
  <c r="H761" i="4"/>
  <c r="H619" i="4"/>
  <c r="H463" i="4"/>
  <c r="H335" i="4"/>
  <c r="H193" i="4"/>
  <c r="H51" i="4"/>
  <c r="H935" i="4"/>
  <c r="H839" i="4"/>
  <c r="H731" i="4"/>
  <c r="H590" i="4"/>
  <c r="H462" i="4"/>
  <c r="H334" i="4"/>
  <c r="H206" i="4"/>
  <c r="H78" i="4"/>
  <c r="H966" i="4"/>
  <c r="H894" i="4"/>
  <c r="H814" i="4"/>
  <c r="H730" i="4"/>
  <c r="H634" i="4"/>
  <c r="H538" i="4"/>
  <c r="H442" i="4"/>
  <c r="H346" i="4"/>
  <c r="H250" i="4"/>
  <c r="H144" i="4"/>
  <c r="H48" i="4"/>
  <c r="H992" i="4"/>
  <c r="H920" i="4"/>
  <c r="H848" i="4"/>
  <c r="H776" i="4"/>
  <c r="H680" i="4"/>
  <c r="H574" i="4"/>
  <c r="H478" i="4"/>
  <c r="H382" i="4"/>
  <c r="H286" i="4"/>
  <c r="H190" i="4"/>
  <c r="H94" i="4"/>
  <c r="H773" i="4"/>
  <c r="H693" i="4"/>
  <c r="H621" i="4"/>
  <c r="H549" i="4"/>
  <c r="H477" i="4"/>
  <c r="H405" i="4"/>
  <c r="H333" i="4"/>
  <c r="H261" i="4"/>
  <c r="H181" i="4"/>
  <c r="H109" i="4"/>
  <c r="H37" i="4"/>
  <c r="H740" i="4"/>
  <c r="H668" i="4"/>
  <c r="H596" i="4"/>
  <c r="H524" i="4"/>
  <c r="H444" i="4"/>
  <c r="H372" i="4"/>
  <c r="H300" i="4"/>
  <c r="H228" i="4"/>
  <c r="H156" i="4"/>
  <c r="H84" i="4"/>
  <c r="H4" i="4"/>
  <c r="H68" i="4"/>
  <c r="H132" i="4"/>
  <c r="H196" i="4"/>
  <c r="H260" i="4"/>
  <c r="H324" i="4"/>
  <c r="H388" i="4"/>
  <c r="H452" i="4"/>
  <c r="H516" i="4"/>
  <c r="H580" i="4"/>
  <c r="H644" i="4"/>
  <c r="H708" i="4"/>
  <c r="H772" i="4"/>
  <c r="H61" i="4"/>
  <c r="H125" i="4"/>
  <c r="H189" i="4"/>
  <c r="H253" i="4"/>
  <c r="H317" i="4"/>
  <c r="H381" i="4"/>
  <c r="H445" i="4"/>
  <c r="H509" i="4"/>
  <c r="H573" i="4"/>
  <c r="H637" i="4"/>
  <c r="H701" i="4"/>
  <c r="H765" i="4"/>
  <c r="H72" i="4"/>
  <c r="H158" i="4"/>
  <c r="H242" i="4"/>
  <c r="H328" i="4"/>
  <c r="H414" i="4"/>
  <c r="H498" i="4"/>
  <c r="H584" i="4"/>
  <c r="H670" i="4"/>
  <c r="H754" i="4"/>
  <c r="H824" i="4"/>
  <c r="H888" i="4"/>
  <c r="H952" i="4"/>
  <c r="H31" i="4"/>
  <c r="H70" i="4"/>
  <c r="H154" i="4"/>
  <c r="H240" i="4"/>
  <c r="H326" i="4"/>
  <c r="H410" i="4"/>
  <c r="H496" i="4"/>
  <c r="H582" i="4"/>
  <c r="H666" i="4"/>
  <c r="H752" i="4"/>
  <c r="H822" i="4"/>
  <c r="H886" i="4"/>
  <c r="H950" i="4"/>
  <c r="H33" i="4"/>
  <c r="H150" i="4"/>
  <c r="H263" i="4"/>
  <c r="H376" i="4"/>
  <c r="H490" i="4"/>
  <c r="H603" i="4"/>
  <c r="H718" i="4"/>
  <c r="H818" i="4"/>
  <c r="H903" i="4"/>
  <c r="H988" i="4"/>
  <c r="H107" i="4"/>
  <c r="H235" i="4"/>
  <c r="H363" i="4"/>
  <c r="H479" i="4"/>
  <c r="H607" i="4"/>
  <c r="H719" i="4"/>
  <c r="H829" i="4"/>
  <c r="H925" i="4"/>
  <c r="H3" i="4"/>
  <c r="H123" i="4"/>
  <c r="H238" i="4"/>
  <c r="H366" i="4"/>
  <c r="H494" i="4"/>
  <c r="H608" i="4"/>
  <c r="H736" i="4"/>
  <c r="H895" i="4"/>
  <c r="H23" i="4"/>
  <c r="H153" i="4"/>
  <c r="H281" i="4"/>
  <c r="H409" i="4"/>
  <c r="H735" i="4"/>
  <c r="H74" i="4"/>
  <c r="H187" i="4"/>
  <c r="H302" i="4"/>
  <c r="H416" i="4"/>
  <c r="H601" i="4"/>
  <c r="H489" i="4"/>
  <c r="H375" i="4"/>
  <c r="H259" i="4"/>
  <c r="H147" i="4"/>
  <c r="H32" i="4"/>
  <c r="H932" i="4"/>
  <c r="H847" i="4"/>
  <c r="H758" i="4"/>
  <c r="H642" i="4"/>
  <c r="H529" i="4"/>
  <c r="H401" i="4"/>
  <c r="H273" i="4"/>
  <c r="H145" i="4"/>
  <c r="H14" i="4"/>
  <c r="H467" i="4"/>
  <c r="H311" i="4"/>
  <c r="H169" i="4"/>
  <c r="H7" i="4"/>
  <c r="H863" i="4"/>
  <c r="H694" i="4"/>
  <c r="H551" i="4"/>
  <c r="H423" i="4"/>
  <c r="H266" i="4"/>
  <c r="H138" i="4"/>
  <c r="H1001" i="4"/>
  <c r="H893" i="4"/>
  <c r="H797" i="4"/>
  <c r="H663" i="4"/>
  <c r="H535" i="4"/>
  <c r="H393" i="4"/>
  <c r="H249" i="4"/>
  <c r="H95" i="4"/>
  <c r="H967" i="4"/>
  <c r="H871" i="4"/>
  <c r="H775" i="4"/>
  <c r="H647" i="4"/>
  <c r="H519" i="4"/>
  <c r="H391" i="4"/>
  <c r="H248" i="4"/>
  <c r="H120" i="4"/>
  <c r="H990" i="4"/>
  <c r="H918" i="4"/>
  <c r="H846" i="4"/>
  <c r="H774" i="4"/>
  <c r="H678" i="4"/>
  <c r="H570" i="4"/>
  <c r="H474" i="4"/>
  <c r="H378" i="4"/>
  <c r="H282" i="4"/>
  <c r="H186" i="4"/>
  <c r="H90" i="4"/>
  <c r="H41" i="4"/>
  <c r="H944" i="4"/>
  <c r="H872" i="4"/>
  <c r="H800" i="4"/>
  <c r="H712" i="4"/>
  <c r="H616" i="4"/>
  <c r="H520" i="4"/>
  <c r="H424" i="4"/>
  <c r="H318" i="4"/>
  <c r="H222" i="4"/>
  <c r="H126" i="4"/>
  <c r="H30" i="4"/>
  <c r="H725" i="4"/>
  <c r="H653" i="4"/>
  <c r="H581" i="4"/>
  <c r="H501" i="4"/>
  <c r="H429" i="4"/>
  <c r="H357" i="4"/>
  <c r="H285" i="4"/>
  <c r="H213" i="4"/>
  <c r="H141" i="4"/>
  <c r="H69" i="4"/>
  <c r="H764" i="4"/>
  <c r="H692" i="4"/>
  <c r="H620" i="4"/>
  <c r="H548" i="4"/>
  <c r="H476" i="4"/>
  <c r="H404" i="4"/>
  <c r="H332" i="4"/>
  <c r="H252" i="4"/>
  <c r="H180" i="4"/>
  <c r="H108" i="4"/>
  <c r="H36" i="4"/>
  <c r="E4" i="5"/>
  <c r="F4" i="5"/>
  <c r="H587" i="4"/>
  <c r="H473" i="4"/>
  <c r="H361" i="4"/>
  <c r="H247" i="4"/>
  <c r="H131" i="4"/>
  <c r="H15" i="4"/>
  <c r="H922" i="4"/>
  <c r="H836" i="4"/>
  <c r="H743" i="4"/>
  <c r="H630" i="4"/>
  <c r="H514" i="4"/>
  <c r="H386" i="4"/>
  <c r="H258" i="4"/>
  <c r="H130" i="4"/>
  <c r="H831" i="4"/>
  <c r="H451" i="4"/>
  <c r="H297" i="4"/>
  <c r="H139" i="4"/>
  <c r="H991" i="4"/>
  <c r="H852" i="4"/>
  <c r="H664" i="4"/>
  <c r="H536" i="4"/>
  <c r="H394" i="4"/>
  <c r="H251" i="4"/>
  <c r="H110" i="4"/>
  <c r="H989" i="4"/>
  <c r="H883" i="4"/>
  <c r="H787" i="4"/>
  <c r="H649" i="4"/>
  <c r="H505" i="4"/>
  <c r="H377" i="4"/>
  <c r="H223" i="4"/>
  <c r="H79" i="4"/>
  <c r="H956" i="4"/>
  <c r="H860" i="4"/>
  <c r="H760" i="4"/>
  <c r="H632" i="4"/>
  <c r="H504" i="4"/>
  <c r="H362" i="4"/>
  <c r="H234" i="4"/>
  <c r="H106" i="4"/>
  <c r="H982" i="4"/>
  <c r="H910" i="4"/>
  <c r="H838" i="4"/>
  <c r="H762" i="4"/>
  <c r="H656" i="4"/>
  <c r="H560" i="4"/>
  <c r="H464" i="4"/>
  <c r="H368" i="4"/>
  <c r="H272" i="4"/>
  <c r="H176" i="4"/>
  <c r="H80" i="4"/>
  <c r="H9" i="4"/>
  <c r="H936" i="4"/>
  <c r="H864" i="4"/>
  <c r="H792" i="4"/>
  <c r="H702" i="4"/>
  <c r="H606" i="4"/>
  <c r="H510" i="4"/>
  <c r="H402" i="4"/>
  <c r="H306" i="4"/>
  <c r="H210" i="4"/>
  <c r="H114" i="4"/>
  <c r="H18" i="4"/>
  <c r="H717" i="4"/>
  <c r="H645" i="4"/>
  <c r="H565" i="4"/>
  <c r="H493" i="4"/>
  <c r="H421" i="4"/>
  <c r="H349" i="4"/>
  <c r="H277" i="4"/>
  <c r="H205" i="4"/>
  <c r="H133" i="4"/>
  <c r="H53" i="4"/>
  <c r="H756" i="4"/>
  <c r="H684" i="4"/>
  <c r="H612" i="4"/>
  <c r="H540" i="4"/>
  <c r="H468" i="4"/>
  <c r="H396" i="4"/>
  <c r="H316" i="4"/>
  <c r="H244" i="4"/>
  <c r="H172" i="4"/>
  <c r="H100" i="4"/>
  <c r="H28" i="4"/>
  <c r="H602" i="3"/>
  <c r="H252" i="3"/>
  <c r="H140" i="3"/>
  <c r="H613" i="3"/>
  <c r="H327" i="3"/>
  <c r="H454" i="3"/>
  <c r="H233" i="3"/>
  <c r="H189" i="3"/>
  <c r="H271" i="3"/>
  <c r="H134" i="3"/>
  <c r="H196" i="3"/>
  <c r="H156" i="3"/>
  <c r="H283" i="3"/>
  <c r="H597" i="3"/>
  <c r="H153" i="3"/>
  <c r="H858" i="3"/>
  <c r="H532" i="3"/>
  <c r="H55" i="3"/>
  <c r="H598" i="3"/>
  <c r="H959" i="3"/>
  <c r="H681" i="3"/>
  <c r="H564" i="3"/>
  <c r="H826" i="3"/>
  <c r="H80" i="3"/>
  <c r="H955" i="3"/>
  <c r="H471" i="3"/>
  <c r="H816" i="3"/>
  <c r="H610" i="3"/>
  <c r="H918" i="3"/>
  <c r="H793" i="3"/>
  <c r="H791" i="3"/>
  <c r="H20" i="3"/>
  <c r="H236" i="3"/>
  <c r="H747" i="3"/>
  <c r="H231" i="3"/>
  <c r="H645" i="3"/>
  <c r="H601" i="3"/>
  <c r="H304" i="3"/>
  <c r="H2" i="3"/>
  <c r="H643" i="3"/>
  <c r="H660" i="3"/>
  <c r="H351" i="3"/>
  <c r="H987" i="3"/>
  <c r="H212" i="3"/>
  <c r="H299" i="3"/>
  <c r="H199" i="3"/>
  <c r="H623" i="3"/>
  <c r="H324" i="3"/>
  <c r="H280" i="3"/>
  <c r="H489" i="3"/>
  <c r="H991" i="3"/>
  <c r="H54" i="3"/>
  <c r="H691" i="3"/>
  <c r="H887" i="3"/>
  <c r="H382" i="3"/>
  <c r="H746" i="3"/>
  <c r="H363" i="3"/>
  <c r="H261" i="3"/>
  <c r="H632" i="3"/>
  <c r="H346" i="3"/>
  <c r="H895" i="3"/>
  <c r="H803" i="3"/>
  <c r="H808" i="3"/>
  <c r="H675" i="3"/>
  <c r="H105" i="3"/>
  <c r="H695" i="3"/>
  <c r="H916" i="3"/>
  <c r="H609" i="3"/>
  <c r="H862" i="3"/>
  <c r="H911" i="3"/>
  <c r="H735" i="3"/>
  <c r="H235" i="3"/>
  <c r="H765" i="3"/>
  <c r="H600" i="3"/>
  <c r="H290" i="3"/>
  <c r="H967" i="3"/>
  <c r="H513" i="3"/>
  <c r="H879" i="3"/>
  <c r="H220" i="3"/>
  <c r="H850" i="3"/>
  <c r="H760" i="3"/>
  <c r="H246" i="3"/>
  <c r="H179" i="3"/>
  <c r="H733" i="3"/>
  <c r="H400" i="3"/>
  <c r="H274" i="3"/>
  <c r="H81" i="3"/>
  <c r="H923" i="3"/>
  <c r="H374" i="3"/>
  <c r="H842" i="3"/>
  <c r="H417" i="3"/>
  <c r="H135" i="3"/>
  <c r="H716" i="3"/>
  <c r="H727" i="3"/>
  <c r="H75" i="3"/>
  <c r="H585" i="3"/>
  <c r="H936" i="3"/>
  <c r="H387" i="3"/>
  <c r="H668" i="3"/>
  <c r="H908" i="3"/>
  <c r="H253" i="3"/>
  <c r="H736" i="3"/>
  <c r="H149" i="3"/>
  <c r="H606" i="3"/>
  <c r="H51" i="3"/>
  <c r="H631" i="3"/>
  <c r="H127" i="3"/>
  <c r="H517" i="3"/>
  <c r="H165" i="3"/>
  <c r="H569" i="3"/>
  <c r="H142" i="3"/>
  <c r="H592" i="3"/>
  <c r="H240" i="3"/>
  <c r="H578" i="3"/>
  <c r="H258" i="3"/>
  <c r="H778" i="3"/>
  <c r="H811" i="3"/>
  <c r="H287" i="3"/>
  <c r="H777" i="3"/>
  <c r="H230" i="3"/>
  <c r="H968" i="3"/>
  <c r="H439" i="3"/>
  <c r="H678" i="3"/>
  <c r="H49" i="3"/>
  <c r="H521" i="3"/>
  <c r="H925" i="3"/>
  <c r="H257" i="3"/>
  <c r="H627" i="3"/>
  <c r="H871" i="3"/>
  <c r="H209" i="3"/>
  <c r="H607" i="3"/>
  <c r="H12" i="3"/>
  <c r="H524" i="3"/>
  <c r="H985" i="3"/>
  <c r="H589" i="3"/>
  <c r="H94" i="3"/>
  <c r="H475" i="3"/>
  <c r="H101" i="3"/>
  <c r="H537" i="3"/>
  <c r="H110" i="3"/>
  <c r="H552" i="3"/>
  <c r="H232" i="3"/>
  <c r="H506" i="3"/>
  <c r="H162" i="3"/>
  <c r="H636" i="3"/>
  <c r="H732" i="3"/>
  <c r="H181" i="3"/>
  <c r="H340" i="3"/>
  <c r="H825" i="3"/>
  <c r="H870" i="3"/>
  <c r="H383" i="3"/>
  <c r="H652" i="3"/>
  <c r="H21" i="3"/>
  <c r="H390" i="3"/>
  <c r="H769" i="3"/>
  <c r="H172" i="3"/>
  <c r="H561" i="3"/>
  <c r="H847" i="3"/>
  <c r="H188" i="3"/>
  <c r="H510" i="3"/>
  <c r="H965" i="3"/>
  <c r="H509" i="3"/>
  <c r="H977" i="3"/>
  <c r="H461" i="3"/>
  <c r="H806" i="3"/>
  <c r="H443" i="3"/>
  <c r="H91" i="3"/>
  <c r="H430" i="3"/>
  <c r="H3" i="3"/>
  <c r="H488" i="3"/>
  <c r="H144" i="3"/>
  <c r="H466" i="3"/>
  <c r="H146" i="3"/>
  <c r="H449" i="3"/>
  <c r="H397" i="3"/>
  <c r="H465" i="3"/>
  <c r="H158" i="3"/>
  <c r="H683" i="3"/>
  <c r="H792" i="3"/>
  <c r="H269" i="3"/>
  <c r="H481" i="3"/>
  <c r="H852" i="3"/>
  <c r="H285" i="3"/>
  <c r="H754" i="3"/>
  <c r="H145" i="3"/>
  <c r="H497" i="3"/>
  <c r="H715" i="3"/>
  <c r="H948" i="3"/>
  <c r="H493" i="3"/>
  <c r="H928" i="3"/>
  <c r="H492" i="3"/>
  <c r="H953" i="3"/>
  <c r="H419" i="3"/>
  <c r="H782" i="3"/>
  <c r="H431" i="3"/>
  <c r="H47" i="3"/>
  <c r="H398" i="3"/>
  <c r="H99" i="3"/>
  <c r="H432" i="3"/>
  <c r="H104" i="3"/>
  <c r="H450" i="3"/>
  <c r="H98" i="3"/>
  <c r="H744" i="3"/>
  <c r="H103" i="3"/>
  <c r="H180" i="3"/>
  <c r="H38" i="3"/>
  <c r="H404" i="3"/>
  <c r="H359" i="3"/>
  <c r="H927" i="3"/>
  <c r="H437" i="3"/>
  <c r="H839" i="3"/>
  <c r="H241" i="3"/>
  <c r="H721" i="3"/>
  <c r="H65" i="3"/>
  <c r="H300" i="3"/>
  <c r="H662" i="3"/>
  <c r="H920" i="3"/>
  <c r="H428" i="3"/>
  <c r="H919" i="3"/>
  <c r="H343" i="3"/>
  <c r="H848" i="3"/>
  <c r="H405" i="3"/>
  <c r="H758" i="3"/>
  <c r="H335" i="3"/>
  <c r="H789" i="3"/>
  <c r="H345" i="3"/>
  <c r="H87" i="3"/>
  <c r="H408" i="3"/>
  <c r="H88" i="3"/>
  <c r="H410" i="3"/>
  <c r="H90" i="3"/>
  <c r="H880" i="3"/>
  <c r="H996" i="3"/>
  <c r="H932" i="3"/>
  <c r="H942" i="3"/>
  <c r="H978" i="3"/>
  <c r="H915" i="3"/>
  <c r="H818" i="3"/>
  <c r="H960" i="3"/>
  <c r="H958" i="3"/>
  <c r="H984" i="3"/>
  <c r="H820" i="3"/>
  <c r="H832" i="3"/>
  <c r="H897" i="3"/>
  <c r="H698" i="3"/>
  <c r="H830" i="3"/>
  <c r="H702" i="3"/>
  <c r="H821" i="3"/>
  <c r="H665" i="3"/>
  <c r="H666" i="3"/>
  <c r="H898" i="3"/>
  <c r="H815" i="3"/>
  <c r="H979" i="3"/>
  <c r="H289" i="3"/>
  <c r="H467" i="3"/>
  <c r="H275" i="3"/>
  <c r="H954" i="3"/>
  <c r="H244" i="3"/>
  <c r="H614" i="3"/>
  <c r="H886" i="3"/>
  <c r="H841" i="3"/>
  <c r="H62" i="3"/>
  <c r="H309" i="3"/>
  <c r="H679" i="3"/>
  <c r="H952" i="3"/>
  <c r="H743" i="3"/>
  <c r="H457" i="3"/>
  <c r="H125" i="3"/>
  <c r="H890" i="3"/>
  <c r="H629" i="3"/>
  <c r="H326" i="3"/>
  <c r="H998" i="3"/>
  <c r="H802" i="3"/>
  <c r="H540" i="3"/>
  <c r="H193" i="3"/>
  <c r="H899" i="3"/>
  <c r="H646" i="3"/>
  <c r="H276" i="3"/>
  <c r="H944" i="3"/>
  <c r="H682" i="3"/>
  <c r="H317" i="3"/>
  <c r="H975" i="3"/>
  <c r="H785" i="3"/>
  <c r="H557" i="3"/>
  <c r="H267" i="3"/>
  <c r="H974" i="3"/>
  <c r="H819" i="3"/>
  <c r="H588" i="3"/>
  <c r="H329" i="3"/>
  <c r="H993" i="3"/>
  <c r="H857" i="3"/>
  <c r="H688" i="3"/>
  <c r="H447" i="3"/>
  <c r="H221" i="3"/>
  <c r="H814" i="3"/>
  <c r="H677" i="3"/>
  <c r="H507" i="3"/>
  <c r="H303" i="3"/>
  <c r="H133" i="3"/>
  <c r="H797" i="3"/>
  <c r="H612" i="3"/>
  <c r="H409" i="3"/>
  <c r="H185" i="3"/>
  <c r="H151" i="3"/>
  <c r="H616" i="3"/>
  <c r="H440" i="3"/>
  <c r="H296" i="3"/>
  <c r="H120" i="3"/>
  <c r="H658" i="3"/>
  <c r="H474" i="3"/>
  <c r="H314" i="3"/>
  <c r="H154" i="3"/>
  <c r="H859" i="3"/>
  <c r="H53" i="3"/>
  <c r="H401" i="3"/>
  <c r="H663" i="3"/>
  <c r="H861" i="3"/>
  <c r="H85" i="3"/>
  <c r="H714" i="3"/>
  <c r="H696" i="3"/>
  <c r="H894" i="3"/>
  <c r="H139" i="3"/>
  <c r="H318" i="3"/>
  <c r="H550" i="3"/>
  <c r="H703" i="3"/>
  <c r="H882" i="3"/>
  <c r="H211" i="3"/>
  <c r="H868" i="3"/>
  <c r="H630" i="3"/>
  <c r="H286" i="3"/>
  <c r="H963" i="3"/>
  <c r="H775" i="3"/>
  <c r="H500" i="3"/>
  <c r="H195" i="3"/>
  <c r="H900" i="3"/>
  <c r="H669" i="3"/>
  <c r="H369" i="3"/>
  <c r="H19" i="3"/>
  <c r="H801" i="3"/>
  <c r="H451" i="3"/>
  <c r="H63" i="3"/>
  <c r="H828" i="3"/>
  <c r="H511" i="3"/>
  <c r="H159" i="3"/>
  <c r="H875" i="3"/>
  <c r="H671" i="3"/>
  <c r="H413" i="3"/>
  <c r="H129" i="3"/>
  <c r="H910" i="3"/>
  <c r="H711" i="3"/>
  <c r="H444" i="3"/>
  <c r="H182" i="3"/>
  <c r="H929" i="3"/>
  <c r="H784" i="3"/>
  <c r="H563" i="3"/>
  <c r="H319" i="3"/>
  <c r="H76" i="3"/>
  <c r="H750" i="3"/>
  <c r="H603" i="3"/>
  <c r="H389" i="3"/>
  <c r="H207" i="3"/>
  <c r="H37" i="3"/>
  <c r="H725" i="3"/>
  <c r="H526" i="3"/>
  <c r="H281" i="3"/>
  <c r="H68" i="3"/>
  <c r="H23" i="3"/>
  <c r="H536" i="3"/>
  <c r="H376" i="3"/>
  <c r="H208" i="3"/>
  <c r="H40" i="3"/>
  <c r="H570" i="3"/>
  <c r="H402" i="3"/>
  <c r="H250" i="3"/>
  <c r="H10" i="3"/>
  <c r="H18" i="3"/>
  <c r="H122" i="3"/>
  <c r="H218" i="3"/>
  <c r="H322" i="3"/>
  <c r="H418" i="3"/>
  <c r="H530" i="3"/>
  <c r="H634" i="3"/>
  <c r="H48" i="3"/>
  <c r="H152" i="3"/>
  <c r="H248" i="3"/>
  <c r="H360" i="3"/>
  <c r="H464" i="3"/>
  <c r="H560" i="3"/>
  <c r="H664" i="3"/>
  <c r="H109" i="3"/>
  <c r="H89" i="3"/>
  <c r="H228" i="3"/>
  <c r="H356" i="3"/>
  <c r="H494" i="3"/>
  <c r="H622" i="3"/>
  <c r="H749" i="3"/>
  <c r="H853" i="3"/>
  <c r="H111" i="3"/>
  <c r="H219" i="3"/>
  <c r="H347" i="3"/>
  <c r="H453" i="3"/>
  <c r="H559" i="3"/>
  <c r="H686" i="3"/>
  <c r="H766" i="3"/>
  <c r="H846" i="3"/>
  <c r="H191" i="3"/>
  <c r="H333" i="3"/>
  <c r="H477" i="3"/>
  <c r="H647" i="3"/>
  <c r="H762" i="3"/>
  <c r="H865" i="3"/>
  <c r="H961" i="3"/>
  <c r="H86" i="3"/>
  <c r="H265" i="3"/>
  <c r="H459" i="3"/>
  <c r="H621" i="3"/>
  <c r="H759" i="3"/>
  <c r="H892" i="3"/>
  <c r="H983" i="3"/>
  <c r="H169" i="3"/>
  <c r="H364" i="3"/>
  <c r="H525" i="3"/>
  <c r="H687" i="3"/>
  <c r="H833" i="3"/>
  <c r="H930" i="3"/>
  <c r="H60" i="3"/>
  <c r="H339" i="3"/>
  <c r="H553" i="3"/>
  <c r="H748" i="3"/>
  <c r="H922" i="3"/>
  <c r="H93" i="3"/>
  <c r="H321" i="3"/>
  <c r="H582" i="3"/>
  <c r="H768" i="3"/>
  <c r="H912" i="3"/>
  <c r="H95" i="3"/>
  <c r="H301" i="3"/>
  <c r="H499" i="3"/>
  <c r="H690" i="3"/>
  <c r="H835" i="3"/>
  <c r="H950" i="3"/>
  <c r="H150" i="3"/>
  <c r="H350" i="3"/>
  <c r="H543" i="3"/>
  <c r="H724" i="3"/>
  <c r="H867" i="3"/>
  <c r="H976" i="3"/>
  <c r="H177" i="3"/>
  <c r="H393" i="3"/>
  <c r="H587" i="3"/>
  <c r="H756" i="3"/>
  <c r="H891" i="3"/>
  <c r="H1000" i="3"/>
  <c r="H502" i="3"/>
  <c r="H917" i="3"/>
  <c r="H483" i="3"/>
  <c r="H906" i="3"/>
  <c r="H425" i="3"/>
  <c r="H872" i="3"/>
  <c r="H508" i="3"/>
  <c r="H26" i="3"/>
  <c r="H130" i="3"/>
  <c r="H226" i="3"/>
  <c r="H338" i="3"/>
  <c r="H442" i="3"/>
  <c r="H538" i="3"/>
  <c r="H642" i="3"/>
  <c r="H56" i="3"/>
  <c r="H168" i="3"/>
  <c r="H272" i="3"/>
  <c r="H368" i="3"/>
  <c r="H472" i="3"/>
  <c r="H568" i="3"/>
  <c r="H680" i="3"/>
  <c r="H141" i="3"/>
  <c r="H100" i="3"/>
  <c r="H238" i="3"/>
  <c r="H366" i="3"/>
  <c r="H516" i="3"/>
  <c r="H654" i="3"/>
  <c r="H757" i="3"/>
  <c r="H5" i="3"/>
  <c r="H123" i="3"/>
  <c r="H251" i="3"/>
  <c r="H357" i="3"/>
  <c r="H463" i="3"/>
  <c r="H591" i="3"/>
  <c r="H694" i="3"/>
  <c r="H774" i="3"/>
  <c r="H43" i="3"/>
  <c r="H205" i="3"/>
  <c r="H349" i="3"/>
  <c r="H519" i="3"/>
  <c r="H661" i="3"/>
  <c r="H772" i="3"/>
  <c r="H889" i="3"/>
  <c r="H969" i="3"/>
  <c r="H107" i="3"/>
  <c r="H311" i="3"/>
  <c r="H476" i="3"/>
  <c r="H638" i="3"/>
  <c r="H795" i="3"/>
  <c r="H901" i="3"/>
  <c r="H992" i="3"/>
  <c r="H215" i="3"/>
  <c r="H381" i="3"/>
  <c r="H542" i="3"/>
  <c r="H723" i="3"/>
  <c r="H844" i="3"/>
  <c r="H939" i="3"/>
  <c r="H137" i="3"/>
  <c r="H358" i="3"/>
  <c r="H577" i="3"/>
  <c r="H799" i="3"/>
  <c r="H933" i="3"/>
  <c r="H117" i="3"/>
  <c r="H385" i="3"/>
  <c r="H599" i="3"/>
  <c r="H786" i="3"/>
  <c r="H949" i="3"/>
  <c r="H118" i="3"/>
  <c r="H323" i="3"/>
  <c r="H518" i="3"/>
  <c r="H705" i="3"/>
  <c r="H851" i="3"/>
  <c r="H973" i="3"/>
  <c r="H173" i="3"/>
  <c r="H371" i="3"/>
  <c r="H565" i="3"/>
  <c r="H739" i="3"/>
  <c r="H878" i="3"/>
  <c r="H988" i="3"/>
  <c r="H222" i="3"/>
  <c r="H415" i="3"/>
  <c r="H611" i="3"/>
  <c r="H776" i="3"/>
  <c r="H904" i="3"/>
  <c r="H7" i="3"/>
  <c r="H555" i="3"/>
  <c r="H980" i="3"/>
  <c r="H534" i="3"/>
  <c r="H934" i="3"/>
  <c r="H486" i="3"/>
  <c r="H907" i="3"/>
  <c r="H595" i="3"/>
  <c r="H82" i="3"/>
  <c r="H186" i="3"/>
  <c r="H282" i="3"/>
  <c r="H386" i="3"/>
  <c r="H482" i="3"/>
  <c r="H594" i="3"/>
  <c r="H16" i="3"/>
  <c r="H112" i="3"/>
  <c r="H216" i="3"/>
  <c r="H312" i="3"/>
  <c r="H424" i="3"/>
  <c r="H528" i="3"/>
  <c r="H624" i="3"/>
  <c r="H67" i="3"/>
  <c r="H25" i="3"/>
  <c r="H174" i="3"/>
  <c r="H313" i="3"/>
  <c r="H441" i="3"/>
  <c r="H580" i="3"/>
  <c r="H701" i="3"/>
  <c r="H813" i="3"/>
  <c r="H79" i="3"/>
  <c r="H187" i="3"/>
  <c r="H293" i="3"/>
  <c r="H421" i="3"/>
  <c r="H527" i="3"/>
  <c r="H635" i="3"/>
  <c r="H742" i="3"/>
  <c r="H822" i="3"/>
  <c r="H113" i="3"/>
  <c r="H291" i="3"/>
  <c r="H435" i="3"/>
  <c r="H575" i="3"/>
  <c r="H730" i="3"/>
  <c r="H836" i="3"/>
  <c r="H921" i="3"/>
  <c r="H30" i="3"/>
  <c r="H214" i="3"/>
  <c r="H380" i="3"/>
  <c r="H573" i="3"/>
  <c r="H722" i="3"/>
  <c r="H843" i="3"/>
  <c r="H956" i="3"/>
  <c r="H108" i="3"/>
  <c r="H284" i="3"/>
  <c r="H478" i="3"/>
  <c r="H639" i="3"/>
  <c r="H771" i="3"/>
  <c r="H902" i="3"/>
  <c r="H994" i="3"/>
  <c r="H227" i="3"/>
  <c r="H487" i="3"/>
  <c r="H700" i="3"/>
  <c r="H860" i="3"/>
  <c r="H17" i="3"/>
  <c r="H255" i="3"/>
  <c r="H470" i="3"/>
  <c r="H719" i="3"/>
  <c r="H876" i="3"/>
  <c r="H997" i="3"/>
  <c r="H213" i="3"/>
  <c r="H433" i="3"/>
  <c r="H628" i="3"/>
  <c r="H787" i="3"/>
  <c r="H914" i="3"/>
  <c r="H44" i="3"/>
  <c r="H259" i="3"/>
  <c r="H455" i="3"/>
  <c r="H673" i="3"/>
  <c r="H823" i="3"/>
  <c r="H940" i="3"/>
  <c r="H102" i="3"/>
  <c r="H308" i="3"/>
  <c r="H501" i="3"/>
  <c r="H692" i="3"/>
  <c r="H854" i="3"/>
  <c r="H964" i="3"/>
  <c r="H332" i="3"/>
  <c r="H810" i="3"/>
  <c r="H245" i="3"/>
  <c r="H745" i="3"/>
  <c r="H203" i="3"/>
  <c r="H751" i="3"/>
  <c r="H225" i="3"/>
  <c r="H551" i="3"/>
  <c r="H982" i="3"/>
  <c r="H295" i="3"/>
  <c r="H572" i="3"/>
  <c r="H800" i="3"/>
  <c r="H909" i="3"/>
  <c r="H531" i="3"/>
  <c r="H529" i="3"/>
  <c r="H827" i="3"/>
  <c r="H29" i="3"/>
  <c r="H116" i="3"/>
  <c r="H373" i="3"/>
  <c r="H659" i="3"/>
  <c r="H849" i="3"/>
  <c r="H83" i="3"/>
  <c r="H824" i="3"/>
  <c r="H566" i="3"/>
  <c r="H262" i="3"/>
  <c r="H951" i="3"/>
  <c r="H755" i="3"/>
  <c r="H436" i="3"/>
  <c r="H97" i="3"/>
  <c r="H888" i="3"/>
  <c r="H649" i="3"/>
  <c r="H342" i="3"/>
  <c r="H986" i="3"/>
  <c r="H753" i="3"/>
  <c r="H429" i="3"/>
  <c r="H39" i="3"/>
  <c r="H812" i="3"/>
  <c r="H423" i="3"/>
  <c r="H33" i="3"/>
  <c r="H866" i="3"/>
  <c r="H657" i="3"/>
  <c r="H396" i="3"/>
  <c r="H92" i="3"/>
  <c r="H883" i="3"/>
  <c r="H697" i="3"/>
  <c r="H395" i="3"/>
  <c r="H126" i="3"/>
  <c r="H913" i="3"/>
  <c r="H752" i="3"/>
  <c r="H547" i="3"/>
  <c r="H307" i="3"/>
  <c r="H61" i="3"/>
  <c r="H718" i="3"/>
  <c r="H549" i="3"/>
  <c r="H379" i="3"/>
  <c r="H197" i="3"/>
  <c r="H27" i="3"/>
  <c r="H693" i="3"/>
  <c r="H484" i="3"/>
  <c r="H270" i="3"/>
  <c r="H57" i="3"/>
  <c r="H13" i="3"/>
  <c r="H504" i="3"/>
  <c r="H344" i="3"/>
  <c r="H184" i="3"/>
  <c r="H24" i="3"/>
  <c r="H546" i="3"/>
  <c r="H378" i="3"/>
  <c r="H210" i="3"/>
  <c r="H58" i="3"/>
  <c r="H355" i="3"/>
  <c r="H931" i="3"/>
  <c r="H223" i="3"/>
  <c r="H469" i="3"/>
  <c r="H729" i="3"/>
  <c r="H780" i="3"/>
  <c r="H166" i="3"/>
  <c r="H438" i="3"/>
  <c r="H767" i="3"/>
  <c r="H990" i="3"/>
  <c r="H971" i="3"/>
  <c r="H310" i="3"/>
  <c r="H596" i="3"/>
  <c r="H763" i="3"/>
  <c r="H989" i="3"/>
  <c r="H807" i="3"/>
  <c r="H523" i="3"/>
  <c r="H243" i="3"/>
  <c r="H926" i="3"/>
  <c r="H706" i="3"/>
  <c r="H414" i="3"/>
  <c r="H73" i="3"/>
  <c r="H877" i="3"/>
  <c r="H604" i="3"/>
  <c r="H278" i="3"/>
  <c r="H972" i="3"/>
  <c r="H737" i="3"/>
  <c r="H406" i="3"/>
  <c r="H970" i="3"/>
  <c r="H731" i="3"/>
  <c r="H403" i="3"/>
  <c r="H6" i="3"/>
  <c r="H856" i="3"/>
  <c r="H625" i="3"/>
  <c r="H348" i="3"/>
  <c r="H71" i="3"/>
  <c r="H855" i="3"/>
  <c r="H653" i="3"/>
  <c r="H361" i="3"/>
  <c r="H70" i="3"/>
  <c r="H905" i="3"/>
  <c r="H740" i="3"/>
  <c r="H533" i="3"/>
  <c r="H247" i="3"/>
  <c r="H838" i="3"/>
  <c r="H710" i="3"/>
  <c r="H539" i="3"/>
  <c r="H367" i="3"/>
  <c r="H175" i="3"/>
  <c r="H829" i="3"/>
  <c r="H685" i="3"/>
  <c r="H452" i="3"/>
  <c r="H260" i="3"/>
  <c r="H14" i="3"/>
  <c r="H656" i="3"/>
  <c r="H496" i="3"/>
  <c r="H336" i="3"/>
  <c r="H176" i="3"/>
  <c r="H674" i="3"/>
  <c r="H514" i="3"/>
  <c r="H354" i="3"/>
  <c r="H194" i="3"/>
  <c r="H34" i="3"/>
  <c r="G6" i="4"/>
  <c r="G14" i="4"/>
  <c r="G22" i="4"/>
  <c r="G30" i="4"/>
  <c r="G38" i="4"/>
  <c r="G46" i="4"/>
  <c r="G54" i="4"/>
  <c r="G62" i="4"/>
  <c r="G70" i="4"/>
  <c r="G78" i="4"/>
  <c r="G86" i="4"/>
  <c r="G94" i="4"/>
  <c r="G102" i="4"/>
  <c r="G110" i="4"/>
  <c r="G118" i="4"/>
  <c r="G126" i="4"/>
  <c r="G134" i="4"/>
  <c r="G142" i="4"/>
  <c r="G150" i="4"/>
  <c r="G158" i="4"/>
  <c r="G166" i="4"/>
  <c r="G174" i="4"/>
  <c r="G182" i="4"/>
  <c r="G190" i="4"/>
  <c r="G198" i="4"/>
  <c r="G206" i="4"/>
  <c r="G214" i="4"/>
  <c r="G222" i="4"/>
  <c r="G230" i="4"/>
  <c r="G238" i="4"/>
  <c r="G246" i="4"/>
  <c r="G254" i="4"/>
  <c r="G262" i="4"/>
  <c r="G270" i="4"/>
  <c r="G278" i="4"/>
  <c r="G286" i="4"/>
  <c r="G294" i="4"/>
  <c r="G302" i="4"/>
  <c r="G310" i="4"/>
  <c r="G318" i="4"/>
  <c r="G326" i="4"/>
  <c r="G334" i="4"/>
  <c r="G342" i="4"/>
  <c r="G350" i="4"/>
  <c r="G358" i="4"/>
  <c r="G366" i="4"/>
  <c r="G374" i="4"/>
  <c r="G382" i="4"/>
  <c r="G390" i="4"/>
  <c r="G398" i="4"/>
  <c r="G406" i="4"/>
  <c r="G414" i="4"/>
  <c r="G422" i="4"/>
  <c r="G430" i="4"/>
  <c r="G438" i="4"/>
  <c r="G446" i="4"/>
  <c r="G454" i="4"/>
  <c r="G462" i="4"/>
  <c r="G470" i="4"/>
  <c r="G478" i="4"/>
  <c r="G486" i="4"/>
  <c r="G494" i="4"/>
  <c r="G502" i="4"/>
  <c r="G510" i="4"/>
  <c r="G518" i="4"/>
  <c r="G526" i="4"/>
  <c r="G534" i="4"/>
  <c r="G542" i="4"/>
  <c r="G550" i="4"/>
  <c r="G558" i="4"/>
  <c r="G566" i="4"/>
  <c r="G574" i="4"/>
  <c r="G582" i="4"/>
  <c r="G590" i="4"/>
  <c r="G598" i="4"/>
  <c r="G606" i="4"/>
  <c r="G614" i="4"/>
  <c r="G622" i="4"/>
  <c r="G630" i="4"/>
  <c r="G638" i="4"/>
  <c r="G646" i="4"/>
  <c r="G654" i="4"/>
  <c r="G662" i="4"/>
  <c r="G670" i="4"/>
  <c r="G678" i="4"/>
  <c r="G686" i="4"/>
  <c r="G694" i="4"/>
  <c r="G702" i="4"/>
  <c r="G710" i="4"/>
  <c r="G718" i="4"/>
  <c r="G726" i="4"/>
  <c r="G734" i="4"/>
  <c r="G742" i="4"/>
  <c r="G750" i="4"/>
  <c r="G758" i="4"/>
  <c r="G766" i="4"/>
  <c r="G774" i="4"/>
  <c r="G782" i="4"/>
  <c r="G790" i="4"/>
  <c r="G798" i="4"/>
  <c r="G806" i="4"/>
  <c r="G814" i="4"/>
  <c r="G822" i="4"/>
  <c r="G830" i="4"/>
  <c r="G838" i="4"/>
  <c r="G846" i="4"/>
  <c r="G854" i="4"/>
  <c r="G862" i="4"/>
  <c r="G870" i="4"/>
  <c r="G878" i="4"/>
  <c r="G886" i="4"/>
  <c r="G894" i="4"/>
  <c r="G902" i="4"/>
  <c r="G910" i="4"/>
  <c r="G918" i="4"/>
  <c r="G926" i="4"/>
  <c r="G934" i="4"/>
  <c r="G942" i="4"/>
  <c r="G950" i="4"/>
  <c r="G958" i="4"/>
  <c r="G966" i="4"/>
  <c r="G974" i="4"/>
  <c r="G982" i="4"/>
  <c r="G990" i="4"/>
  <c r="G998" i="4"/>
  <c r="G9" i="4"/>
  <c r="G17" i="4"/>
  <c r="G33" i="4"/>
  <c r="G41" i="4"/>
  <c r="G49" i="4"/>
  <c r="G57" i="4"/>
  <c r="G65" i="4"/>
  <c r="G73" i="4"/>
  <c r="G81" i="4"/>
  <c r="G89" i="4"/>
  <c r="G97" i="4"/>
  <c r="G105" i="4"/>
  <c r="G113" i="4"/>
  <c r="G121" i="4"/>
  <c r="G129" i="4"/>
  <c r="G137" i="4"/>
  <c r="G145" i="4"/>
  <c r="G161" i="4"/>
  <c r="G169" i="4"/>
  <c r="G177" i="4"/>
  <c r="G185" i="4"/>
  <c r="G193" i="4"/>
  <c r="G201" i="4"/>
  <c r="G209" i="4"/>
  <c r="G217" i="4"/>
  <c r="G225" i="4"/>
  <c r="G233" i="4"/>
  <c r="G241" i="4"/>
  <c r="G249" i="4"/>
  <c r="G265" i="4"/>
  <c r="G273" i="4"/>
  <c r="G281" i="4"/>
  <c r="G289" i="4"/>
  <c r="G297" i="4"/>
  <c r="G305" i="4"/>
  <c r="G313" i="4"/>
  <c r="G321" i="4"/>
  <c r="G329" i="4"/>
  <c r="G337" i="4"/>
  <c r="G353" i="4"/>
  <c r="G361" i="4"/>
  <c r="G369" i="4"/>
  <c r="G377" i="4"/>
  <c r="G385" i="4"/>
  <c r="G393" i="4"/>
  <c r="G401" i="4"/>
  <c r="G417" i="4"/>
  <c r="G433" i="4"/>
  <c r="G441" i="4"/>
  <c r="G449" i="4"/>
  <c r="G457" i="4"/>
  <c r="G465" i="4"/>
  <c r="G473" i="4"/>
  <c r="G489" i="4"/>
  <c r="G497" i="4"/>
  <c r="G505" i="4"/>
  <c r="G513" i="4"/>
  <c r="G521" i="4"/>
  <c r="G529" i="4"/>
  <c r="G545" i="4"/>
  <c r="G553" i="4"/>
  <c r="G561" i="4"/>
  <c r="G569" i="4"/>
  <c r="G577" i="4"/>
  <c r="G593" i="4"/>
  <c r="G601" i="4"/>
  <c r="G609" i="4"/>
  <c r="G617" i="4"/>
  <c r="G633" i="4"/>
  <c r="G641" i="4"/>
  <c r="G649" i="4"/>
  <c r="G657" i="4"/>
  <c r="G673" i="4"/>
  <c r="G689" i="4"/>
  <c r="G697" i="4"/>
  <c r="G713" i="4"/>
  <c r="G721" i="4"/>
  <c r="G729" i="4"/>
  <c r="G745" i="4"/>
  <c r="G753" i="4"/>
  <c r="G769" i="4"/>
  <c r="G785" i="4"/>
  <c r="G801" i="4"/>
  <c r="G817" i="4"/>
  <c r="G841" i="4"/>
  <c r="G865" i="4"/>
  <c r="G881" i="4"/>
  <c r="G905" i="4"/>
  <c r="G929" i="4"/>
  <c r="G937" i="4"/>
  <c r="G961" i="4"/>
  <c r="G977" i="4"/>
  <c r="G1001" i="4"/>
  <c r="G18" i="4"/>
  <c r="G50" i="4"/>
  <c r="G82" i="4"/>
  <c r="G114" i="4"/>
  <c r="G146" i="4"/>
  <c r="G186" i="4"/>
  <c r="G226" i="4"/>
  <c r="G266" i="4"/>
  <c r="G306" i="4"/>
  <c r="G346" i="4"/>
  <c r="G386" i="4"/>
  <c r="G426" i="4"/>
  <c r="G466" i="4"/>
  <c r="G506" i="4"/>
  <c r="G546" i="4"/>
  <c r="G586" i="4"/>
  <c r="G626" i="4"/>
  <c r="G666" i="4"/>
  <c r="G706" i="4"/>
  <c r="G738" i="4"/>
  <c r="G778" i="4"/>
  <c r="G818" i="4"/>
  <c r="G858" i="4"/>
  <c r="G898" i="4"/>
  <c r="G938" i="4"/>
  <c r="G978" i="4"/>
  <c r="G27" i="4"/>
  <c r="G67" i="4"/>
  <c r="G107" i="4"/>
  <c r="G147" i="4"/>
  <c r="G187" i="4"/>
  <c r="G227" i="4"/>
  <c r="G267" i="4"/>
  <c r="G299" i="4"/>
  <c r="G339" i="4"/>
  <c r="G379" i="4"/>
  <c r="G411" i="4"/>
  <c r="G451" i="4"/>
  <c r="G475" i="4"/>
  <c r="G515" i="4"/>
  <c r="G555" i="4"/>
  <c r="G603" i="4"/>
  <c r="G635" i="4"/>
  <c r="G675" i="4"/>
  <c r="G715" i="4"/>
  <c r="G755" i="4"/>
  <c r="G795" i="4"/>
  <c r="G835" i="4"/>
  <c r="G875" i="4"/>
  <c r="G915" i="4"/>
  <c r="G955" i="4"/>
  <c r="G995" i="4"/>
  <c r="G7" i="4"/>
  <c r="G15" i="4"/>
  <c r="G23" i="4"/>
  <c r="G31" i="4"/>
  <c r="G39" i="4"/>
  <c r="G47" i="4"/>
  <c r="G55" i="4"/>
  <c r="G63" i="4"/>
  <c r="G71" i="4"/>
  <c r="G79" i="4"/>
  <c r="G87" i="4"/>
  <c r="G95" i="4"/>
  <c r="G103" i="4"/>
  <c r="G111" i="4"/>
  <c r="G119" i="4"/>
  <c r="G127" i="4"/>
  <c r="G135" i="4"/>
  <c r="G143" i="4"/>
  <c r="G151" i="4"/>
  <c r="G159" i="4"/>
  <c r="G167" i="4"/>
  <c r="G175" i="4"/>
  <c r="G183" i="4"/>
  <c r="G191" i="4"/>
  <c r="G199" i="4"/>
  <c r="G207" i="4"/>
  <c r="G215" i="4"/>
  <c r="G223" i="4"/>
  <c r="G231" i="4"/>
  <c r="G239" i="4"/>
  <c r="G247" i="4"/>
  <c r="G255" i="4"/>
  <c r="G263" i="4"/>
  <c r="G271" i="4"/>
  <c r="G279" i="4"/>
  <c r="G287" i="4"/>
  <c r="G295" i="4"/>
  <c r="G303" i="4"/>
  <c r="G311" i="4"/>
  <c r="G319" i="4"/>
  <c r="G327" i="4"/>
  <c r="G335" i="4"/>
  <c r="G343" i="4"/>
  <c r="G351" i="4"/>
  <c r="G359" i="4"/>
  <c r="G367" i="4"/>
  <c r="G375" i="4"/>
  <c r="G383" i="4"/>
  <c r="G391" i="4"/>
  <c r="G399" i="4"/>
  <c r="G407" i="4"/>
  <c r="G415" i="4"/>
  <c r="G423" i="4"/>
  <c r="G431" i="4"/>
  <c r="G439" i="4"/>
  <c r="G447" i="4"/>
  <c r="G455" i="4"/>
  <c r="G463" i="4"/>
  <c r="G471" i="4"/>
  <c r="G479" i="4"/>
  <c r="G487" i="4"/>
  <c r="G495" i="4"/>
  <c r="G503" i="4"/>
  <c r="G511" i="4"/>
  <c r="G519" i="4"/>
  <c r="G527" i="4"/>
  <c r="G535" i="4"/>
  <c r="G543" i="4"/>
  <c r="G551" i="4"/>
  <c r="G559" i="4"/>
  <c r="G567" i="4"/>
  <c r="G575" i="4"/>
  <c r="G583" i="4"/>
  <c r="G591" i="4"/>
  <c r="G599" i="4"/>
  <c r="G607" i="4"/>
  <c r="G615" i="4"/>
  <c r="G623" i="4"/>
  <c r="G631" i="4"/>
  <c r="G639" i="4"/>
  <c r="G647" i="4"/>
  <c r="G655" i="4"/>
  <c r="G663" i="4"/>
  <c r="G671" i="4"/>
  <c r="G679" i="4"/>
  <c r="G687" i="4"/>
  <c r="G695" i="4"/>
  <c r="G703" i="4"/>
  <c r="G711" i="4"/>
  <c r="G719" i="4"/>
  <c r="G727" i="4"/>
  <c r="G735" i="4"/>
  <c r="G743" i="4"/>
  <c r="G751" i="4"/>
  <c r="G759" i="4"/>
  <c r="G767" i="4"/>
  <c r="G775" i="4"/>
  <c r="G783" i="4"/>
  <c r="G791" i="4"/>
  <c r="G799" i="4"/>
  <c r="G807" i="4"/>
  <c r="G815" i="4"/>
  <c r="G823" i="4"/>
  <c r="G831" i="4"/>
  <c r="G839" i="4"/>
  <c r="G847" i="4"/>
  <c r="G855" i="4"/>
  <c r="G863" i="4"/>
  <c r="G871" i="4"/>
  <c r="G879" i="4"/>
  <c r="G887" i="4"/>
  <c r="G895" i="4"/>
  <c r="G903" i="4"/>
  <c r="G911" i="4"/>
  <c r="G919" i="4"/>
  <c r="G927" i="4"/>
  <c r="G935" i="4"/>
  <c r="G943" i="4"/>
  <c r="G951" i="4"/>
  <c r="G959" i="4"/>
  <c r="G967" i="4"/>
  <c r="G975" i="4"/>
  <c r="G983" i="4"/>
  <c r="G991" i="4"/>
  <c r="G999" i="4"/>
  <c r="G2" i="4"/>
  <c r="G26" i="4"/>
  <c r="G58" i="4"/>
  <c r="G90" i="4"/>
  <c r="G138" i="4"/>
  <c r="G178" i="4"/>
  <c r="G218" i="4"/>
  <c r="G258" i="4"/>
  <c r="G290" i="4"/>
  <c r="G330" i="4"/>
  <c r="G370" i="4"/>
  <c r="G410" i="4"/>
  <c r="G450" i="4"/>
  <c r="G498" i="4"/>
  <c r="G538" i="4"/>
  <c r="G578" i="4"/>
  <c r="G618" i="4"/>
  <c r="G658" i="4"/>
  <c r="G698" i="4"/>
  <c r="G746" i="4"/>
  <c r="G786" i="4"/>
  <c r="G826" i="4"/>
  <c r="G866" i="4"/>
  <c r="G906" i="4"/>
  <c r="G946" i="4"/>
  <c r="G986" i="4"/>
  <c r="G19" i="4"/>
  <c r="G59" i="4"/>
  <c r="G99" i="4"/>
  <c r="G139" i="4"/>
  <c r="G179" i="4"/>
  <c r="G219" i="4"/>
  <c r="G259" i="4"/>
  <c r="G307" i="4"/>
  <c r="G347" i="4"/>
  <c r="G387" i="4"/>
  <c r="G427" i="4"/>
  <c r="G467" i="4"/>
  <c r="G507" i="4"/>
  <c r="G547" i="4"/>
  <c r="G587" i="4"/>
  <c r="G627" i="4"/>
  <c r="G667" i="4"/>
  <c r="G707" i="4"/>
  <c r="G747" i="4"/>
  <c r="G787" i="4"/>
  <c r="G827" i="4"/>
  <c r="G883" i="4"/>
  <c r="G923" i="4"/>
  <c r="G963" i="4"/>
  <c r="G8" i="4"/>
  <c r="G16" i="4"/>
  <c r="G24" i="4"/>
  <c r="G32" i="4"/>
  <c r="G40" i="4"/>
  <c r="G48" i="4"/>
  <c r="G56" i="4"/>
  <c r="G64" i="4"/>
  <c r="G72" i="4"/>
  <c r="G80" i="4"/>
  <c r="G88" i="4"/>
  <c r="G96" i="4"/>
  <c r="G104" i="4"/>
  <c r="G112" i="4"/>
  <c r="G120" i="4"/>
  <c r="G128" i="4"/>
  <c r="G136" i="4"/>
  <c r="G144" i="4"/>
  <c r="G152" i="4"/>
  <c r="G160" i="4"/>
  <c r="G168" i="4"/>
  <c r="G176" i="4"/>
  <c r="G184" i="4"/>
  <c r="G192" i="4"/>
  <c r="G200" i="4"/>
  <c r="G208" i="4"/>
  <c r="G216" i="4"/>
  <c r="G224" i="4"/>
  <c r="G232" i="4"/>
  <c r="G240" i="4"/>
  <c r="G248" i="4"/>
  <c r="G256" i="4"/>
  <c r="G264" i="4"/>
  <c r="G272" i="4"/>
  <c r="G280" i="4"/>
  <c r="G288" i="4"/>
  <c r="G296" i="4"/>
  <c r="G304" i="4"/>
  <c r="G312" i="4"/>
  <c r="G320" i="4"/>
  <c r="G328" i="4"/>
  <c r="G336" i="4"/>
  <c r="G344" i="4"/>
  <c r="G352" i="4"/>
  <c r="G360" i="4"/>
  <c r="G368" i="4"/>
  <c r="G376" i="4"/>
  <c r="G384" i="4"/>
  <c r="G392" i="4"/>
  <c r="G400" i="4"/>
  <c r="G408" i="4"/>
  <c r="G416" i="4"/>
  <c r="G424" i="4"/>
  <c r="G432" i="4"/>
  <c r="G440" i="4"/>
  <c r="G448" i="4"/>
  <c r="G456" i="4"/>
  <c r="G464" i="4"/>
  <c r="G472" i="4"/>
  <c r="G480" i="4"/>
  <c r="G488" i="4"/>
  <c r="G496" i="4"/>
  <c r="G504" i="4"/>
  <c r="G512" i="4"/>
  <c r="G520" i="4"/>
  <c r="G528" i="4"/>
  <c r="G536" i="4"/>
  <c r="G544" i="4"/>
  <c r="G552" i="4"/>
  <c r="G560" i="4"/>
  <c r="G568" i="4"/>
  <c r="G576" i="4"/>
  <c r="G584" i="4"/>
  <c r="G592" i="4"/>
  <c r="G600" i="4"/>
  <c r="G608" i="4"/>
  <c r="G616" i="4"/>
  <c r="G624" i="4"/>
  <c r="G632" i="4"/>
  <c r="G640" i="4"/>
  <c r="G648" i="4"/>
  <c r="G656" i="4"/>
  <c r="G664" i="4"/>
  <c r="G672" i="4"/>
  <c r="G680" i="4"/>
  <c r="G688" i="4"/>
  <c r="G696" i="4"/>
  <c r="G704" i="4"/>
  <c r="G712" i="4"/>
  <c r="G720" i="4"/>
  <c r="G728" i="4"/>
  <c r="G736" i="4"/>
  <c r="G744" i="4"/>
  <c r="G752" i="4"/>
  <c r="G760" i="4"/>
  <c r="G768" i="4"/>
  <c r="G776" i="4"/>
  <c r="G784" i="4"/>
  <c r="G792" i="4"/>
  <c r="G800" i="4"/>
  <c r="G808" i="4"/>
  <c r="G816" i="4"/>
  <c r="G824" i="4"/>
  <c r="G832" i="4"/>
  <c r="G840" i="4"/>
  <c r="G848" i="4"/>
  <c r="G856" i="4"/>
  <c r="G864" i="4"/>
  <c r="G872" i="4"/>
  <c r="G880" i="4"/>
  <c r="G888" i="4"/>
  <c r="G896" i="4"/>
  <c r="G904" i="4"/>
  <c r="G912" i="4"/>
  <c r="G920" i="4"/>
  <c r="G928" i="4"/>
  <c r="G936" i="4"/>
  <c r="G944" i="4"/>
  <c r="G952" i="4"/>
  <c r="G960" i="4"/>
  <c r="G968" i="4"/>
  <c r="G976" i="4"/>
  <c r="G984" i="4"/>
  <c r="G992" i="4"/>
  <c r="G1000" i="4"/>
  <c r="G409" i="4"/>
  <c r="G681" i="4"/>
  <c r="G777" i="4"/>
  <c r="G809" i="4"/>
  <c r="G833" i="4"/>
  <c r="G849" i="4"/>
  <c r="G873" i="4"/>
  <c r="G897" i="4"/>
  <c r="G921" i="4"/>
  <c r="G953" i="4"/>
  <c r="G985" i="4"/>
  <c r="G34" i="4"/>
  <c r="G106" i="4"/>
  <c r="G154" i="4"/>
  <c r="G194" i="4"/>
  <c r="G234" i="4"/>
  <c r="G274" i="4"/>
  <c r="G314" i="4"/>
  <c r="G354" i="4"/>
  <c r="G394" i="4"/>
  <c r="G434" i="4"/>
  <c r="G474" i="4"/>
  <c r="G514" i="4"/>
  <c r="G554" i="4"/>
  <c r="G594" i="4"/>
  <c r="G634" i="4"/>
  <c r="G674" i="4"/>
  <c r="G714" i="4"/>
  <c r="G754" i="4"/>
  <c r="G794" i="4"/>
  <c r="G834" i="4"/>
  <c r="G874" i="4"/>
  <c r="G914" i="4"/>
  <c r="G962" i="4"/>
  <c r="G11" i="4"/>
  <c r="G51" i="4"/>
  <c r="G91" i="4"/>
  <c r="G131" i="4"/>
  <c r="G163" i="4"/>
  <c r="G203" i="4"/>
  <c r="G243" i="4"/>
  <c r="G283" i="4"/>
  <c r="G323" i="4"/>
  <c r="G363" i="4"/>
  <c r="G403" i="4"/>
  <c r="G443" i="4"/>
  <c r="G491" i="4"/>
  <c r="G531" i="4"/>
  <c r="G571" i="4"/>
  <c r="G611" i="4"/>
  <c r="G659" i="4"/>
  <c r="G699" i="4"/>
  <c r="G739" i="4"/>
  <c r="G779" i="4"/>
  <c r="G819" i="4"/>
  <c r="G859" i="4"/>
  <c r="G899" i="4"/>
  <c r="G939" i="4"/>
  <c r="G979" i="4"/>
  <c r="G4" i="4"/>
  <c r="G12" i="4"/>
  <c r="G20" i="4"/>
  <c r="G28" i="4"/>
  <c r="G36" i="4"/>
  <c r="G44" i="4"/>
  <c r="G52" i="4"/>
  <c r="G60" i="4"/>
  <c r="G68" i="4"/>
  <c r="G76" i="4"/>
  <c r="G84" i="4"/>
  <c r="G92" i="4"/>
  <c r="G100" i="4"/>
  <c r="G108" i="4"/>
  <c r="G116" i="4"/>
  <c r="G124" i="4"/>
  <c r="G132" i="4"/>
  <c r="G140" i="4"/>
  <c r="G148" i="4"/>
  <c r="G156" i="4"/>
  <c r="G164" i="4"/>
  <c r="G172" i="4"/>
  <c r="G180" i="4"/>
  <c r="G188" i="4"/>
  <c r="G196" i="4"/>
  <c r="G204" i="4"/>
  <c r="G212" i="4"/>
  <c r="G220" i="4"/>
  <c r="G228" i="4"/>
  <c r="G236" i="4"/>
  <c r="G244" i="4"/>
  <c r="G252" i="4"/>
  <c r="G260" i="4"/>
  <c r="G268" i="4"/>
  <c r="G276" i="4"/>
  <c r="G284" i="4"/>
  <c r="G292" i="4"/>
  <c r="G300" i="4"/>
  <c r="G308" i="4"/>
  <c r="G316" i="4"/>
  <c r="G324" i="4"/>
  <c r="G332" i="4"/>
  <c r="G340" i="4"/>
  <c r="G348" i="4"/>
  <c r="G356" i="4"/>
  <c r="G364" i="4"/>
  <c r="G372" i="4"/>
  <c r="G380" i="4"/>
  <c r="G388" i="4"/>
  <c r="G396" i="4"/>
  <c r="G404" i="4"/>
  <c r="G412" i="4"/>
  <c r="G420" i="4"/>
  <c r="G428" i="4"/>
  <c r="G436" i="4"/>
  <c r="G444" i="4"/>
  <c r="G452" i="4"/>
  <c r="G460" i="4"/>
  <c r="G468" i="4"/>
  <c r="G476" i="4"/>
  <c r="G484" i="4"/>
  <c r="G492" i="4"/>
  <c r="G500" i="4"/>
  <c r="G508" i="4"/>
  <c r="G516" i="4"/>
  <c r="G524" i="4"/>
  <c r="G532" i="4"/>
  <c r="G540" i="4"/>
  <c r="G548" i="4"/>
  <c r="G556" i="4"/>
  <c r="G564" i="4"/>
  <c r="G572" i="4"/>
  <c r="G580" i="4"/>
  <c r="G588" i="4"/>
  <c r="G596" i="4"/>
  <c r="G604" i="4"/>
  <c r="G612" i="4"/>
  <c r="G620" i="4"/>
  <c r="G628" i="4"/>
  <c r="G636" i="4"/>
  <c r="G644" i="4"/>
  <c r="G652" i="4"/>
  <c r="G660" i="4"/>
  <c r="G668" i="4"/>
  <c r="G676" i="4"/>
  <c r="G684" i="4"/>
  <c r="G692" i="4"/>
  <c r="G700" i="4"/>
  <c r="G708" i="4"/>
  <c r="G716" i="4"/>
  <c r="G724" i="4"/>
  <c r="G732" i="4"/>
  <c r="G740" i="4"/>
  <c r="G748" i="4"/>
  <c r="G756" i="4"/>
  <c r="G764" i="4"/>
  <c r="G772" i="4"/>
  <c r="G780" i="4"/>
  <c r="G788" i="4"/>
  <c r="G796" i="4"/>
  <c r="G804" i="4"/>
  <c r="G812" i="4"/>
  <c r="G820" i="4"/>
  <c r="G828" i="4"/>
  <c r="G836" i="4"/>
  <c r="G844" i="4"/>
  <c r="G852" i="4"/>
  <c r="G860" i="4"/>
  <c r="G868" i="4"/>
  <c r="G876" i="4"/>
  <c r="G884" i="4"/>
  <c r="G892" i="4"/>
  <c r="G900" i="4"/>
  <c r="G908" i="4"/>
  <c r="G916" i="4"/>
  <c r="G924" i="4"/>
  <c r="G932" i="4"/>
  <c r="G940" i="4"/>
  <c r="G948" i="4"/>
  <c r="G956" i="4"/>
  <c r="G964" i="4"/>
  <c r="G972" i="4"/>
  <c r="G980" i="4"/>
  <c r="G988" i="4"/>
  <c r="G996" i="4"/>
  <c r="G25" i="4"/>
  <c r="G153" i="4"/>
  <c r="G257" i="4"/>
  <c r="G345" i="4"/>
  <c r="G425" i="4"/>
  <c r="G481" i="4"/>
  <c r="G537" i="4"/>
  <c r="G585" i="4"/>
  <c r="G625" i="4"/>
  <c r="G665" i="4"/>
  <c r="G705" i="4"/>
  <c r="G737" i="4"/>
  <c r="G761" i="4"/>
  <c r="G793" i="4"/>
  <c r="G825" i="4"/>
  <c r="G857" i="4"/>
  <c r="G889" i="4"/>
  <c r="G913" i="4"/>
  <c r="G945" i="4"/>
  <c r="G969" i="4"/>
  <c r="G993" i="4"/>
  <c r="G66" i="4"/>
  <c r="G122" i="4"/>
  <c r="G162" i="4"/>
  <c r="G202" i="4"/>
  <c r="G242" i="4"/>
  <c r="G282" i="4"/>
  <c r="G322" i="4"/>
  <c r="G362" i="4"/>
  <c r="G402" i="4"/>
  <c r="G442" i="4"/>
  <c r="G482" i="4"/>
  <c r="G522" i="4"/>
  <c r="G562" i="4"/>
  <c r="G602" i="4"/>
  <c r="G642" i="4"/>
  <c r="G682" i="4"/>
  <c r="G722" i="4"/>
  <c r="G762" i="4"/>
  <c r="G802" i="4"/>
  <c r="G842" i="4"/>
  <c r="G882" i="4"/>
  <c r="G930" i="4"/>
  <c r="G970" i="4"/>
  <c r="G35" i="4"/>
  <c r="G75" i="4"/>
  <c r="G115" i="4"/>
  <c r="G155" i="4"/>
  <c r="G195" i="4"/>
  <c r="G235" i="4"/>
  <c r="G275" i="4"/>
  <c r="G315" i="4"/>
  <c r="G355" i="4"/>
  <c r="G395" i="4"/>
  <c r="G435" i="4"/>
  <c r="G483" i="4"/>
  <c r="G523" i="4"/>
  <c r="G563" i="4"/>
  <c r="G595" i="4"/>
  <c r="G643" i="4"/>
  <c r="G683" i="4"/>
  <c r="G723" i="4"/>
  <c r="G763" i="4"/>
  <c r="G803" i="4"/>
  <c r="G843" i="4"/>
  <c r="G867" i="4"/>
  <c r="G907" i="4"/>
  <c r="G947" i="4"/>
  <c r="G987" i="4"/>
  <c r="G5" i="4"/>
  <c r="G13" i="4"/>
  <c r="G21" i="4"/>
  <c r="G29" i="4"/>
  <c r="G37" i="4"/>
  <c r="G45" i="4"/>
  <c r="G53" i="4"/>
  <c r="G61" i="4"/>
  <c r="G69" i="4"/>
  <c r="G77" i="4"/>
  <c r="G85" i="4"/>
  <c r="G93" i="4"/>
  <c r="G101" i="4"/>
  <c r="G109" i="4"/>
  <c r="G117" i="4"/>
  <c r="G125" i="4"/>
  <c r="G133" i="4"/>
  <c r="G141" i="4"/>
  <c r="G149" i="4"/>
  <c r="G157" i="4"/>
  <c r="G165" i="4"/>
  <c r="G173" i="4"/>
  <c r="G181" i="4"/>
  <c r="G189" i="4"/>
  <c r="G197" i="4"/>
  <c r="G205" i="4"/>
  <c r="G213" i="4"/>
  <c r="G221" i="4"/>
  <c r="G229" i="4"/>
  <c r="G237" i="4"/>
  <c r="G245" i="4"/>
  <c r="G253" i="4"/>
  <c r="G261" i="4"/>
  <c r="G269" i="4"/>
  <c r="G277" i="4"/>
  <c r="G285" i="4"/>
  <c r="G293" i="4"/>
  <c r="G301" i="4"/>
  <c r="G309" i="4"/>
  <c r="G317" i="4"/>
  <c r="G325" i="4"/>
  <c r="G333" i="4"/>
  <c r="G341" i="4"/>
  <c r="G349" i="4"/>
  <c r="G357" i="4"/>
  <c r="G365" i="4"/>
  <c r="G373" i="4"/>
  <c r="G381" i="4"/>
  <c r="G389" i="4"/>
  <c r="G397" i="4"/>
  <c r="G405" i="4"/>
  <c r="G413" i="4"/>
  <c r="G421" i="4"/>
  <c r="G429" i="4"/>
  <c r="G437" i="4"/>
  <c r="G445" i="4"/>
  <c r="G453" i="4"/>
  <c r="G461" i="4"/>
  <c r="G469" i="4"/>
  <c r="G477" i="4"/>
  <c r="G485" i="4"/>
  <c r="G493" i="4"/>
  <c r="G501" i="4"/>
  <c r="G509" i="4"/>
  <c r="G517" i="4"/>
  <c r="G525" i="4"/>
  <c r="G533" i="4"/>
  <c r="G541" i="4"/>
  <c r="G549" i="4"/>
  <c r="G557" i="4"/>
  <c r="G565" i="4"/>
  <c r="G573" i="4"/>
  <c r="G581" i="4"/>
  <c r="G589" i="4"/>
  <c r="G597" i="4"/>
  <c r="G605" i="4"/>
  <c r="G613" i="4"/>
  <c r="G621" i="4"/>
  <c r="G629" i="4"/>
  <c r="G637" i="4"/>
  <c r="G645" i="4"/>
  <c r="G653" i="4"/>
  <c r="G661" i="4"/>
  <c r="G669" i="4"/>
  <c r="G677" i="4"/>
  <c r="G685" i="4"/>
  <c r="G693" i="4"/>
  <c r="G701" i="4"/>
  <c r="G709" i="4"/>
  <c r="G717" i="4"/>
  <c r="G725" i="4"/>
  <c r="G733" i="4"/>
  <c r="G741" i="4"/>
  <c r="G749" i="4"/>
  <c r="G757" i="4"/>
  <c r="G765" i="4"/>
  <c r="G773" i="4"/>
  <c r="G781" i="4"/>
  <c r="G789" i="4"/>
  <c r="G797" i="4"/>
  <c r="G805" i="4"/>
  <c r="G813" i="4"/>
  <c r="G821" i="4"/>
  <c r="G829" i="4"/>
  <c r="G837" i="4"/>
  <c r="G845" i="4"/>
  <c r="G853" i="4"/>
  <c r="G861" i="4"/>
  <c r="G869" i="4"/>
  <c r="G877" i="4"/>
  <c r="G885" i="4"/>
  <c r="G893" i="4"/>
  <c r="G901" i="4"/>
  <c r="G909" i="4"/>
  <c r="G917" i="4"/>
  <c r="G925" i="4"/>
  <c r="G933" i="4"/>
  <c r="G941" i="4"/>
  <c r="G949" i="4"/>
  <c r="G957" i="4"/>
  <c r="G965" i="4"/>
  <c r="G973" i="4"/>
  <c r="G981" i="4"/>
  <c r="G989" i="4"/>
  <c r="G997" i="4"/>
  <c r="G10" i="4"/>
  <c r="G42" i="4"/>
  <c r="G74" i="4"/>
  <c r="G98" i="4"/>
  <c r="G130" i="4"/>
  <c r="G170" i="4"/>
  <c r="G210" i="4"/>
  <c r="G250" i="4"/>
  <c r="G298" i="4"/>
  <c r="G338" i="4"/>
  <c r="G378" i="4"/>
  <c r="G418" i="4"/>
  <c r="G458" i="4"/>
  <c r="G490" i="4"/>
  <c r="G530" i="4"/>
  <c r="G570" i="4"/>
  <c r="G610" i="4"/>
  <c r="G650" i="4"/>
  <c r="G690" i="4"/>
  <c r="G730" i="4"/>
  <c r="G770" i="4"/>
  <c r="G810" i="4"/>
  <c r="G850" i="4"/>
  <c r="G890" i="4"/>
  <c r="G922" i="4"/>
  <c r="G954" i="4"/>
  <c r="G994" i="4"/>
  <c r="G3" i="4"/>
  <c r="G43" i="4"/>
  <c r="G83" i="4"/>
  <c r="G123" i="4"/>
  <c r="G171" i="4"/>
  <c r="G211" i="4"/>
  <c r="G251" i="4"/>
  <c r="G291" i="4"/>
  <c r="G331" i="4"/>
  <c r="G371" i="4"/>
  <c r="G419" i="4"/>
  <c r="G459" i="4"/>
  <c r="G499" i="4"/>
  <c r="G539" i="4"/>
  <c r="G579" i="4"/>
  <c r="G619" i="4"/>
  <c r="G651" i="4"/>
  <c r="G691" i="4"/>
  <c r="G731" i="4"/>
  <c r="G771" i="4"/>
  <c r="G811" i="4"/>
  <c r="G851" i="4"/>
  <c r="G891" i="4"/>
  <c r="G931" i="4"/>
  <c r="G971" i="4"/>
  <c r="G7" i="3"/>
  <c r="G15" i="3"/>
  <c r="G23" i="3"/>
  <c r="G31" i="3"/>
  <c r="G39" i="3"/>
  <c r="G47" i="3"/>
  <c r="G55" i="3"/>
  <c r="G63" i="3"/>
  <c r="G71" i="3"/>
  <c r="G79" i="3"/>
  <c r="G87" i="3"/>
  <c r="G95" i="3"/>
  <c r="G103" i="3"/>
  <c r="G111" i="3"/>
  <c r="G119" i="3"/>
  <c r="G127" i="3"/>
  <c r="G135" i="3"/>
  <c r="G143" i="3"/>
  <c r="G151" i="3"/>
  <c r="G159" i="3"/>
  <c r="G167" i="3"/>
  <c r="G175" i="3"/>
  <c r="G183" i="3"/>
  <c r="G191" i="3"/>
  <c r="G199" i="3"/>
  <c r="G207" i="3"/>
  <c r="G215" i="3"/>
  <c r="G223" i="3"/>
  <c r="G231" i="3"/>
  <c r="G239" i="3"/>
  <c r="G247" i="3"/>
  <c r="G255" i="3"/>
  <c r="G263" i="3"/>
  <c r="G271" i="3"/>
  <c r="G279" i="3"/>
  <c r="G287" i="3"/>
  <c r="G295" i="3"/>
  <c r="G303" i="3"/>
  <c r="G311" i="3"/>
  <c r="G319" i="3"/>
  <c r="G327" i="3"/>
  <c r="G335" i="3"/>
  <c r="G343" i="3"/>
  <c r="G351" i="3"/>
  <c r="G359" i="3"/>
  <c r="G367" i="3"/>
  <c r="G375" i="3"/>
  <c r="G383" i="3"/>
  <c r="G391" i="3"/>
  <c r="G399" i="3"/>
  <c r="G407" i="3"/>
  <c r="G415" i="3"/>
  <c r="G423" i="3"/>
  <c r="G431" i="3"/>
  <c r="G439" i="3"/>
  <c r="G447" i="3"/>
  <c r="G455" i="3"/>
  <c r="G463" i="3"/>
  <c r="G471" i="3"/>
  <c r="G479" i="3"/>
  <c r="G487" i="3"/>
  <c r="G495" i="3"/>
  <c r="G503" i="3"/>
  <c r="G511" i="3"/>
  <c r="G519" i="3"/>
  <c r="G527" i="3"/>
  <c r="G535" i="3"/>
  <c r="G543" i="3"/>
  <c r="G551" i="3"/>
  <c r="G559" i="3"/>
  <c r="G567" i="3"/>
  <c r="G575" i="3"/>
  <c r="G583" i="3"/>
  <c r="G591" i="3"/>
  <c r="G599" i="3"/>
  <c r="G607" i="3"/>
  <c r="G615" i="3"/>
  <c r="G623" i="3"/>
  <c r="G631" i="3"/>
  <c r="G639" i="3"/>
  <c r="G647" i="3"/>
  <c r="G655" i="3"/>
  <c r="G663" i="3"/>
  <c r="G671" i="3"/>
  <c r="G679" i="3"/>
  <c r="G687" i="3"/>
  <c r="G695" i="3"/>
  <c r="G703" i="3"/>
  <c r="G711" i="3"/>
  <c r="G719" i="3"/>
  <c r="G727" i="3"/>
  <c r="G735" i="3"/>
  <c r="G743" i="3"/>
  <c r="G751" i="3"/>
  <c r="G759" i="3"/>
  <c r="G767" i="3"/>
  <c r="G775" i="3"/>
  <c r="G783" i="3"/>
  <c r="G791" i="3"/>
  <c r="G799" i="3"/>
  <c r="G807" i="3"/>
  <c r="G815" i="3"/>
  <c r="G823" i="3"/>
  <c r="G831" i="3"/>
  <c r="G839" i="3"/>
  <c r="G847" i="3"/>
  <c r="G855" i="3"/>
  <c r="G863" i="3"/>
  <c r="G871" i="3"/>
  <c r="G879" i="3"/>
  <c r="G887" i="3"/>
  <c r="G895" i="3"/>
  <c r="G903" i="3"/>
  <c r="G911" i="3"/>
  <c r="G919" i="3"/>
  <c r="G927" i="3"/>
  <c r="G935" i="3"/>
  <c r="G943" i="3"/>
  <c r="G951" i="3"/>
  <c r="G959" i="3"/>
  <c r="G967" i="3"/>
  <c r="G975" i="3"/>
  <c r="G983" i="3"/>
  <c r="G991" i="3"/>
  <c r="G999" i="3"/>
  <c r="G25" i="3"/>
  <c r="G41" i="3"/>
  <c r="G57" i="3"/>
  <c r="G73" i="3"/>
  <c r="G89" i="3"/>
  <c r="G105" i="3"/>
  <c r="G121" i="3"/>
  <c r="G137" i="3"/>
  <c r="G153" i="3"/>
  <c r="G169" i="3"/>
  <c r="G185" i="3"/>
  <c r="G201" i="3"/>
  <c r="G217" i="3"/>
  <c r="G233" i="3"/>
  <c r="G249" i="3"/>
  <c r="G265" i="3"/>
  <c r="G281" i="3"/>
  <c r="G305" i="3"/>
  <c r="G321" i="3"/>
  <c r="G337" i="3"/>
  <c r="G361" i="3"/>
  <c r="G377" i="3"/>
  <c r="G393" i="3"/>
  <c r="G417" i="3"/>
  <c r="G433" i="3"/>
  <c r="G449" i="3"/>
  <c r="G473" i="3"/>
  <c r="G489" i="3"/>
  <c r="G505" i="3"/>
  <c r="G529" i="3"/>
  <c r="G545" i="3"/>
  <c r="G561" i="3"/>
  <c r="G593" i="3"/>
  <c r="G609" i="3"/>
  <c r="G625" i="3"/>
  <c r="G649" i="3"/>
  <c r="G665" i="3"/>
  <c r="G681" i="3"/>
  <c r="G705" i="3"/>
  <c r="G721" i="3"/>
  <c r="G737" i="3"/>
  <c r="G769" i="3"/>
  <c r="G785" i="3"/>
  <c r="G809" i="3"/>
  <c r="G833" i="3"/>
  <c r="G857" i="3"/>
  <c r="G873" i="3"/>
  <c r="G889" i="3"/>
  <c r="G913" i="3"/>
  <c r="G929" i="3"/>
  <c r="G953" i="3"/>
  <c r="G969" i="3"/>
  <c r="G18" i="3"/>
  <c r="G42" i="3"/>
  <c r="G66" i="3"/>
  <c r="G90" i="3"/>
  <c r="G114" i="3"/>
  <c r="G138" i="3"/>
  <c r="G154" i="3"/>
  <c r="G178" i="3"/>
  <c r="G202" i="3"/>
  <c r="G234" i="3"/>
  <c r="G258" i="3"/>
  <c r="G282" i="3"/>
  <c r="G306" i="3"/>
  <c r="G330" i="3"/>
  <c r="G338" i="3"/>
  <c r="G362" i="3"/>
  <c r="G386" i="3"/>
  <c r="G410" i="3"/>
  <c r="G434" i="3"/>
  <c r="G458" i="3"/>
  <c r="G474" i="3"/>
  <c r="G498" i="3"/>
  <c r="G522" i="3"/>
  <c r="G538" i="3"/>
  <c r="G562" i="3"/>
  <c r="G586" i="3"/>
  <c r="G602" i="3"/>
  <c r="G626" i="3"/>
  <c r="G650" i="3"/>
  <c r="G658" i="3"/>
  <c r="G682" i="3"/>
  <c r="G706" i="3"/>
  <c r="G730" i="3"/>
  <c r="G754" i="3"/>
  <c r="G778" i="3"/>
  <c r="G786" i="3"/>
  <c r="G802" i="3"/>
  <c r="G818" i="3"/>
  <c r="G842" i="3"/>
  <c r="G866" i="3"/>
  <c r="G890" i="3"/>
  <c r="G914" i="3"/>
  <c r="G938" i="3"/>
  <c r="G962" i="3"/>
  <c r="G970" i="3"/>
  <c r="G986" i="3"/>
  <c r="G3" i="3"/>
  <c r="G35" i="3"/>
  <c r="G67" i="3"/>
  <c r="G107" i="3"/>
  <c r="G139" i="3"/>
  <c r="G171" i="3"/>
  <c r="G203" i="3"/>
  <c r="G235" i="3"/>
  <c r="G267" i="3"/>
  <c r="G299" i="3"/>
  <c r="G331" i="3"/>
  <c r="G363" i="3"/>
  <c r="G387" i="3"/>
  <c r="G419" i="3"/>
  <c r="G451" i="3"/>
  <c r="G491" i="3"/>
  <c r="G523" i="3"/>
  <c r="G555" i="3"/>
  <c r="G587" i="3"/>
  <c r="G627" i="3"/>
  <c r="G659" i="3"/>
  <c r="G691" i="3"/>
  <c r="G731" i="3"/>
  <c r="G763" i="3"/>
  <c r="G787" i="3"/>
  <c r="G819" i="3"/>
  <c r="G851" i="3"/>
  <c r="G875" i="3"/>
  <c r="G907" i="3"/>
  <c r="G939" i="3"/>
  <c r="G971" i="3"/>
  <c r="G12" i="3"/>
  <c r="G28" i="3"/>
  <c r="G52" i="3"/>
  <c r="G76" i="3"/>
  <c r="G100" i="3"/>
  <c r="G124" i="3"/>
  <c r="G148" i="3"/>
  <c r="G172" i="3"/>
  <c r="G196" i="3"/>
  <c r="G212" i="3"/>
  <c r="G228" i="3"/>
  <c r="G252" i="3"/>
  <c r="G268" i="3"/>
  <c r="G292" i="3"/>
  <c r="G316" i="3"/>
  <c r="G332" i="3"/>
  <c r="G356" i="3"/>
  <c r="G380" i="3"/>
  <c r="G404" i="3"/>
  <c r="G412" i="3"/>
  <c r="G436" i="3"/>
  <c r="G460" i="3"/>
  <c r="G484" i="3"/>
  <c r="G508" i="3"/>
  <c r="G540" i="3"/>
  <c r="G564" i="3"/>
  <c r="G588" i="3"/>
  <c r="G612" i="3"/>
  <c r="G636" i="3"/>
  <c r="G660" i="3"/>
  <c r="G676" i="3"/>
  <c r="G700" i="3"/>
  <c r="G724" i="3"/>
  <c r="G748" i="3"/>
  <c r="G772" i="3"/>
  <c r="G780" i="3"/>
  <c r="G804" i="3"/>
  <c r="G828" i="3"/>
  <c r="G852" i="3"/>
  <c r="G876" i="3"/>
  <c r="G900" i="3"/>
  <c r="G924" i="3"/>
  <c r="G948" i="3"/>
  <c r="G972" i="3"/>
  <c r="G980" i="3"/>
  <c r="G8" i="3"/>
  <c r="G16" i="3"/>
  <c r="G24" i="3"/>
  <c r="G32" i="3"/>
  <c r="G40" i="3"/>
  <c r="G48" i="3"/>
  <c r="G56" i="3"/>
  <c r="G64" i="3"/>
  <c r="G72" i="3"/>
  <c r="G80" i="3"/>
  <c r="G88" i="3"/>
  <c r="G96" i="3"/>
  <c r="G104" i="3"/>
  <c r="G112" i="3"/>
  <c r="G120" i="3"/>
  <c r="G128" i="3"/>
  <c r="G136" i="3"/>
  <c r="G144" i="3"/>
  <c r="G152" i="3"/>
  <c r="G160" i="3"/>
  <c r="G168" i="3"/>
  <c r="G176" i="3"/>
  <c r="G184" i="3"/>
  <c r="G192" i="3"/>
  <c r="G200" i="3"/>
  <c r="G208" i="3"/>
  <c r="G216" i="3"/>
  <c r="G224" i="3"/>
  <c r="G232" i="3"/>
  <c r="G240" i="3"/>
  <c r="G248" i="3"/>
  <c r="G256" i="3"/>
  <c r="G264" i="3"/>
  <c r="G272" i="3"/>
  <c r="G280" i="3"/>
  <c r="G288" i="3"/>
  <c r="G296" i="3"/>
  <c r="G304" i="3"/>
  <c r="G312" i="3"/>
  <c r="G320" i="3"/>
  <c r="G328" i="3"/>
  <c r="G336" i="3"/>
  <c r="G344" i="3"/>
  <c r="G352" i="3"/>
  <c r="G360" i="3"/>
  <c r="G368" i="3"/>
  <c r="G376" i="3"/>
  <c r="G384" i="3"/>
  <c r="G392" i="3"/>
  <c r="G400" i="3"/>
  <c r="G408" i="3"/>
  <c r="G416" i="3"/>
  <c r="G424" i="3"/>
  <c r="G432" i="3"/>
  <c r="G440" i="3"/>
  <c r="G448" i="3"/>
  <c r="G456" i="3"/>
  <c r="G464" i="3"/>
  <c r="G472" i="3"/>
  <c r="G480" i="3"/>
  <c r="G488" i="3"/>
  <c r="G496" i="3"/>
  <c r="G504" i="3"/>
  <c r="G512" i="3"/>
  <c r="G520" i="3"/>
  <c r="G528" i="3"/>
  <c r="G536" i="3"/>
  <c r="G544" i="3"/>
  <c r="G552" i="3"/>
  <c r="G560" i="3"/>
  <c r="G568" i="3"/>
  <c r="G576" i="3"/>
  <c r="G584" i="3"/>
  <c r="G592" i="3"/>
  <c r="G600" i="3"/>
  <c r="G608" i="3"/>
  <c r="G616" i="3"/>
  <c r="G624" i="3"/>
  <c r="G632" i="3"/>
  <c r="G640" i="3"/>
  <c r="G648" i="3"/>
  <c r="G656" i="3"/>
  <c r="G664" i="3"/>
  <c r="G672" i="3"/>
  <c r="G680" i="3"/>
  <c r="G688" i="3"/>
  <c r="G696" i="3"/>
  <c r="G704" i="3"/>
  <c r="G712" i="3"/>
  <c r="G720" i="3"/>
  <c r="G728" i="3"/>
  <c r="G736" i="3"/>
  <c r="G744" i="3"/>
  <c r="G752" i="3"/>
  <c r="G760" i="3"/>
  <c r="G768" i="3"/>
  <c r="G776" i="3"/>
  <c r="G784" i="3"/>
  <c r="G792" i="3"/>
  <c r="G800" i="3"/>
  <c r="G808" i="3"/>
  <c r="G816" i="3"/>
  <c r="G824" i="3"/>
  <c r="G832" i="3"/>
  <c r="G840" i="3"/>
  <c r="G848" i="3"/>
  <c r="G856" i="3"/>
  <c r="G864" i="3"/>
  <c r="G872" i="3"/>
  <c r="G880" i="3"/>
  <c r="G888" i="3"/>
  <c r="G896" i="3"/>
  <c r="G904" i="3"/>
  <c r="G912" i="3"/>
  <c r="G920" i="3"/>
  <c r="G928" i="3"/>
  <c r="G936" i="3"/>
  <c r="G944" i="3"/>
  <c r="G952" i="3"/>
  <c r="G960" i="3"/>
  <c r="G968" i="3"/>
  <c r="G976" i="3"/>
  <c r="G984" i="3"/>
  <c r="G992" i="3"/>
  <c r="G1000" i="3"/>
  <c r="G17" i="3"/>
  <c r="G193" i="3"/>
  <c r="G289" i="3"/>
  <c r="G353" i="3"/>
  <c r="G409" i="3"/>
  <c r="G465" i="3"/>
  <c r="G521" i="3"/>
  <c r="G585" i="3"/>
  <c r="G641" i="3"/>
  <c r="G697" i="3"/>
  <c r="G753" i="3"/>
  <c r="G801" i="3"/>
  <c r="G849" i="3"/>
  <c r="G897" i="3"/>
  <c r="G945" i="3"/>
  <c r="G985" i="3"/>
  <c r="G27" i="3"/>
  <c r="G59" i="3"/>
  <c r="G91" i="3"/>
  <c r="G123" i="3"/>
  <c r="G155" i="3"/>
  <c r="G187" i="3"/>
  <c r="G219" i="3"/>
  <c r="G251" i="3"/>
  <c r="G283" i="3"/>
  <c r="G315" i="3"/>
  <c r="G355" i="3"/>
  <c r="G395" i="3"/>
  <c r="G427" i="3"/>
  <c r="G459" i="3"/>
  <c r="G499" i="3"/>
  <c r="G531" i="3"/>
  <c r="G563" i="3"/>
  <c r="G603" i="3"/>
  <c r="G635" i="3"/>
  <c r="G675" i="3"/>
  <c r="G715" i="3"/>
  <c r="G747" i="3"/>
  <c r="G779" i="3"/>
  <c r="G811" i="3"/>
  <c r="G843" i="3"/>
  <c r="G883" i="3"/>
  <c r="G915" i="3"/>
  <c r="G947" i="3"/>
  <c r="G979" i="3"/>
  <c r="G2" i="3"/>
  <c r="G26" i="3"/>
  <c r="G50" i="3"/>
  <c r="G74" i="3"/>
  <c r="G98" i="3"/>
  <c r="G122" i="3"/>
  <c r="G146" i="3"/>
  <c r="G170" i="3"/>
  <c r="G194" i="3"/>
  <c r="G218" i="3"/>
  <c r="G242" i="3"/>
  <c r="G266" i="3"/>
  <c r="G290" i="3"/>
  <c r="G314" i="3"/>
  <c r="G346" i="3"/>
  <c r="G370" i="3"/>
  <c r="G394" i="3"/>
  <c r="G418" i="3"/>
  <c r="G442" i="3"/>
  <c r="G466" i="3"/>
  <c r="G490" i="3"/>
  <c r="G514" i="3"/>
  <c r="G546" i="3"/>
  <c r="G570" i="3"/>
  <c r="G594" i="3"/>
  <c r="G618" i="3"/>
  <c r="G642" i="3"/>
  <c r="G674" i="3"/>
  <c r="G698" i="3"/>
  <c r="G722" i="3"/>
  <c r="G746" i="3"/>
  <c r="G770" i="3"/>
  <c r="G810" i="3"/>
  <c r="G834" i="3"/>
  <c r="G858" i="3"/>
  <c r="G882" i="3"/>
  <c r="G906" i="3"/>
  <c r="G930" i="3"/>
  <c r="G954" i="3"/>
  <c r="G994" i="3"/>
  <c r="G707" i="3"/>
  <c r="G4" i="3"/>
  <c r="G20" i="3"/>
  <c r="G36" i="3"/>
  <c r="G60" i="3"/>
  <c r="G84" i="3"/>
  <c r="G108" i="3"/>
  <c r="G132" i="3"/>
  <c r="G156" i="3"/>
  <c r="G180" i="3"/>
  <c r="G204" i="3"/>
  <c r="G236" i="3"/>
  <c r="G260" i="3"/>
  <c r="G284" i="3"/>
  <c r="G308" i="3"/>
  <c r="G340" i="3"/>
  <c r="G364" i="3"/>
  <c r="G388" i="3"/>
  <c r="G420" i="3"/>
  <c r="G444" i="3"/>
  <c r="G468" i="3"/>
  <c r="G492" i="3"/>
  <c r="G516" i="3"/>
  <c r="G532" i="3"/>
  <c r="G556" i="3"/>
  <c r="G580" i="3"/>
  <c r="G604" i="3"/>
  <c r="G628" i="3"/>
  <c r="G652" i="3"/>
  <c r="G684" i="3"/>
  <c r="G708" i="3"/>
  <c r="G732" i="3"/>
  <c r="G756" i="3"/>
  <c r="G788" i="3"/>
  <c r="G812" i="3"/>
  <c r="G836" i="3"/>
  <c r="G868" i="3"/>
  <c r="G892" i="3"/>
  <c r="G916" i="3"/>
  <c r="G940" i="3"/>
  <c r="G964" i="3"/>
  <c r="G996" i="3"/>
  <c r="G5" i="3"/>
  <c r="G13" i="3"/>
  <c r="G21" i="3"/>
  <c r="G29" i="3"/>
  <c r="G37" i="3"/>
  <c r="G45" i="3"/>
  <c r="G53" i="3"/>
  <c r="G61" i="3"/>
  <c r="G69" i="3"/>
  <c r="G77" i="3"/>
  <c r="G85" i="3"/>
  <c r="G93" i="3"/>
  <c r="G101" i="3"/>
  <c r="G109" i="3"/>
  <c r="G117" i="3"/>
  <c r="G125" i="3"/>
  <c r="G133" i="3"/>
  <c r="G141" i="3"/>
  <c r="G149" i="3"/>
  <c r="G157" i="3"/>
  <c r="G165" i="3"/>
  <c r="G173" i="3"/>
  <c r="G181" i="3"/>
  <c r="G189" i="3"/>
  <c r="G197" i="3"/>
  <c r="G205" i="3"/>
  <c r="G213" i="3"/>
  <c r="G221" i="3"/>
  <c r="G229" i="3"/>
  <c r="G237" i="3"/>
  <c r="G245" i="3"/>
  <c r="G253" i="3"/>
  <c r="G261" i="3"/>
  <c r="G269" i="3"/>
  <c r="G277" i="3"/>
  <c r="G285" i="3"/>
  <c r="G293" i="3"/>
  <c r="G301" i="3"/>
  <c r="G309" i="3"/>
  <c r="G317" i="3"/>
  <c r="G325" i="3"/>
  <c r="G333" i="3"/>
  <c r="G341" i="3"/>
  <c r="G349" i="3"/>
  <c r="G357" i="3"/>
  <c r="G365" i="3"/>
  <c r="G373" i="3"/>
  <c r="G381" i="3"/>
  <c r="G389" i="3"/>
  <c r="G397" i="3"/>
  <c r="G405" i="3"/>
  <c r="G413" i="3"/>
  <c r="G421" i="3"/>
  <c r="G429" i="3"/>
  <c r="G437" i="3"/>
  <c r="G445" i="3"/>
  <c r="G453" i="3"/>
  <c r="G461" i="3"/>
  <c r="G469" i="3"/>
  <c r="G477" i="3"/>
  <c r="G485" i="3"/>
  <c r="G493" i="3"/>
  <c r="G501" i="3"/>
  <c r="G509" i="3"/>
  <c r="G517" i="3"/>
  <c r="G525" i="3"/>
  <c r="G533" i="3"/>
  <c r="G541" i="3"/>
  <c r="G549" i="3"/>
  <c r="G557" i="3"/>
  <c r="G565" i="3"/>
  <c r="G573" i="3"/>
  <c r="G581" i="3"/>
  <c r="G589" i="3"/>
  <c r="G597" i="3"/>
  <c r="G605" i="3"/>
  <c r="G613" i="3"/>
  <c r="G621" i="3"/>
  <c r="G629" i="3"/>
  <c r="G637" i="3"/>
  <c r="G645" i="3"/>
  <c r="G653" i="3"/>
  <c r="G661" i="3"/>
  <c r="G669" i="3"/>
  <c r="G677" i="3"/>
  <c r="G685" i="3"/>
  <c r="G693" i="3"/>
  <c r="G701" i="3"/>
  <c r="G709" i="3"/>
  <c r="G717" i="3"/>
  <c r="G725" i="3"/>
  <c r="G733" i="3"/>
  <c r="G741" i="3"/>
  <c r="G749" i="3"/>
  <c r="G757" i="3"/>
  <c r="G765" i="3"/>
  <c r="G773" i="3"/>
  <c r="G781" i="3"/>
  <c r="G789" i="3"/>
  <c r="G797" i="3"/>
  <c r="G805" i="3"/>
  <c r="G813" i="3"/>
  <c r="G821" i="3"/>
  <c r="G829" i="3"/>
  <c r="G837" i="3"/>
  <c r="G845" i="3"/>
  <c r="G853" i="3"/>
  <c r="G861" i="3"/>
  <c r="G869" i="3"/>
  <c r="G877" i="3"/>
  <c r="G885" i="3"/>
  <c r="G893" i="3"/>
  <c r="G901" i="3"/>
  <c r="G909" i="3"/>
  <c r="G917" i="3"/>
  <c r="G925" i="3"/>
  <c r="G933" i="3"/>
  <c r="G941" i="3"/>
  <c r="G949" i="3"/>
  <c r="G957" i="3"/>
  <c r="G965" i="3"/>
  <c r="G973" i="3"/>
  <c r="G981" i="3"/>
  <c r="G989" i="3"/>
  <c r="G997" i="3"/>
  <c r="G33" i="3"/>
  <c r="G577" i="3"/>
  <c r="G817" i="3"/>
  <c r="G1001" i="3"/>
  <c r="G10" i="3"/>
  <c r="G34" i="3"/>
  <c r="G58" i="3"/>
  <c r="G82" i="3"/>
  <c r="G106" i="3"/>
  <c r="G130" i="3"/>
  <c r="G162" i="3"/>
  <c r="G186" i="3"/>
  <c r="G210" i="3"/>
  <c r="G226" i="3"/>
  <c r="G250" i="3"/>
  <c r="G274" i="3"/>
  <c r="G298" i="3"/>
  <c r="G322" i="3"/>
  <c r="G354" i="3"/>
  <c r="G378" i="3"/>
  <c r="G402" i="3"/>
  <c r="G426" i="3"/>
  <c r="G450" i="3"/>
  <c r="G482" i="3"/>
  <c r="G506" i="3"/>
  <c r="G530" i="3"/>
  <c r="G554" i="3"/>
  <c r="G578" i="3"/>
  <c r="G610" i="3"/>
  <c r="G634" i="3"/>
  <c r="G666" i="3"/>
  <c r="G690" i="3"/>
  <c r="G714" i="3"/>
  <c r="G738" i="3"/>
  <c r="G762" i="3"/>
  <c r="G794" i="3"/>
  <c r="G826" i="3"/>
  <c r="G850" i="3"/>
  <c r="G874" i="3"/>
  <c r="G898" i="3"/>
  <c r="G922" i="3"/>
  <c r="G946" i="3"/>
  <c r="G978" i="3"/>
  <c r="G11" i="3"/>
  <c r="G43" i="3"/>
  <c r="G75" i="3"/>
  <c r="G115" i="3"/>
  <c r="G147" i="3"/>
  <c r="G179" i="3"/>
  <c r="G211" i="3"/>
  <c r="G243" i="3"/>
  <c r="G275" i="3"/>
  <c r="G307" i="3"/>
  <c r="G339" i="3"/>
  <c r="G371" i="3"/>
  <c r="G403" i="3"/>
  <c r="G435" i="3"/>
  <c r="G475" i="3"/>
  <c r="G507" i="3"/>
  <c r="G547" i="3"/>
  <c r="G579" i="3"/>
  <c r="G619" i="3"/>
  <c r="G651" i="3"/>
  <c r="G683" i="3"/>
  <c r="G723" i="3"/>
  <c r="G755" i="3"/>
  <c r="G795" i="3"/>
  <c r="G827" i="3"/>
  <c r="G867" i="3"/>
  <c r="G899" i="3"/>
  <c r="G931" i="3"/>
  <c r="G963" i="3"/>
  <c r="G995" i="3"/>
  <c r="G44" i="3"/>
  <c r="G68" i="3"/>
  <c r="G92" i="3"/>
  <c r="G116" i="3"/>
  <c r="G140" i="3"/>
  <c r="G164" i="3"/>
  <c r="G188" i="3"/>
  <c r="G220" i="3"/>
  <c r="G244" i="3"/>
  <c r="G276" i="3"/>
  <c r="G300" i="3"/>
  <c r="G324" i="3"/>
  <c r="G348" i="3"/>
  <c r="G372" i="3"/>
  <c r="G396" i="3"/>
  <c r="G428" i="3"/>
  <c r="G452" i="3"/>
  <c r="G476" i="3"/>
  <c r="G500" i="3"/>
  <c r="G524" i="3"/>
  <c r="G548" i="3"/>
  <c r="G572" i="3"/>
  <c r="G596" i="3"/>
  <c r="G620" i="3"/>
  <c r="G644" i="3"/>
  <c r="G668" i="3"/>
  <c r="G692" i="3"/>
  <c r="G716" i="3"/>
  <c r="G740" i="3"/>
  <c r="G764" i="3"/>
  <c r="G796" i="3"/>
  <c r="G820" i="3"/>
  <c r="G844" i="3"/>
  <c r="G860" i="3"/>
  <c r="G884" i="3"/>
  <c r="G908" i="3"/>
  <c r="G932" i="3"/>
  <c r="G956" i="3"/>
  <c r="G988" i="3"/>
  <c r="G6" i="3"/>
  <c r="G14" i="3"/>
  <c r="G22" i="3"/>
  <c r="G30" i="3"/>
  <c r="G38" i="3"/>
  <c r="G46" i="3"/>
  <c r="G54" i="3"/>
  <c r="G62" i="3"/>
  <c r="G70" i="3"/>
  <c r="G78" i="3"/>
  <c r="G86" i="3"/>
  <c r="G94" i="3"/>
  <c r="G102" i="3"/>
  <c r="G110" i="3"/>
  <c r="G118" i="3"/>
  <c r="G126" i="3"/>
  <c r="G134" i="3"/>
  <c r="G142" i="3"/>
  <c r="G150" i="3"/>
  <c r="G158" i="3"/>
  <c r="G166" i="3"/>
  <c r="G174" i="3"/>
  <c r="G182" i="3"/>
  <c r="G190" i="3"/>
  <c r="G198" i="3"/>
  <c r="G206" i="3"/>
  <c r="G214" i="3"/>
  <c r="G222" i="3"/>
  <c r="G230" i="3"/>
  <c r="G238" i="3"/>
  <c r="G246" i="3"/>
  <c r="G254" i="3"/>
  <c r="G262" i="3"/>
  <c r="G270" i="3"/>
  <c r="G278" i="3"/>
  <c r="G286" i="3"/>
  <c r="G294" i="3"/>
  <c r="G302" i="3"/>
  <c r="G310" i="3"/>
  <c r="G318" i="3"/>
  <c r="G326" i="3"/>
  <c r="G334" i="3"/>
  <c r="G342" i="3"/>
  <c r="G350" i="3"/>
  <c r="G358" i="3"/>
  <c r="G366" i="3"/>
  <c r="G374" i="3"/>
  <c r="G382" i="3"/>
  <c r="G390" i="3"/>
  <c r="G398" i="3"/>
  <c r="G406" i="3"/>
  <c r="G414" i="3"/>
  <c r="G422" i="3"/>
  <c r="G430" i="3"/>
  <c r="G438" i="3"/>
  <c r="G446" i="3"/>
  <c r="G454" i="3"/>
  <c r="G462" i="3"/>
  <c r="G470" i="3"/>
  <c r="G478" i="3"/>
  <c r="G486" i="3"/>
  <c r="G494" i="3"/>
  <c r="G502" i="3"/>
  <c r="G510" i="3"/>
  <c r="G518" i="3"/>
  <c r="G526" i="3"/>
  <c r="G534" i="3"/>
  <c r="G542" i="3"/>
  <c r="G550" i="3"/>
  <c r="G558" i="3"/>
  <c r="G566" i="3"/>
  <c r="G574" i="3"/>
  <c r="G582" i="3"/>
  <c r="G590" i="3"/>
  <c r="G598" i="3"/>
  <c r="G606" i="3"/>
  <c r="G614" i="3"/>
  <c r="G622" i="3"/>
  <c r="G630" i="3"/>
  <c r="G638" i="3"/>
  <c r="G646" i="3"/>
  <c r="G654" i="3"/>
  <c r="G662" i="3"/>
  <c r="G670" i="3"/>
  <c r="G678" i="3"/>
  <c r="G686" i="3"/>
  <c r="G694" i="3"/>
  <c r="G702" i="3"/>
  <c r="G710" i="3"/>
  <c r="G718" i="3"/>
  <c r="G726" i="3"/>
  <c r="G734" i="3"/>
  <c r="G742" i="3"/>
  <c r="G750" i="3"/>
  <c r="G758" i="3"/>
  <c r="G766" i="3"/>
  <c r="G774" i="3"/>
  <c r="G782" i="3"/>
  <c r="G790" i="3"/>
  <c r="G798" i="3"/>
  <c r="G806" i="3"/>
  <c r="G814" i="3"/>
  <c r="G822" i="3"/>
  <c r="G830" i="3"/>
  <c r="G838" i="3"/>
  <c r="G846" i="3"/>
  <c r="G854" i="3"/>
  <c r="G862" i="3"/>
  <c r="G870" i="3"/>
  <c r="G878" i="3"/>
  <c r="G886" i="3"/>
  <c r="G894" i="3"/>
  <c r="G902" i="3"/>
  <c r="G910" i="3"/>
  <c r="G918" i="3"/>
  <c r="G926" i="3"/>
  <c r="G934" i="3"/>
  <c r="G942" i="3"/>
  <c r="G950" i="3"/>
  <c r="G958" i="3"/>
  <c r="G966" i="3"/>
  <c r="G974" i="3"/>
  <c r="G982" i="3"/>
  <c r="G990" i="3"/>
  <c r="G998" i="3"/>
  <c r="G9" i="3"/>
  <c r="G49" i="3"/>
  <c r="G65" i="3"/>
  <c r="G81" i="3"/>
  <c r="G97" i="3"/>
  <c r="G113" i="3"/>
  <c r="G129" i="3"/>
  <c r="G145" i="3"/>
  <c r="G161" i="3"/>
  <c r="G177" i="3"/>
  <c r="G209" i="3"/>
  <c r="G225" i="3"/>
  <c r="G241" i="3"/>
  <c r="G257" i="3"/>
  <c r="G273" i="3"/>
  <c r="G297" i="3"/>
  <c r="G313" i="3"/>
  <c r="G329" i="3"/>
  <c r="G345" i="3"/>
  <c r="G369" i="3"/>
  <c r="G385" i="3"/>
  <c r="G401" i="3"/>
  <c r="G425" i="3"/>
  <c r="G441" i="3"/>
  <c r="G457" i="3"/>
  <c r="G481" i="3"/>
  <c r="G497" i="3"/>
  <c r="G513" i="3"/>
  <c r="G537" i="3"/>
  <c r="G553" i="3"/>
  <c r="G569" i="3"/>
  <c r="G601" i="3"/>
  <c r="G617" i="3"/>
  <c r="G633" i="3"/>
  <c r="G657" i="3"/>
  <c r="G673" i="3"/>
  <c r="G689" i="3"/>
  <c r="G713" i="3"/>
  <c r="G729" i="3"/>
  <c r="G745" i="3"/>
  <c r="G761" i="3"/>
  <c r="G777" i="3"/>
  <c r="G793" i="3"/>
  <c r="G825" i="3"/>
  <c r="G841" i="3"/>
  <c r="G865" i="3"/>
  <c r="G881" i="3"/>
  <c r="G905" i="3"/>
  <c r="G921" i="3"/>
  <c r="G937" i="3"/>
  <c r="G961" i="3"/>
  <c r="G977" i="3"/>
  <c r="G993" i="3"/>
  <c r="G19" i="3"/>
  <c r="G51" i="3"/>
  <c r="G83" i="3"/>
  <c r="G99" i="3"/>
  <c r="G131" i="3"/>
  <c r="G163" i="3"/>
  <c r="G195" i="3"/>
  <c r="G227" i="3"/>
  <c r="G259" i="3"/>
  <c r="G291" i="3"/>
  <c r="G323" i="3"/>
  <c r="G347" i="3"/>
  <c r="G379" i="3"/>
  <c r="G411" i="3"/>
  <c r="G443" i="3"/>
  <c r="G467" i="3"/>
  <c r="G483" i="3"/>
  <c r="G515" i="3"/>
  <c r="G539" i="3"/>
  <c r="G571" i="3"/>
  <c r="G595" i="3"/>
  <c r="G611" i="3"/>
  <c r="G643" i="3"/>
  <c r="G667" i="3"/>
  <c r="G699" i="3"/>
  <c r="G739" i="3"/>
  <c r="G771" i="3"/>
  <c r="G803" i="3"/>
  <c r="G835" i="3"/>
  <c r="G859" i="3"/>
  <c r="G891" i="3"/>
  <c r="G923" i="3"/>
  <c r="G955" i="3"/>
  <c r="G987" i="3"/>
  <c r="H935" i="3"/>
  <c r="H834" i="3"/>
  <c r="H704" i="3"/>
  <c r="H535" i="3"/>
  <c r="H365" i="3"/>
  <c r="H190" i="3"/>
  <c r="H995" i="3"/>
  <c r="H896" i="3"/>
  <c r="H779" i="3"/>
  <c r="H641" i="3"/>
  <c r="H468" i="3"/>
  <c r="H294" i="3"/>
  <c r="H115" i="3"/>
  <c r="H966" i="3"/>
  <c r="H893" i="3"/>
  <c r="H809" i="3"/>
  <c r="H712" i="3"/>
  <c r="H593" i="3"/>
  <c r="H460" i="3"/>
  <c r="H331" i="3"/>
  <c r="H201" i="3"/>
  <c r="H52" i="3"/>
  <c r="H947" i="3"/>
  <c r="H874" i="3"/>
  <c r="H783" i="3"/>
  <c r="H684" i="3"/>
  <c r="H556" i="3"/>
  <c r="H427" i="3"/>
  <c r="H297" i="3"/>
  <c r="H167" i="3"/>
  <c r="H11" i="3"/>
  <c r="H945" i="3"/>
  <c r="H881" i="3"/>
  <c r="H804" i="3"/>
  <c r="H720" i="3"/>
  <c r="H619" i="3"/>
  <c r="H503" i="3"/>
  <c r="H391" i="3"/>
  <c r="H277" i="3"/>
  <c r="H161" i="3"/>
  <c r="H28" i="3"/>
  <c r="H798" i="3"/>
  <c r="H734" i="3"/>
  <c r="H667" i="3"/>
  <c r="H581" i="3"/>
  <c r="H495" i="3"/>
  <c r="H411" i="3"/>
  <c r="H325" i="3"/>
  <c r="H239" i="3"/>
  <c r="H155" i="3"/>
  <c r="H69" i="3"/>
  <c r="H845" i="3"/>
  <c r="H781" i="3"/>
  <c r="H717" i="3"/>
  <c r="H644" i="3"/>
  <c r="H558" i="3"/>
  <c r="H473" i="3"/>
  <c r="H388" i="3"/>
  <c r="H302" i="3"/>
  <c r="H217" i="3"/>
  <c r="H132" i="3"/>
  <c r="H46" i="3"/>
  <c r="H131" i="3"/>
  <c r="H45" i="3"/>
  <c r="H648" i="3"/>
  <c r="H584" i="3"/>
  <c r="H520" i="3"/>
  <c r="H456" i="3"/>
  <c r="H392" i="3"/>
  <c r="H328" i="3"/>
  <c r="H264" i="3"/>
  <c r="H200" i="3"/>
  <c r="H136" i="3"/>
  <c r="H72" i="3"/>
  <c r="H8" i="3"/>
  <c r="H626" i="3"/>
  <c r="H562" i="3"/>
  <c r="H498" i="3"/>
  <c r="H434" i="3"/>
  <c r="H370" i="3"/>
  <c r="H306" i="3"/>
  <c r="H242" i="3"/>
  <c r="H178" i="3"/>
  <c r="H114" i="3"/>
  <c r="H50" i="3"/>
  <c r="H728" i="3"/>
  <c r="H268" i="3"/>
  <c r="H579" i="3"/>
  <c r="H869" i="3"/>
  <c r="H204" i="3"/>
  <c r="H567" i="3"/>
  <c r="H637" i="3"/>
  <c r="H353" i="3"/>
  <c r="H620" i="3"/>
  <c r="H943" i="3"/>
  <c r="H337" i="3"/>
  <c r="H761" i="3"/>
  <c r="H22" i="3"/>
  <c r="H713" i="3"/>
  <c r="H254" i="3"/>
  <c r="H831" i="3"/>
  <c r="H422" i="3"/>
  <c r="H946" i="3"/>
  <c r="H615" i="3"/>
  <c r="H157" i="3"/>
  <c r="H941" i="3"/>
  <c r="H840" i="3"/>
  <c r="H707" i="3"/>
  <c r="H545" i="3"/>
  <c r="H372" i="3"/>
  <c r="H198" i="3"/>
  <c r="H999" i="3"/>
  <c r="H903" i="3"/>
  <c r="H788" i="3"/>
  <c r="H651" i="3"/>
  <c r="H479" i="3"/>
  <c r="H305" i="3"/>
  <c r="H124" i="3"/>
  <c r="H962" i="3"/>
  <c r="H863" i="3"/>
  <c r="H738" i="3"/>
  <c r="H583" i="3"/>
  <c r="H407" i="3"/>
  <c r="H237" i="3"/>
  <c r="H41" i="3"/>
  <c r="H924" i="3"/>
  <c r="H817" i="3"/>
  <c r="H689" i="3"/>
  <c r="H515" i="3"/>
  <c r="H341" i="3"/>
  <c r="H171" i="3"/>
  <c r="H981" i="3"/>
  <c r="H885" i="3"/>
  <c r="H764" i="3"/>
  <c r="H617" i="3"/>
  <c r="H446" i="3"/>
  <c r="H273" i="3"/>
  <c r="H84" i="3"/>
  <c r="H957" i="3"/>
  <c r="H884" i="3"/>
  <c r="H796" i="3"/>
  <c r="H699" i="3"/>
  <c r="H574" i="3"/>
  <c r="H445" i="3"/>
  <c r="H316" i="3"/>
  <c r="H183" i="3"/>
  <c r="H31" i="3"/>
  <c r="H938" i="3"/>
  <c r="H864" i="3"/>
  <c r="H770" i="3"/>
  <c r="H670" i="3"/>
  <c r="H541" i="3"/>
  <c r="H412" i="3"/>
  <c r="H279" i="3"/>
  <c r="H148" i="3"/>
  <c r="H1001" i="3"/>
  <c r="H937" i="3"/>
  <c r="H873" i="3"/>
  <c r="H794" i="3"/>
  <c r="H708" i="3"/>
  <c r="H605" i="3"/>
  <c r="H491" i="3"/>
  <c r="H375" i="3"/>
  <c r="H263" i="3"/>
  <c r="H147" i="3"/>
  <c r="H9" i="3"/>
  <c r="H790" i="3"/>
  <c r="H726" i="3"/>
  <c r="H655" i="3"/>
  <c r="H571" i="3"/>
  <c r="H485" i="3"/>
  <c r="H399" i="3"/>
  <c r="H315" i="3"/>
  <c r="H229" i="3"/>
  <c r="H143" i="3"/>
  <c r="H59" i="3"/>
  <c r="H837" i="3"/>
  <c r="H773" i="3"/>
  <c r="H709" i="3"/>
  <c r="H633" i="3"/>
  <c r="H548" i="3"/>
  <c r="H462" i="3"/>
  <c r="H377" i="3"/>
  <c r="H292" i="3"/>
  <c r="H206" i="3"/>
  <c r="H121" i="3"/>
  <c r="H36" i="3"/>
  <c r="H119" i="3"/>
  <c r="H35" i="3"/>
  <c r="H640" i="3"/>
  <c r="H576" i="3"/>
  <c r="H512" i="3"/>
  <c r="H448" i="3"/>
  <c r="H384" i="3"/>
  <c r="H320" i="3"/>
  <c r="H256" i="3"/>
  <c r="H192" i="3"/>
  <c r="H128" i="3"/>
  <c r="H64" i="3"/>
  <c r="H4" i="3"/>
  <c r="H618" i="3"/>
  <c r="H554" i="3"/>
  <c r="H490" i="3"/>
  <c r="H426" i="3"/>
  <c r="H362" i="3"/>
  <c r="H298" i="3"/>
  <c r="H234" i="3"/>
  <c r="H170" i="3"/>
  <c r="H106" i="3"/>
  <c r="H42" i="3"/>
  <c r="H15" i="3"/>
  <c r="H805" i="3"/>
  <c r="H741" i="3"/>
  <c r="H676" i="3"/>
  <c r="H590" i="3"/>
  <c r="H505" i="3"/>
  <c r="H420" i="3"/>
  <c r="H334" i="3"/>
  <c r="H249" i="3"/>
  <c r="H164" i="3"/>
  <c r="H78" i="3"/>
  <c r="H163" i="3"/>
  <c r="H77" i="3"/>
  <c r="H672" i="3"/>
  <c r="H608" i="3"/>
  <c r="H544" i="3"/>
  <c r="H480" i="3"/>
  <c r="H416" i="3"/>
  <c r="H352" i="3"/>
  <c r="H288" i="3"/>
  <c r="H224" i="3"/>
  <c r="H160" i="3"/>
  <c r="H96" i="3"/>
  <c r="H32" i="3"/>
  <c r="H650" i="3"/>
  <c r="H586" i="3"/>
  <c r="H522" i="3"/>
  <c r="H458" i="3"/>
  <c r="H394" i="3"/>
  <c r="H330" i="3"/>
  <c r="H266" i="3"/>
  <c r="H202" i="3"/>
  <c r="H138" i="3"/>
  <c r="H74" i="3"/>
  <c r="F16" i="8"/>
  <c r="F15" i="8"/>
  <c r="F7" i="5"/>
  <c r="F16" i="5"/>
  <c r="F15" i="5"/>
  <c r="J6" i="3"/>
  <c r="J14" i="3"/>
  <c r="J22" i="3"/>
  <c r="J30" i="3"/>
  <c r="J38" i="3"/>
  <c r="J46" i="3"/>
  <c r="J54" i="3"/>
  <c r="J62" i="3"/>
  <c r="J70" i="3"/>
  <c r="J78" i="3"/>
  <c r="J86" i="3"/>
  <c r="J94" i="3"/>
  <c r="J102" i="3"/>
  <c r="J110" i="3"/>
  <c r="J118" i="3"/>
  <c r="J126" i="3"/>
  <c r="J134" i="3"/>
  <c r="J142" i="3"/>
  <c r="J150" i="3"/>
  <c r="J158" i="3"/>
  <c r="J166" i="3"/>
  <c r="J174" i="3"/>
  <c r="J182" i="3"/>
  <c r="J190" i="3"/>
  <c r="J198" i="3"/>
  <c r="J206" i="3"/>
  <c r="J214" i="3"/>
  <c r="J222" i="3"/>
  <c r="J230" i="3"/>
  <c r="J238" i="3"/>
  <c r="J246" i="3"/>
  <c r="J254" i="3"/>
  <c r="J262" i="3"/>
  <c r="J270" i="3"/>
  <c r="J278" i="3"/>
  <c r="J286" i="3"/>
  <c r="J294" i="3"/>
  <c r="J302" i="3"/>
  <c r="J310" i="3"/>
  <c r="J318" i="3"/>
  <c r="J326" i="3"/>
  <c r="J334" i="3"/>
  <c r="J342" i="3"/>
  <c r="J350" i="3"/>
  <c r="J358" i="3"/>
  <c r="J366" i="3"/>
  <c r="J374" i="3"/>
  <c r="J382" i="3"/>
  <c r="J390" i="3"/>
  <c r="J398" i="3"/>
  <c r="J406" i="3"/>
  <c r="J414" i="3"/>
  <c r="J422" i="3"/>
  <c r="J430" i="3"/>
  <c r="J438" i="3"/>
  <c r="J446" i="3"/>
  <c r="J454" i="3"/>
  <c r="J462" i="3"/>
  <c r="J470" i="3"/>
  <c r="J478" i="3"/>
  <c r="J486" i="3"/>
  <c r="J494" i="3"/>
  <c r="J502" i="3"/>
  <c r="J510" i="3"/>
  <c r="J518" i="3"/>
  <c r="J526" i="3"/>
  <c r="J534" i="3"/>
  <c r="J5" i="3"/>
  <c r="J15" i="3"/>
  <c r="J24" i="3"/>
  <c r="J33" i="3"/>
  <c r="J42" i="3"/>
  <c r="J51" i="3"/>
  <c r="J60" i="3"/>
  <c r="J69" i="3"/>
  <c r="J79" i="3"/>
  <c r="J88" i="3"/>
  <c r="J97" i="3"/>
  <c r="J106" i="3"/>
  <c r="J115" i="3"/>
  <c r="J124" i="3"/>
  <c r="J133" i="3"/>
  <c r="J143" i="3"/>
  <c r="J152" i="3"/>
  <c r="J161" i="3"/>
  <c r="J170" i="3"/>
  <c r="J179" i="3"/>
  <c r="J188" i="3"/>
  <c r="J197" i="3"/>
  <c r="J207" i="3"/>
  <c r="J216" i="3"/>
  <c r="J225" i="3"/>
  <c r="J234" i="3"/>
  <c r="J243" i="3"/>
  <c r="J252" i="3"/>
  <c r="J261" i="3"/>
  <c r="J271" i="3"/>
  <c r="J280" i="3"/>
  <c r="J289" i="3"/>
  <c r="J298" i="3"/>
  <c r="J307" i="3"/>
  <c r="J316" i="3"/>
  <c r="J325" i="3"/>
  <c r="J335" i="3"/>
  <c r="J344" i="3"/>
  <c r="J353" i="3"/>
  <c r="J362" i="3"/>
  <c r="J371" i="3"/>
  <c r="J380" i="3"/>
  <c r="J389" i="3"/>
  <c r="J399" i="3"/>
  <c r="J408" i="3"/>
  <c r="J417" i="3"/>
  <c r="J426" i="3"/>
  <c r="J435" i="3"/>
  <c r="J444" i="3"/>
  <c r="J453" i="3"/>
  <c r="J463" i="3"/>
  <c r="J472" i="3"/>
  <c r="J481" i="3"/>
  <c r="J490" i="3"/>
  <c r="J499" i="3"/>
  <c r="J508" i="3"/>
  <c r="J517" i="3"/>
  <c r="J527" i="3"/>
  <c r="J536" i="3"/>
  <c r="J544" i="3"/>
  <c r="J552" i="3"/>
  <c r="J560" i="3"/>
  <c r="J568" i="3"/>
  <c r="J576" i="3"/>
  <c r="J584" i="3"/>
  <c r="J592" i="3"/>
  <c r="J600" i="3"/>
  <c r="J608" i="3"/>
  <c r="J616" i="3"/>
  <c r="J624" i="3"/>
  <c r="J632" i="3"/>
  <c r="J640" i="3"/>
  <c r="J648" i="3"/>
  <c r="J656" i="3"/>
  <c r="J664" i="3"/>
  <c r="J672" i="3"/>
  <c r="J680" i="3"/>
  <c r="J688" i="3"/>
  <c r="J696" i="3"/>
  <c r="J704" i="3"/>
  <c r="J712" i="3"/>
  <c r="J720" i="3"/>
  <c r="J728" i="3"/>
  <c r="J736" i="3"/>
  <c r="J744" i="3"/>
  <c r="J752" i="3"/>
  <c r="J760" i="3"/>
  <c r="J768" i="3"/>
  <c r="J776" i="3"/>
  <c r="J784" i="3"/>
  <c r="J792" i="3"/>
  <c r="J800" i="3"/>
  <c r="J808" i="3"/>
  <c r="J816" i="3"/>
  <c r="J824" i="3"/>
  <c r="J832" i="3"/>
  <c r="J840" i="3"/>
  <c r="J848" i="3"/>
  <c r="J856" i="3"/>
  <c r="J864" i="3"/>
  <c r="J872" i="3"/>
  <c r="J880" i="3"/>
  <c r="J888" i="3"/>
  <c r="J896" i="3"/>
  <c r="J904" i="3"/>
  <c r="J912" i="3"/>
  <c r="J920" i="3"/>
  <c r="J928" i="3"/>
  <c r="J936" i="3"/>
  <c r="J944" i="3"/>
  <c r="J952" i="3"/>
  <c r="J960" i="3"/>
  <c r="J968" i="3"/>
  <c r="J976" i="3"/>
  <c r="J984" i="3"/>
  <c r="J992" i="3"/>
  <c r="J1000" i="3"/>
  <c r="J10" i="3"/>
  <c r="J20" i="3"/>
  <c r="J31" i="3"/>
  <c r="J41" i="3"/>
  <c r="J52" i="3"/>
  <c r="J63" i="3"/>
  <c r="J73" i="3"/>
  <c r="J83" i="3"/>
  <c r="J93" i="3"/>
  <c r="J104" i="3"/>
  <c r="J114" i="3"/>
  <c r="J125" i="3"/>
  <c r="J136" i="3"/>
  <c r="J11" i="3"/>
  <c r="J21" i="3"/>
  <c r="J32" i="3"/>
  <c r="J43" i="3"/>
  <c r="J53" i="3"/>
  <c r="J64" i="3"/>
  <c r="J74" i="3"/>
  <c r="J84" i="3"/>
  <c r="J95" i="3"/>
  <c r="J105" i="3"/>
  <c r="J116" i="3"/>
  <c r="J127" i="3"/>
  <c r="J137" i="3"/>
  <c r="J7" i="3"/>
  <c r="J17" i="3"/>
  <c r="J27" i="3"/>
  <c r="J37" i="3"/>
  <c r="J48" i="3"/>
  <c r="J58" i="3"/>
  <c r="J68" i="3"/>
  <c r="J80" i="3"/>
  <c r="J90" i="3"/>
  <c r="J100" i="3"/>
  <c r="J111" i="3"/>
  <c r="J121" i="3"/>
  <c r="J131" i="3"/>
  <c r="J141" i="3"/>
  <c r="J153" i="3"/>
  <c r="J163" i="3"/>
  <c r="J173" i="3"/>
  <c r="J184" i="3"/>
  <c r="J194" i="3"/>
  <c r="J204" i="3"/>
  <c r="J215" i="3"/>
  <c r="J226" i="3"/>
  <c r="J236" i="3"/>
  <c r="J247" i="3"/>
  <c r="J257" i="3"/>
  <c r="J267" i="3"/>
  <c r="J277" i="3"/>
  <c r="J288" i="3"/>
  <c r="J299" i="3"/>
  <c r="J309" i="3"/>
  <c r="J320" i="3"/>
  <c r="J330" i="3"/>
  <c r="J340" i="3"/>
  <c r="J351" i="3"/>
  <c r="J361" i="3"/>
  <c r="J372" i="3"/>
  <c r="J383" i="3"/>
  <c r="J393" i="3"/>
  <c r="J403" i="3"/>
  <c r="J413" i="3"/>
  <c r="J424" i="3"/>
  <c r="J434" i="3"/>
  <c r="J445" i="3"/>
  <c r="J456" i="3"/>
  <c r="J466" i="3"/>
  <c r="J476" i="3"/>
  <c r="J487" i="3"/>
  <c r="J497" i="3"/>
  <c r="J507" i="3"/>
  <c r="J519" i="3"/>
  <c r="J529" i="3"/>
  <c r="J539" i="3"/>
  <c r="J548" i="3"/>
  <c r="J557" i="3"/>
  <c r="J566" i="3"/>
  <c r="J575" i="3"/>
  <c r="J585" i="3"/>
  <c r="J594" i="3"/>
  <c r="J603" i="3"/>
  <c r="J612" i="3"/>
  <c r="J621" i="3"/>
  <c r="J630" i="3"/>
  <c r="J639" i="3"/>
  <c r="J649" i="3"/>
  <c r="J658" i="3"/>
  <c r="J667" i="3"/>
  <c r="J676" i="3"/>
  <c r="J685" i="3"/>
  <c r="J694" i="3"/>
  <c r="J703" i="3"/>
  <c r="J713" i="3"/>
  <c r="J722" i="3"/>
  <c r="J731" i="3"/>
  <c r="J740" i="3"/>
  <c r="J749" i="3"/>
  <c r="J758" i="3"/>
  <c r="J767" i="3"/>
  <c r="J777" i="3"/>
  <c r="J786" i="3"/>
  <c r="J795" i="3"/>
  <c r="J804" i="3"/>
  <c r="J813" i="3"/>
  <c r="J822" i="3"/>
  <c r="J831" i="3"/>
  <c r="J841" i="3"/>
  <c r="J850" i="3"/>
  <c r="J859" i="3"/>
  <c r="J868" i="3"/>
  <c r="J877" i="3"/>
  <c r="J886" i="3"/>
  <c r="J895" i="3"/>
  <c r="J905" i="3"/>
  <c r="J914" i="3"/>
  <c r="J923" i="3"/>
  <c r="J932" i="3"/>
  <c r="J941" i="3"/>
  <c r="J950" i="3"/>
  <c r="J959" i="3"/>
  <c r="J969" i="3"/>
  <c r="J978" i="3"/>
  <c r="J987" i="3"/>
  <c r="J996" i="3"/>
  <c r="J16" i="3"/>
  <c r="J34" i="3"/>
  <c r="J49" i="3"/>
  <c r="J66" i="3"/>
  <c r="J82" i="3"/>
  <c r="J99" i="3"/>
  <c r="J117" i="3"/>
  <c r="J132" i="3"/>
  <c r="J147" i="3"/>
  <c r="J159" i="3"/>
  <c r="J171" i="3"/>
  <c r="J183" i="3"/>
  <c r="J195" i="3"/>
  <c r="J208" i="3"/>
  <c r="J219" i="3"/>
  <c r="J231" i="3"/>
  <c r="J242" i="3"/>
  <c r="J255" i="3"/>
  <c r="J266" i="3"/>
  <c r="J279" i="3"/>
  <c r="J291" i="3"/>
  <c r="J303" i="3"/>
  <c r="J314" i="3"/>
  <c r="J327" i="3"/>
  <c r="J338" i="3"/>
  <c r="J349" i="3"/>
  <c r="J363" i="3"/>
  <c r="J375" i="3"/>
  <c r="J386" i="3"/>
  <c r="J397" i="3"/>
  <c r="J410" i="3"/>
  <c r="J421" i="3"/>
  <c r="J433" i="3"/>
  <c r="J447" i="3"/>
  <c r="J458" i="3"/>
  <c r="J469" i="3"/>
  <c r="J482" i="3"/>
  <c r="J493" i="3"/>
  <c r="J505" i="3"/>
  <c r="J516" i="3"/>
  <c r="J530" i="3"/>
  <c r="J541" i="3"/>
  <c r="J551" i="3"/>
  <c r="J562" i="3"/>
  <c r="J572" i="3"/>
  <c r="J582" i="3"/>
  <c r="J593" i="3"/>
  <c r="J604" i="3"/>
  <c r="J614" i="3"/>
  <c r="J625" i="3"/>
  <c r="J635" i="3"/>
  <c r="J2" i="3"/>
  <c r="J18" i="3"/>
  <c r="J35" i="3"/>
  <c r="J50" i="3"/>
  <c r="J67" i="3"/>
  <c r="J85" i="3"/>
  <c r="J101" i="3"/>
  <c r="J119" i="3"/>
  <c r="J135" i="3"/>
  <c r="J148" i="3"/>
  <c r="J160" i="3"/>
  <c r="J172" i="3"/>
  <c r="J185" i="3"/>
  <c r="J196" i="3"/>
  <c r="J209" i="3"/>
  <c r="J220" i="3"/>
  <c r="J232" i="3"/>
  <c r="J244" i="3"/>
  <c r="J256" i="3"/>
  <c r="J268" i="3"/>
  <c r="J281" i="3"/>
  <c r="J292" i="3"/>
  <c r="J304" i="3"/>
  <c r="J315" i="3"/>
  <c r="J328" i="3"/>
  <c r="J339" i="3"/>
  <c r="J352" i="3"/>
  <c r="J364" i="3"/>
  <c r="J376" i="3"/>
  <c r="J387" i="3"/>
  <c r="J400" i="3"/>
  <c r="J411" i="3"/>
  <c r="J423" i="3"/>
  <c r="J436" i="3"/>
  <c r="J448" i="3"/>
  <c r="J459" i="3"/>
  <c r="J471" i="3"/>
  <c r="J483" i="3"/>
  <c r="J495" i="3"/>
  <c r="J506" i="3"/>
  <c r="J520" i="3"/>
  <c r="J531" i="3"/>
  <c r="J12" i="3"/>
  <c r="J36" i="3"/>
  <c r="J57" i="3"/>
  <c r="J77" i="3"/>
  <c r="J103" i="3"/>
  <c r="J123" i="3"/>
  <c r="J145" i="3"/>
  <c r="J162" i="3"/>
  <c r="J177" i="3"/>
  <c r="J192" i="3"/>
  <c r="J210" i="3"/>
  <c r="J224" i="3"/>
  <c r="J240" i="3"/>
  <c r="J258" i="3"/>
  <c r="J273" i="3"/>
  <c r="J287" i="3"/>
  <c r="J305" i="3"/>
  <c r="J321" i="3"/>
  <c r="J336" i="3"/>
  <c r="J354" i="3"/>
  <c r="J368" i="3"/>
  <c r="J384" i="3"/>
  <c r="J401" i="3"/>
  <c r="J416" i="3"/>
  <c r="J431" i="3"/>
  <c r="J449" i="3"/>
  <c r="J464" i="3"/>
  <c r="J479" i="3"/>
  <c r="J496" i="3"/>
  <c r="J512" i="3"/>
  <c r="J525" i="3"/>
  <c r="J542" i="3"/>
  <c r="J554" i="3"/>
  <c r="J565" i="3"/>
  <c r="J578" i="3"/>
  <c r="J589" i="3"/>
  <c r="J601" i="3"/>
  <c r="J613" i="3"/>
  <c r="J626" i="3"/>
  <c r="J637" i="3"/>
  <c r="J647" i="3"/>
  <c r="J659" i="3"/>
  <c r="J669" i="3"/>
  <c r="J679" i="3"/>
  <c r="J690" i="3"/>
  <c r="J700" i="3"/>
  <c r="J710" i="3"/>
  <c r="J721" i="3"/>
  <c r="J732" i="3"/>
  <c r="J742" i="3"/>
  <c r="J753" i="3"/>
  <c r="J763" i="3"/>
  <c r="J13" i="3"/>
  <c r="J39" i="3"/>
  <c r="J59" i="3"/>
  <c r="J81" i="3"/>
  <c r="J107" i="3"/>
  <c r="J128" i="3"/>
  <c r="J146" i="3"/>
  <c r="J164" i="3"/>
  <c r="J178" i="3"/>
  <c r="J193" i="3"/>
  <c r="J211" i="3"/>
  <c r="J227" i="3"/>
  <c r="J241" i="3"/>
  <c r="J259" i="3"/>
  <c r="J274" i="3"/>
  <c r="J290" i="3"/>
  <c r="J306" i="3"/>
  <c r="J322" i="3"/>
  <c r="J337" i="3"/>
  <c r="J355" i="3"/>
  <c r="J369" i="3"/>
  <c r="J385" i="3"/>
  <c r="J402" i="3"/>
  <c r="J418" i="3"/>
  <c r="J432" i="3"/>
  <c r="J450" i="3"/>
  <c r="J465" i="3"/>
  <c r="J480" i="3"/>
  <c r="J498" i="3"/>
  <c r="J513" i="3"/>
  <c r="J528" i="3"/>
  <c r="J543" i="3"/>
  <c r="J555" i="3"/>
  <c r="J567" i="3"/>
  <c r="J579" i="3"/>
  <c r="J590" i="3"/>
  <c r="J602" i="3"/>
  <c r="J615" i="3"/>
  <c r="J627" i="3"/>
  <c r="J638" i="3"/>
  <c r="J650" i="3"/>
  <c r="J660" i="3"/>
  <c r="J670" i="3"/>
  <c r="J681" i="3"/>
  <c r="J691" i="3"/>
  <c r="J701" i="3"/>
  <c r="J711" i="3"/>
  <c r="J723" i="3"/>
  <c r="J733" i="3"/>
  <c r="J743" i="3"/>
  <c r="J754" i="3"/>
  <c r="J764" i="3"/>
  <c r="J774" i="3"/>
  <c r="J785" i="3"/>
  <c r="J796" i="3"/>
  <c r="J806" i="3"/>
  <c r="J817" i="3"/>
  <c r="J827" i="3"/>
  <c r="J837" i="3"/>
  <c r="J847" i="3"/>
  <c r="J858" i="3"/>
  <c r="J869" i="3"/>
  <c r="J879" i="3"/>
  <c r="J890" i="3"/>
  <c r="J900" i="3"/>
  <c r="J910" i="3"/>
  <c r="J921" i="3"/>
  <c r="J931" i="3"/>
  <c r="J942" i="3"/>
  <c r="J953" i="3"/>
  <c r="J963" i="3"/>
  <c r="J973" i="3"/>
  <c r="J983" i="3"/>
  <c r="J994" i="3"/>
  <c r="J19" i="3"/>
  <c r="J40" i="3"/>
  <c r="J61" i="3"/>
  <c r="J87" i="3"/>
  <c r="J108" i="3"/>
  <c r="J129" i="3"/>
  <c r="J149" i="3"/>
  <c r="J165" i="3"/>
  <c r="J180" i="3"/>
  <c r="J199" i="3"/>
  <c r="J212" i="3"/>
  <c r="J228" i="3"/>
  <c r="J245" i="3"/>
  <c r="J260" i="3"/>
  <c r="J275" i="3"/>
  <c r="J293" i="3"/>
  <c r="J308" i="3"/>
  <c r="J323" i="3"/>
  <c r="J341" i="3"/>
  <c r="J356" i="3"/>
  <c r="J370" i="3"/>
  <c r="J388" i="3"/>
  <c r="J404" i="3"/>
  <c r="J419" i="3"/>
  <c r="J437" i="3"/>
  <c r="J451" i="3"/>
  <c r="J467" i="3"/>
  <c r="J484" i="3"/>
  <c r="J500" i="3"/>
  <c r="J514" i="3"/>
  <c r="J532" i="3"/>
  <c r="J545" i="3"/>
  <c r="J556" i="3"/>
  <c r="J569" i="3"/>
  <c r="J580" i="3"/>
  <c r="J591" i="3"/>
  <c r="J605" i="3"/>
  <c r="J617" i="3"/>
  <c r="J628" i="3"/>
  <c r="J641" i="3"/>
  <c r="J651" i="3"/>
  <c r="J661" i="3"/>
  <c r="J671" i="3"/>
  <c r="J682" i="3"/>
  <c r="J692" i="3"/>
  <c r="J702" i="3"/>
  <c r="J714" i="3"/>
  <c r="J724" i="3"/>
  <c r="J734" i="3"/>
  <c r="J745" i="3"/>
  <c r="J755" i="3"/>
  <c r="J765" i="3"/>
  <c r="J775" i="3"/>
  <c r="J787" i="3"/>
  <c r="J797" i="3"/>
  <c r="J807" i="3"/>
  <c r="J818" i="3"/>
  <c r="J828" i="3"/>
  <c r="J838" i="3"/>
  <c r="J849" i="3"/>
  <c r="J860" i="3"/>
  <c r="J870" i="3"/>
  <c r="J881" i="3"/>
  <c r="J891" i="3"/>
  <c r="J901" i="3"/>
  <c r="J911" i="3"/>
  <c r="J922" i="3"/>
  <c r="J933" i="3"/>
  <c r="J943" i="3"/>
  <c r="J954" i="3"/>
  <c r="J964" i="3"/>
  <c r="J974" i="3"/>
  <c r="J985" i="3"/>
  <c r="J995" i="3"/>
  <c r="J8" i="3"/>
  <c r="J28" i="3"/>
  <c r="J55" i="3"/>
  <c r="J75" i="3"/>
  <c r="J96" i="3"/>
  <c r="J120" i="3"/>
  <c r="J140" i="3"/>
  <c r="J156" i="3"/>
  <c r="J175" i="3"/>
  <c r="J189" i="3"/>
  <c r="J203" i="3"/>
  <c r="J221" i="3"/>
  <c r="J237" i="3"/>
  <c r="J251" i="3"/>
  <c r="J269" i="3"/>
  <c r="J284" i="3"/>
  <c r="J300" i="3"/>
  <c r="J317" i="3"/>
  <c r="J332" i="3"/>
  <c r="J347" i="3"/>
  <c r="J365" i="3"/>
  <c r="J379" i="3"/>
  <c r="J395" i="3"/>
  <c r="J412" i="3"/>
  <c r="J428" i="3"/>
  <c r="J442" i="3"/>
  <c r="J460" i="3"/>
  <c r="J475" i="3"/>
  <c r="J491" i="3"/>
  <c r="J509" i="3"/>
  <c r="J523" i="3"/>
  <c r="J538" i="3"/>
  <c r="J550" i="3"/>
  <c r="J563" i="3"/>
  <c r="J574" i="3"/>
  <c r="J587" i="3"/>
  <c r="J598" i="3"/>
  <c r="J610" i="3"/>
  <c r="J622" i="3"/>
  <c r="J634" i="3"/>
  <c r="J645" i="3"/>
  <c r="J655" i="3"/>
  <c r="J666" i="3"/>
  <c r="J677" i="3"/>
  <c r="J687" i="3"/>
  <c r="J698" i="3"/>
  <c r="J708" i="3"/>
  <c r="J718" i="3"/>
  <c r="J729" i="3"/>
  <c r="J739" i="3"/>
  <c r="J750" i="3"/>
  <c r="J761" i="3"/>
  <c r="J771" i="3"/>
  <c r="J781" i="3"/>
  <c r="J791" i="3"/>
  <c r="J802" i="3"/>
  <c r="J812" i="3"/>
  <c r="J823" i="3"/>
  <c r="J834" i="3"/>
  <c r="J844" i="3"/>
  <c r="J854" i="3"/>
  <c r="J865" i="3"/>
  <c r="J875" i="3"/>
  <c r="J885" i="3"/>
  <c r="J897" i="3"/>
  <c r="J907" i="3"/>
  <c r="J917" i="3"/>
  <c r="J927" i="3"/>
  <c r="J938" i="3"/>
  <c r="J948" i="3"/>
  <c r="J958" i="3"/>
  <c r="J970" i="3"/>
  <c r="J980" i="3"/>
  <c r="J990" i="3"/>
  <c r="J1001" i="3"/>
  <c r="J4" i="3"/>
  <c r="J47" i="3"/>
  <c r="J92" i="3"/>
  <c r="J139" i="3"/>
  <c r="J169" i="3"/>
  <c r="J202" i="3"/>
  <c r="J235" i="3"/>
  <c r="J265" i="3"/>
  <c r="J297" i="3"/>
  <c r="J331" i="3"/>
  <c r="J360" i="3"/>
  <c r="J394" i="3"/>
  <c r="J427" i="3"/>
  <c r="J457" i="3"/>
  <c r="J489" i="3"/>
  <c r="J522" i="3"/>
  <c r="J549" i="3"/>
  <c r="J573" i="3"/>
  <c r="J597" i="3"/>
  <c r="J620" i="3"/>
  <c r="J644" i="3"/>
  <c r="J665" i="3"/>
  <c r="J686" i="3"/>
  <c r="J707" i="3"/>
  <c r="J727" i="3"/>
  <c r="J748" i="3"/>
  <c r="J770" i="3"/>
  <c r="J788" i="3"/>
  <c r="J803" i="3"/>
  <c r="J820" i="3"/>
  <c r="J836" i="3"/>
  <c r="J853" i="3"/>
  <c r="J871" i="3"/>
  <c r="J887" i="3"/>
  <c r="J903" i="3"/>
  <c r="J919" i="3"/>
  <c r="J937" i="3"/>
  <c r="J955" i="3"/>
  <c r="J971" i="3"/>
  <c r="J988" i="3"/>
  <c r="J9" i="3"/>
  <c r="J56" i="3"/>
  <c r="J98" i="3"/>
  <c r="J144" i="3"/>
  <c r="J176" i="3"/>
  <c r="J205" i="3"/>
  <c r="J239" i="3"/>
  <c r="J272" i="3"/>
  <c r="J301" i="3"/>
  <c r="J333" i="3"/>
  <c r="J367" i="3"/>
  <c r="J396" i="3"/>
  <c r="J429" i="3"/>
  <c r="J461" i="3"/>
  <c r="J492" i="3"/>
  <c r="J524" i="3"/>
  <c r="J553" i="3"/>
  <c r="J577" i="3"/>
  <c r="J599" i="3"/>
  <c r="J623" i="3"/>
  <c r="J646" i="3"/>
  <c r="J668" i="3"/>
  <c r="J689" i="3"/>
  <c r="J709" i="3"/>
  <c r="J730" i="3"/>
  <c r="J751" i="3"/>
  <c r="J772" i="3"/>
  <c r="J789" i="3"/>
  <c r="J805" i="3"/>
  <c r="J821" i="3"/>
  <c r="J839" i="3"/>
  <c r="J855" i="3"/>
  <c r="J873" i="3"/>
  <c r="J889" i="3"/>
  <c r="J906" i="3"/>
  <c r="J924" i="3"/>
  <c r="J939" i="3"/>
  <c r="J956" i="3"/>
  <c r="J972" i="3"/>
  <c r="J989" i="3"/>
  <c r="J23" i="3"/>
  <c r="J72" i="3"/>
  <c r="J130" i="3"/>
  <c r="J181" i="3"/>
  <c r="J218" i="3"/>
  <c r="J263" i="3"/>
  <c r="J311" i="3"/>
  <c r="J346" i="3"/>
  <c r="J391" i="3"/>
  <c r="J439" i="3"/>
  <c r="J474" i="3"/>
  <c r="J515" i="3"/>
  <c r="J558" i="3"/>
  <c r="J586" i="3"/>
  <c r="J618" i="3"/>
  <c r="J652" i="3"/>
  <c r="J675" i="3"/>
  <c r="J705" i="3"/>
  <c r="J735" i="3"/>
  <c r="J759" i="3"/>
  <c r="J782" i="3"/>
  <c r="J809" i="3"/>
  <c r="J829" i="3"/>
  <c r="J851" i="3"/>
  <c r="J874" i="3"/>
  <c r="J894" i="3"/>
  <c r="J916" i="3"/>
  <c r="J940" i="3"/>
  <c r="J962" i="3"/>
  <c r="J982" i="3"/>
  <c r="J25" i="3"/>
  <c r="J76" i="3"/>
  <c r="J138" i="3"/>
  <c r="J186" i="3"/>
  <c r="J223" i="3"/>
  <c r="J264" i="3"/>
  <c r="J312" i="3"/>
  <c r="J348" i="3"/>
  <c r="J392" i="3"/>
  <c r="J440" i="3"/>
  <c r="J477" i="3"/>
  <c r="J521" i="3"/>
  <c r="J559" i="3"/>
  <c r="J588" i="3"/>
  <c r="J619" i="3"/>
  <c r="J653" i="3"/>
  <c r="J678" i="3"/>
  <c r="J706" i="3"/>
  <c r="J737" i="3"/>
  <c r="J762" i="3"/>
  <c r="J783" i="3"/>
  <c r="J810" i="3"/>
  <c r="J830" i="3"/>
  <c r="J852" i="3"/>
  <c r="J876" i="3"/>
  <c r="J898" i="3"/>
  <c r="J918" i="3"/>
  <c r="J945" i="3"/>
  <c r="J965" i="3"/>
  <c r="J986" i="3"/>
  <c r="J26" i="3"/>
  <c r="J89" i="3"/>
  <c r="J151" i="3"/>
  <c r="J187" i="3"/>
  <c r="J229" i="3"/>
  <c r="J276" i="3"/>
  <c r="J313" i="3"/>
  <c r="J357" i="3"/>
  <c r="J405" i="3"/>
  <c r="J441" i="3"/>
  <c r="J485" i="3"/>
  <c r="J533" i="3"/>
  <c r="J561" i="3"/>
  <c r="J595" i="3"/>
  <c r="J629" i="3"/>
  <c r="J654" i="3"/>
  <c r="J683" i="3"/>
  <c r="J715" i="3"/>
  <c r="J738" i="3"/>
  <c r="J766" i="3"/>
  <c r="J790" i="3"/>
  <c r="J811" i="3"/>
  <c r="J833" i="3"/>
  <c r="J857" i="3"/>
  <c r="J878" i="3"/>
  <c r="J899" i="3"/>
  <c r="J925" i="3"/>
  <c r="J946" i="3"/>
  <c r="J966" i="3"/>
  <c r="J991" i="3"/>
  <c r="J65" i="3"/>
  <c r="J113" i="3"/>
  <c r="J167" i="3"/>
  <c r="J213" i="3"/>
  <c r="J250" i="3"/>
  <c r="J295" i="3"/>
  <c r="J343" i="3"/>
  <c r="J378" i="3"/>
  <c r="J420" i="3"/>
  <c r="J468" i="3"/>
  <c r="J504" i="3"/>
  <c r="J546" i="3"/>
  <c r="J581" i="3"/>
  <c r="J609" i="3"/>
  <c r="J642" i="3"/>
  <c r="J673" i="3"/>
  <c r="J697" i="3"/>
  <c r="J725" i="3"/>
  <c r="J756" i="3"/>
  <c r="J779" i="3"/>
  <c r="J799" i="3"/>
  <c r="J825" i="3"/>
  <c r="J845" i="3"/>
  <c r="J866" i="3"/>
  <c r="J892" i="3"/>
  <c r="J913" i="3"/>
  <c r="J934" i="3"/>
  <c r="J957" i="3"/>
  <c r="J979" i="3"/>
  <c r="J999" i="3"/>
  <c r="J29" i="3"/>
  <c r="J154" i="3"/>
  <c r="J233" i="3"/>
  <c r="J319" i="3"/>
  <c r="J407" i="3"/>
  <c r="J488" i="3"/>
  <c r="J564" i="3"/>
  <c r="J631" i="3"/>
  <c r="J684" i="3"/>
  <c r="J741" i="3"/>
  <c r="J793" i="3"/>
  <c r="J835" i="3"/>
  <c r="J882" i="3"/>
  <c r="J926" i="3"/>
  <c r="J967" i="3"/>
  <c r="J44" i="3"/>
  <c r="J155" i="3"/>
  <c r="J248" i="3"/>
  <c r="J324" i="3"/>
  <c r="J409" i="3"/>
  <c r="J501" i="3"/>
  <c r="J570" i="3"/>
  <c r="J633" i="3"/>
  <c r="J693" i="3"/>
  <c r="J746" i="3"/>
  <c r="J794" i="3"/>
  <c r="J842" i="3"/>
  <c r="J883" i="3"/>
  <c r="J929" i="3"/>
  <c r="J975" i="3"/>
  <c r="J45" i="3"/>
  <c r="J157" i="3"/>
  <c r="J249" i="3"/>
  <c r="J329" i="3"/>
  <c r="J415" i="3"/>
  <c r="J503" i="3"/>
  <c r="J571" i="3"/>
  <c r="J636" i="3"/>
  <c r="J695" i="3"/>
  <c r="J747" i="3"/>
  <c r="J798" i="3"/>
  <c r="J843" i="3"/>
  <c r="J884" i="3"/>
  <c r="J930" i="3"/>
  <c r="J977" i="3"/>
  <c r="J71" i="3"/>
  <c r="J168" i="3"/>
  <c r="J253" i="3"/>
  <c r="J345" i="3"/>
  <c r="J425" i="3"/>
  <c r="J511" i="3"/>
  <c r="J583" i="3"/>
  <c r="J643" i="3"/>
  <c r="J699" i="3"/>
  <c r="J757" i="3"/>
  <c r="J801" i="3"/>
  <c r="J846" i="3"/>
  <c r="J893" i="3"/>
  <c r="J935" i="3"/>
  <c r="J981" i="3"/>
  <c r="J91" i="3"/>
  <c r="J282" i="3"/>
  <c r="J443" i="3"/>
  <c r="J596" i="3"/>
  <c r="J716" i="3"/>
  <c r="J814" i="3"/>
  <c r="J902" i="3"/>
  <c r="J993" i="3"/>
  <c r="J109" i="3"/>
  <c r="J283" i="3"/>
  <c r="J452" i="3"/>
  <c r="J606" i="3"/>
  <c r="J717" i="3"/>
  <c r="J815" i="3"/>
  <c r="J908" i="3"/>
  <c r="J997" i="3"/>
  <c r="J112" i="3"/>
  <c r="J285" i="3"/>
  <c r="J455" i="3"/>
  <c r="J607" i="3"/>
  <c r="J719" i="3"/>
  <c r="J819" i="3"/>
  <c r="J909" i="3"/>
  <c r="J998" i="3"/>
  <c r="J201" i="3"/>
  <c r="J377" i="3"/>
  <c r="J540" i="3"/>
  <c r="J663" i="3"/>
  <c r="J778" i="3"/>
  <c r="J863" i="3"/>
  <c r="J951" i="3"/>
  <c r="J296" i="3"/>
  <c r="J611" i="3"/>
  <c r="J826" i="3"/>
  <c r="J359" i="3"/>
  <c r="J657" i="3"/>
  <c r="J861" i="3"/>
  <c r="J373" i="3"/>
  <c r="J662" i="3"/>
  <c r="J862" i="3"/>
  <c r="J200" i="3"/>
  <c r="J537" i="3"/>
  <c r="J773" i="3"/>
  <c r="J949" i="3"/>
  <c r="J381" i="3"/>
  <c r="J867" i="3"/>
  <c r="J473" i="3"/>
  <c r="J915" i="3"/>
  <c r="J535" i="3"/>
  <c r="J947" i="3"/>
  <c r="J191" i="3"/>
  <c r="J769" i="3"/>
  <c r="J961" i="3"/>
  <c r="J3" i="3"/>
  <c r="J122" i="3"/>
  <c r="J726" i="3"/>
  <c r="J217" i="3"/>
  <c r="J547" i="3"/>
  <c r="J674" i="3"/>
  <c r="J780" i="3"/>
  <c r="J2" i="4"/>
  <c r="J10" i="4"/>
  <c r="J18" i="4"/>
  <c r="J26" i="4"/>
  <c r="J34" i="4"/>
  <c r="J42" i="4"/>
  <c r="J50" i="4"/>
  <c r="J58" i="4"/>
  <c r="J66" i="4"/>
  <c r="J74" i="4"/>
  <c r="J82" i="4"/>
  <c r="J90" i="4"/>
  <c r="J98" i="4"/>
  <c r="J106" i="4"/>
  <c r="J114" i="4"/>
  <c r="J122" i="4"/>
  <c r="J130" i="4"/>
  <c r="J138" i="4"/>
  <c r="J146" i="4"/>
  <c r="J154" i="4"/>
  <c r="J162" i="4"/>
  <c r="J170" i="4"/>
  <c r="J178" i="4"/>
  <c r="J186" i="4"/>
  <c r="J194" i="4"/>
  <c r="J202" i="4"/>
  <c r="J210" i="4"/>
  <c r="J218" i="4"/>
  <c r="J226" i="4"/>
  <c r="J234" i="4"/>
  <c r="J242" i="4"/>
  <c r="J250" i="4"/>
  <c r="J258" i="4"/>
  <c r="J266" i="4"/>
  <c r="J274" i="4"/>
  <c r="J282" i="4"/>
  <c r="J290" i="4"/>
  <c r="J298" i="4"/>
  <c r="J306" i="4"/>
  <c r="J314" i="4"/>
  <c r="J322" i="4"/>
  <c r="J330" i="4"/>
  <c r="J338" i="4"/>
  <c r="J346" i="4"/>
  <c r="J354" i="4"/>
  <c r="J362" i="4"/>
  <c r="J370" i="4"/>
  <c r="J378" i="4"/>
  <c r="J386" i="4"/>
  <c r="J394" i="4"/>
  <c r="J402" i="4"/>
  <c r="J410" i="4"/>
  <c r="J418" i="4"/>
  <c r="J426" i="4"/>
  <c r="J434" i="4"/>
  <c r="J442" i="4"/>
  <c r="J450" i="4"/>
  <c r="J458" i="4"/>
  <c r="J466" i="4"/>
  <c r="J474" i="4"/>
  <c r="J482" i="4"/>
  <c r="J490" i="4"/>
  <c r="J498" i="4"/>
  <c r="J506" i="4"/>
  <c r="J514" i="4"/>
  <c r="J522" i="4"/>
  <c r="J530" i="4"/>
  <c r="J538" i="4"/>
  <c r="J546" i="4"/>
  <c r="J554" i="4"/>
  <c r="J562" i="4"/>
  <c r="J570" i="4"/>
  <c r="J578" i="4"/>
  <c r="J586" i="4"/>
  <c r="J594" i="4"/>
  <c r="J602" i="4"/>
  <c r="J610" i="4"/>
  <c r="J618" i="4"/>
  <c r="J626" i="4"/>
  <c r="J634" i="4"/>
  <c r="J642" i="4"/>
  <c r="J650" i="4"/>
  <c r="J658" i="4"/>
  <c r="J666" i="4"/>
  <c r="J674" i="4"/>
  <c r="J682" i="4"/>
  <c r="J690" i="4"/>
  <c r="J698" i="4"/>
  <c r="J706" i="4"/>
  <c r="J714" i="4"/>
  <c r="J722" i="4"/>
  <c r="J730" i="4"/>
  <c r="J738" i="4"/>
  <c r="J746" i="4"/>
  <c r="J754" i="4"/>
  <c r="J762" i="4"/>
  <c r="J770" i="4"/>
  <c r="J778" i="4"/>
  <c r="J786" i="4"/>
  <c r="J794" i="4"/>
  <c r="J802" i="4"/>
  <c r="J810" i="4"/>
  <c r="J818" i="4"/>
  <c r="J826" i="4"/>
  <c r="J834" i="4"/>
  <c r="J842" i="4"/>
  <c r="J850" i="4"/>
  <c r="J858" i="4"/>
  <c r="J866" i="4"/>
  <c r="J874" i="4"/>
  <c r="J882" i="4"/>
  <c r="J890" i="4"/>
  <c r="J898" i="4"/>
  <c r="J906" i="4"/>
  <c r="J914" i="4"/>
  <c r="J922" i="4"/>
  <c r="J930" i="4"/>
  <c r="J938" i="4"/>
  <c r="J946" i="4"/>
  <c r="J954" i="4"/>
  <c r="J962" i="4"/>
  <c r="J970" i="4"/>
  <c r="J978" i="4"/>
  <c r="J986" i="4"/>
  <c r="J994" i="4"/>
  <c r="J12" i="4"/>
  <c r="J36" i="4"/>
  <c r="J52" i="4"/>
  <c r="J76" i="4"/>
  <c r="J100" i="4"/>
  <c r="J116" i="4"/>
  <c r="J140" i="4"/>
  <c r="J164" i="4"/>
  <c r="J180" i="4"/>
  <c r="J204" i="4"/>
  <c r="J228" i="4"/>
  <c r="J252" i="4"/>
  <c r="J268" i="4"/>
  <c r="J292" i="4"/>
  <c r="J308" i="4"/>
  <c r="J332" i="4"/>
  <c r="J348" i="4"/>
  <c r="J372" i="4"/>
  <c r="J396" i="4"/>
  <c r="J412" i="4"/>
  <c r="J436" i="4"/>
  <c r="J452" i="4"/>
  <c r="J484" i="4"/>
  <c r="J500" i="4"/>
  <c r="J524" i="4"/>
  <c r="J540" i="4"/>
  <c r="J564" i="4"/>
  <c r="J588" i="4"/>
  <c r="J612" i="4"/>
  <c r="J628" i="4"/>
  <c r="J644" i="4"/>
  <c r="J660" i="4"/>
  <c r="J684" i="4"/>
  <c r="J708" i="4"/>
  <c r="J732" i="4"/>
  <c r="J756" i="4"/>
  <c r="J780" i="4"/>
  <c r="J796" i="4"/>
  <c r="J812" i="4"/>
  <c r="J828" i="4"/>
  <c r="J844" i="4"/>
  <c r="J868" i="4"/>
  <c r="J884" i="4"/>
  <c r="J900" i="4"/>
  <c r="J916" i="4"/>
  <c r="J924" i="4"/>
  <c r="J932" i="4"/>
  <c r="J940" i="4"/>
  <c r="J948" i="4"/>
  <c r="J956" i="4"/>
  <c r="J964" i="4"/>
  <c r="J972" i="4"/>
  <c r="J980" i="4"/>
  <c r="J988" i="4"/>
  <c r="J996" i="4"/>
  <c r="J3" i="4"/>
  <c r="J11" i="4"/>
  <c r="J19" i="4"/>
  <c r="J27" i="4"/>
  <c r="J35" i="4"/>
  <c r="J43" i="4"/>
  <c r="J51" i="4"/>
  <c r="J59" i="4"/>
  <c r="J67" i="4"/>
  <c r="J75" i="4"/>
  <c r="J83" i="4"/>
  <c r="J91" i="4"/>
  <c r="J99" i="4"/>
  <c r="J107" i="4"/>
  <c r="J115" i="4"/>
  <c r="J123" i="4"/>
  <c r="J131" i="4"/>
  <c r="J139" i="4"/>
  <c r="J147" i="4"/>
  <c r="J155" i="4"/>
  <c r="J163" i="4"/>
  <c r="J171" i="4"/>
  <c r="J179" i="4"/>
  <c r="J187" i="4"/>
  <c r="J195" i="4"/>
  <c r="J203" i="4"/>
  <c r="J211" i="4"/>
  <c r="J219" i="4"/>
  <c r="J227" i="4"/>
  <c r="J235" i="4"/>
  <c r="J243" i="4"/>
  <c r="J251" i="4"/>
  <c r="J259" i="4"/>
  <c r="J267" i="4"/>
  <c r="J275" i="4"/>
  <c r="J283" i="4"/>
  <c r="J291" i="4"/>
  <c r="J299" i="4"/>
  <c r="J307" i="4"/>
  <c r="J315" i="4"/>
  <c r="J323" i="4"/>
  <c r="J331" i="4"/>
  <c r="J339" i="4"/>
  <c r="J347" i="4"/>
  <c r="J355" i="4"/>
  <c r="J363" i="4"/>
  <c r="J371" i="4"/>
  <c r="J379" i="4"/>
  <c r="J387" i="4"/>
  <c r="J395" i="4"/>
  <c r="J403" i="4"/>
  <c r="J411" i="4"/>
  <c r="J419" i="4"/>
  <c r="J427" i="4"/>
  <c r="J435" i="4"/>
  <c r="J443" i="4"/>
  <c r="J451" i="4"/>
  <c r="J459" i="4"/>
  <c r="J467" i="4"/>
  <c r="J475" i="4"/>
  <c r="J483" i="4"/>
  <c r="J491" i="4"/>
  <c r="J499" i="4"/>
  <c r="J507" i="4"/>
  <c r="J515" i="4"/>
  <c r="J523" i="4"/>
  <c r="J531" i="4"/>
  <c r="J539" i="4"/>
  <c r="J547" i="4"/>
  <c r="J555" i="4"/>
  <c r="J563" i="4"/>
  <c r="J571" i="4"/>
  <c r="J579" i="4"/>
  <c r="J587" i="4"/>
  <c r="J595" i="4"/>
  <c r="J603" i="4"/>
  <c r="J611" i="4"/>
  <c r="J619" i="4"/>
  <c r="J627" i="4"/>
  <c r="J635" i="4"/>
  <c r="J643" i="4"/>
  <c r="J651" i="4"/>
  <c r="J659" i="4"/>
  <c r="J667" i="4"/>
  <c r="J675" i="4"/>
  <c r="J683" i="4"/>
  <c r="J691" i="4"/>
  <c r="J699" i="4"/>
  <c r="J707" i="4"/>
  <c r="J715" i="4"/>
  <c r="J723" i="4"/>
  <c r="J731" i="4"/>
  <c r="J739" i="4"/>
  <c r="J747" i="4"/>
  <c r="J755" i="4"/>
  <c r="J763" i="4"/>
  <c r="J771" i="4"/>
  <c r="J779" i="4"/>
  <c r="J787" i="4"/>
  <c r="J795" i="4"/>
  <c r="J803" i="4"/>
  <c r="J811" i="4"/>
  <c r="J819" i="4"/>
  <c r="J827" i="4"/>
  <c r="J835" i="4"/>
  <c r="J843" i="4"/>
  <c r="J851" i="4"/>
  <c r="J859" i="4"/>
  <c r="J867" i="4"/>
  <c r="J875" i="4"/>
  <c r="J883" i="4"/>
  <c r="J891" i="4"/>
  <c r="J899" i="4"/>
  <c r="J907" i="4"/>
  <c r="J915" i="4"/>
  <c r="J923" i="4"/>
  <c r="J931" i="4"/>
  <c r="J939" i="4"/>
  <c r="J947" i="4"/>
  <c r="J955" i="4"/>
  <c r="J963" i="4"/>
  <c r="J971" i="4"/>
  <c r="J979" i="4"/>
  <c r="J987" i="4"/>
  <c r="J995" i="4"/>
  <c r="J20" i="4"/>
  <c r="J44" i="4"/>
  <c r="J68" i="4"/>
  <c r="J84" i="4"/>
  <c r="J108" i="4"/>
  <c r="J132" i="4"/>
  <c r="J148" i="4"/>
  <c r="J172" i="4"/>
  <c r="J196" i="4"/>
  <c r="J220" i="4"/>
  <c r="J236" i="4"/>
  <c r="J260" i="4"/>
  <c r="J284" i="4"/>
  <c r="J300" i="4"/>
  <c r="J324" i="4"/>
  <c r="J340" i="4"/>
  <c r="J364" i="4"/>
  <c r="J380" i="4"/>
  <c r="J404" i="4"/>
  <c r="J420" i="4"/>
  <c r="J444" i="4"/>
  <c r="J460" i="4"/>
  <c r="J476" i="4"/>
  <c r="J492" i="4"/>
  <c r="J508" i="4"/>
  <c r="J532" i="4"/>
  <c r="J556" i="4"/>
  <c r="J572" i="4"/>
  <c r="J596" i="4"/>
  <c r="J620" i="4"/>
  <c r="J652" i="4"/>
  <c r="J676" i="4"/>
  <c r="J692" i="4"/>
  <c r="J716" i="4"/>
  <c r="J740" i="4"/>
  <c r="J748" i="4"/>
  <c r="J764" i="4"/>
  <c r="J788" i="4"/>
  <c r="J804" i="4"/>
  <c r="J836" i="4"/>
  <c r="J860" i="4"/>
  <c r="J876" i="4"/>
  <c r="J908" i="4"/>
  <c r="J4" i="4"/>
  <c r="J28" i="4"/>
  <c r="J60" i="4"/>
  <c r="J92" i="4"/>
  <c r="J124" i="4"/>
  <c r="J156" i="4"/>
  <c r="J188" i="4"/>
  <c r="J212" i="4"/>
  <c r="J244" i="4"/>
  <c r="J276" i="4"/>
  <c r="J316" i="4"/>
  <c r="J356" i="4"/>
  <c r="J388" i="4"/>
  <c r="J428" i="4"/>
  <c r="J468" i="4"/>
  <c r="J516" i="4"/>
  <c r="J548" i="4"/>
  <c r="J580" i="4"/>
  <c r="J604" i="4"/>
  <c r="J636" i="4"/>
  <c r="J668" i="4"/>
  <c r="J700" i="4"/>
  <c r="J724" i="4"/>
  <c r="J772" i="4"/>
  <c r="J820" i="4"/>
  <c r="J852" i="4"/>
  <c r="J892" i="4"/>
  <c r="J6" i="4"/>
  <c r="J14" i="4"/>
  <c r="J22" i="4"/>
  <c r="J30" i="4"/>
  <c r="J38" i="4"/>
  <c r="J46" i="4"/>
  <c r="J54" i="4"/>
  <c r="J62" i="4"/>
  <c r="J70" i="4"/>
  <c r="J78" i="4"/>
  <c r="J86" i="4"/>
  <c r="J94" i="4"/>
  <c r="J102" i="4"/>
  <c r="J110" i="4"/>
  <c r="J118" i="4"/>
  <c r="J126" i="4"/>
  <c r="J134" i="4"/>
  <c r="J142" i="4"/>
  <c r="J150" i="4"/>
  <c r="J158" i="4"/>
  <c r="J166" i="4"/>
  <c r="J174" i="4"/>
  <c r="J182" i="4"/>
  <c r="J190" i="4"/>
  <c r="J198" i="4"/>
  <c r="J206" i="4"/>
  <c r="J214" i="4"/>
  <c r="J222" i="4"/>
  <c r="J230" i="4"/>
  <c r="J238" i="4"/>
  <c r="J246" i="4"/>
  <c r="J254" i="4"/>
  <c r="J262" i="4"/>
  <c r="J270" i="4"/>
  <c r="J278" i="4"/>
  <c r="J286" i="4"/>
  <c r="J294" i="4"/>
  <c r="J302" i="4"/>
  <c r="J310" i="4"/>
  <c r="J318" i="4"/>
  <c r="J326" i="4"/>
  <c r="J334" i="4"/>
  <c r="J342" i="4"/>
  <c r="J350" i="4"/>
  <c r="J358" i="4"/>
  <c r="J366" i="4"/>
  <c r="J374" i="4"/>
  <c r="J382" i="4"/>
  <c r="J390" i="4"/>
  <c r="J398" i="4"/>
  <c r="J406" i="4"/>
  <c r="J414" i="4"/>
  <c r="J422" i="4"/>
  <c r="J430" i="4"/>
  <c r="J438" i="4"/>
  <c r="J446" i="4"/>
  <c r="J454" i="4"/>
  <c r="J462" i="4"/>
  <c r="J470" i="4"/>
  <c r="J478" i="4"/>
  <c r="J486" i="4"/>
  <c r="J494" i="4"/>
  <c r="J502" i="4"/>
  <c r="J510" i="4"/>
  <c r="J518" i="4"/>
  <c r="J526" i="4"/>
  <c r="J534" i="4"/>
  <c r="J542" i="4"/>
  <c r="J550" i="4"/>
  <c r="J558" i="4"/>
  <c r="J566" i="4"/>
  <c r="J574" i="4"/>
  <c r="J582" i="4"/>
  <c r="J590" i="4"/>
  <c r="J598" i="4"/>
  <c r="J606" i="4"/>
  <c r="J614" i="4"/>
  <c r="J622" i="4"/>
  <c r="J630" i="4"/>
  <c r="J638" i="4"/>
  <c r="J646" i="4"/>
  <c r="J654" i="4"/>
  <c r="J662" i="4"/>
  <c r="J670" i="4"/>
  <c r="J678" i="4"/>
  <c r="J686" i="4"/>
  <c r="J694" i="4"/>
  <c r="J702" i="4"/>
  <c r="J710" i="4"/>
  <c r="J718" i="4"/>
  <c r="J726" i="4"/>
  <c r="J734" i="4"/>
  <c r="J742" i="4"/>
  <c r="J750" i="4"/>
  <c r="J758" i="4"/>
  <c r="J766" i="4"/>
  <c r="J774" i="4"/>
  <c r="J782" i="4"/>
  <c r="J790" i="4"/>
  <c r="J798" i="4"/>
  <c r="J806" i="4"/>
  <c r="J814" i="4"/>
  <c r="J822" i="4"/>
  <c r="J830" i="4"/>
  <c r="J838" i="4"/>
  <c r="J846" i="4"/>
  <c r="J854" i="4"/>
  <c r="J862" i="4"/>
  <c r="J870" i="4"/>
  <c r="J878" i="4"/>
  <c r="J886" i="4"/>
  <c r="J894" i="4"/>
  <c r="J902" i="4"/>
  <c r="J910" i="4"/>
  <c r="J918" i="4"/>
  <c r="J926" i="4"/>
  <c r="J934" i="4"/>
  <c r="J942" i="4"/>
  <c r="J950" i="4"/>
  <c r="J958" i="4"/>
  <c r="J966" i="4"/>
  <c r="J974" i="4"/>
  <c r="J982" i="4"/>
  <c r="J990" i="4"/>
  <c r="J998" i="4"/>
  <c r="J5" i="4"/>
  <c r="J21" i="4"/>
  <c r="J37" i="4"/>
  <c r="J53" i="4"/>
  <c r="J69" i="4"/>
  <c r="J85" i="4"/>
  <c r="J101" i="4"/>
  <c r="J117" i="4"/>
  <c r="J133" i="4"/>
  <c r="J149" i="4"/>
  <c r="J165" i="4"/>
  <c r="J181" i="4"/>
  <c r="J197" i="4"/>
  <c r="J213" i="4"/>
  <c r="J229" i="4"/>
  <c r="J245" i="4"/>
  <c r="J261" i="4"/>
  <c r="J277" i="4"/>
  <c r="J293" i="4"/>
  <c r="J309" i="4"/>
  <c r="J325" i="4"/>
  <c r="J341" i="4"/>
  <c r="J357" i="4"/>
  <c r="J373" i="4"/>
  <c r="J389" i="4"/>
  <c r="J405" i="4"/>
  <c r="J421" i="4"/>
  <c r="J437" i="4"/>
  <c r="J453" i="4"/>
  <c r="J469" i="4"/>
  <c r="J485" i="4"/>
  <c r="J501" i="4"/>
  <c r="J517" i="4"/>
  <c r="J533" i="4"/>
  <c r="J549" i="4"/>
  <c r="J565" i="4"/>
  <c r="J581" i="4"/>
  <c r="J597" i="4"/>
  <c r="J613" i="4"/>
  <c r="J629" i="4"/>
  <c r="J645" i="4"/>
  <c r="J661" i="4"/>
  <c r="J677" i="4"/>
  <c r="J693" i="4"/>
  <c r="J709" i="4"/>
  <c r="J725" i="4"/>
  <c r="J741" i="4"/>
  <c r="J757" i="4"/>
  <c r="J773" i="4"/>
  <c r="J789" i="4"/>
  <c r="J805" i="4"/>
  <c r="J821" i="4"/>
  <c r="J837" i="4"/>
  <c r="J853" i="4"/>
  <c r="J869" i="4"/>
  <c r="J885" i="4"/>
  <c r="J901" i="4"/>
  <c r="J917" i="4"/>
  <c r="J933" i="4"/>
  <c r="J949" i="4"/>
  <c r="J965" i="4"/>
  <c r="J981" i="4"/>
  <c r="J997" i="4"/>
  <c r="J648" i="4"/>
  <c r="J712" i="4"/>
  <c r="J776" i="4"/>
  <c r="J808" i="4"/>
  <c r="J824" i="4"/>
  <c r="J872" i="4"/>
  <c r="J904" i="4"/>
  <c r="J936" i="4"/>
  <c r="J968" i="4"/>
  <c r="J47" i="4"/>
  <c r="J127" i="4"/>
  <c r="J207" i="4"/>
  <c r="J271" i="4"/>
  <c r="J335" i="4"/>
  <c r="J415" i="4"/>
  <c r="J479" i="4"/>
  <c r="J559" i="4"/>
  <c r="J639" i="4"/>
  <c r="J719" i="4"/>
  <c r="J799" i="4"/>
  <c r="J879" i="4"/>
  <c r="J959" i="4"/>
  <c r="J7" i="4"/>
  <c r="J23" i="4"/>
  <c r="J39" i="4"/>
  <c r="J55" i="4"/>
  <c r="J71" i="4"/>
  <c r="J87" i="4"/>
  <c r="J103" i="4"/>
  <c r="J119" i="4"/>
  <c r="J135" i="4"/>
  <c r="J151" i="4"/>
  <c r="J167" i="4"/>
  <c r="J183" i="4"/>
  <c r="J199" i="4"/>
  <c r="J215" i="4"/>
  <c r="J231" i="4"/>
  <c r="J247" i="4"/>
  <c r="J263" i="4"/>
  <c r="J279" i="4"/>
  <c r="J295" i="4"/>
  <c r="J311" i="4"/>
  <c r="J327" i="4"/>
  <c r="J343" i="4"/>
  <c r="J359" i="4"/>
  <c r="J375" i="4"/>
  <c r="J391" i="4"/>
  <c r="J407" i="4"/>
  <c r="J423" i="4"/>
  <c r="J439" i="4"/>
  <c r="J455" i="4"/>
  <c r="J471" i="4"/>
  <c r="J487" i="4"/>
  <c r="J503" i="4"/>
  <c r="J519" i="4"/>
  <c r="J535" i="4"/>
  <c r="J551" i="4"/>
  <c r="J567" i="4"/>
  <c r="J583" i="4"/>
  <c r="J599" i="4"/>
  <c r="J615" i="4"/>
  <c r="J631" i="4"/>
  <c r="J647" i="4"/>
  <c r="J663" i="4"/>
  <c r="J679" i="4"/>
  <c r="J695" i="4"/>
  <c r="J711" i="4"/>
  <c r="J727" i="4"/>
  <c r="J743" i="4"/>
  <c r="J759" i="4"/>
  <c r="J775" i="4"/>
  <c r="J791" i="4"/>
  <c r="J807" i="4"/>
  <c r="J823" i="4"/>
  <c r="J839" i="4"/>
  <c r="J855" i="4"/>
  <c r="J871" i="4"/>
  <c r="J887" i="4"/>
  <c r="J903" i="4"/>
  <c r="J919" i="4"/>
  <c r="J935" i="4"/>
  <c r="J951" i="4"/>
  <c r="J967" i="4"/>
  <c r="J983" i="4"/>
  <c r="J999" i="4"/>
  <c r="J616" i="4"/>
  <c r="J680" i="4"/>
  <c r="J728" i="4"/>
  <c r="J760" i="4"/>
  <c r="J792" i="4"/>
  <c r="J840" i="4"/>
  <c r="J888" i="4"/>
  <c r="J920" i="4"/>
  <c r="J952" i="4"/>
  <c r="J1000" i="4"/>
  <c r="J79" i="4"/>
  <c r="J159" i="4"/>
  <c r="J223" i="4"/>
  <c r="J287" i="4"/>
  <c r="J351" i="4"/>
  <c r="J431" i="4"/>
  <c r="J495" i="4"/>
  <c r="J575" i="4"/>
  <c r="J655" i="4"/>
  <c r="J735" i="4"/>
  <c r="J815" i="4"/>
  <c r="J895" i="4"/>
  <c r="J975" i="4"/>
  <c r="J8" i="4"/>
  <c r="J24" i="4"/>
  <c r="J40" i="4"/>
  <c r="J56" i="4"/>
  <c r="J72" i="4"/>
  <c r="J88" i="4"/>
  <c r="J104" i="4"/>
  <c r="J120" i="4"/>
  <c r="J136" i="4"/>
  <c r="J152" i="4"/>
  <c r="J168" i="4"/>
  <c r="J184" i="4"/>
  <c r="J200" i="4"/>
  <c r="J216" i="4"/>
  <c r="J232" i="4"/>
  <c r="J248" i="4"/>
  <c r="J264" i="4"/>
  <c r="J280" i="4"/>
  <c r="J296" i="4"/>
  <c r="J312" i="4"/>
  <c r="J328" i="4"/>
  <c r="J344" i="4"/>
  <c r="J360" i="4"/>
  <c r="J376" i="4"/>
  <c r="J392" i="4"/>
  <c r="J408" i="4"/>
  <c r="J424" i="4"/>
  <c r="J440" i="4"/>
  <c r="J456" i="4"/>
  <c r="J472" i="4"/>
  <c r="J488" i="4"/>
  <c r="J504" i="4"/>
  <c r="J520" i="4"/>
  <c r="J536" i="4"/>
  <c r="J552" i="4"/>
  <c r="J568" i="4"/>
  <c r="J584" i="4"/>
  <c r="J600" i="4"/>
  <c r="J632" i="4"/>
  <c r="J664" i="4"/>
  <c r="J696" i="4"/>
  <c r="J744" i="4"/>
  <c r="J856" i="4"/>
  <c r="J984" i="4"/>
  <c r="J31" i="4"/>
  <c r="J111" i="4"/>
  <c r="J191" i="4"/>
  <c r="J255" i="4"/>
  <c r="J319" i="4"/>
  <c r="J399" i="4"/>
  <c r="J463" i="4"/>
  <c r="J543" i="4"/>
  <c r="J623" i="4"/>
  <c r="J703" i="4"/>
  <c r="J783" i="4"/>
  <c r="J863" i="4"/>
  <c r="J943" i="4"/>
  <c r="J9" i="4"/>
  <c r="J25" i="4"/>
  <c r="J41" i="4"/>
  <c r="J57" i="4"/>
  <c r="J73" i="4"/>
  <c r="J89" i="4"/>
  <c r="J105" i="4"/>
  <c r="J121" i="4"/>
  <c r="J137" i="4"/>
  <c r="J153" i="4"/>
  <c r="J169" i="4"/>
  <c r="J185" i="4"/>
  <c r="J201" i="4"/>
  <c r="J217" i="4"/>
  <c r="J233" i="4"/>
  <c r="J249" i="4"/>
  <c r="J265" i="4"/>
  <c r="J281" i="4"/>
  <c r="J297" i="4"/>
  <c r="J313" i="4"/>
  <c r="J329" i="4"/>
  <c r="J345" i="4"/>
  <c r="J361" i="4"/>
  <c r="J377" i="4"/>
  <c r="J393" i="4"/>
  <c r="J409" i="4"/>
  <c r="J425" i="4"/>
  <c r="J441" i="4"/>
  <c r="J457" i="4"/>
  <c r="J473" i="4"/>
  <c r="J489" i="4"/>
  <c r="J505" i="4"/>
  <c r="J521" i="4"/>
  <c r="J537" i="4"/>
  <c r="J553" i="4"/>
  <c r="J569" i="4"/>
  <c r="J585" i="4"/>
  <c r="J601" i="4"/>
  <c r="J617" i="4"/>
  <c r="J633" i="4"/>
  <c r="J649" i="4"/>
  <c r="J665" i="4"/>
  <c r="J681" i="4"/>
  <c r="J697" i="4"/>
  <c r="J713" i="4"/>
  <c r="J729" i="4"/>
  <c r="J745" i="4"/>
  <c r="J761" i="4"/>
  <c r="J777" i="4"/>
  <c r="J793" i="4"/>
  <c r="J809" i="4"/>
  <c r="J825" i="4"/>
  <c r="J841" i="4"/>
  <c r="J857" i="4"/>
  <c r="J873" i="4"/>
  <c r="J889" i="4"/>
  <c r="J905" i="4"/>
  <c r="J921" i="4"/>
  <c r="J937" i="4"/>
  <c r="J953" i="4"/>
  <c r="J969" i="4"/>
  <c r="J985" i="4"/>
  <c r="J1001" i="4"/>
  <c r="J63" i="4"/>
  <c r="J143" i="4"/>
  <c r="J383" i="4"/>
  <c r="J511" i="4"/>
  <c r="J591" i="4"/>
  <c r="J671" i="4"/>
  <c r="J751" i="4"/>
  <c r="J831" i="4"/>
  <c r="J911" i="4"/>
  <c r="J991" i="4"/>
  <c r="J13" i="4"/>
  <c r="J29" i="4"/>
  <c r="J45" i="4"/>
  <c r="J61" i="4"/>
  <c r="J77" i="4"/>
  <c r="J93" i="4"/>
  <c r="J109" i="4"/>
  <c r="J125" i="4"/>
  <c r="J141" i="4"/>
  <c r="J157" i="4"/>
  <c r="J173" i="4"/>
  <c r="J189" i="4"/>
  <c r="J205" i="4"/>
  <c r="J221" i="4"/>
  <c r="J237" i="4"/>
  <c r="J253" i="4"/>
  <c r="J269" i="4"/>
  <c r="J285" i="4"/>
  <c r="J301" i="4"/>
  <c r="J317" i="4"/>
  <c r="J333" i="4"/>
  <c r="J349" i="4"/>
  <c r="J365" i="4"/>
  <c r="J381" i="4"/>
  <c r="J397" i="4"/>
  <c r="J413" i="4"/>
  <c r="J429" i="4"/>
  <c r="J445" i="4"/>
  <c r="J461" i="4"/>
  <c r="J477" i="4"/>
  <c r="J493" i="4"/>
  <c r="J509" i="4"/>
  <c r="J525" i="4"/>
  <c r="J541" i="4"/>
  <c r="J557" i="4"/>
  <c r="J573" i="4"/>
  <c r="J589" i="4"/>
  <c r="J605" i="4"/>
  <c r="J621" i="4"/>
  <c r="J637" i="4"/>
  <c r="J653" i="4"/>
  <c r="J669" i="4"/>
  <c r="J685" i="4"/>
  <c r="J701" i="4"/>
  <c r="J717" i="4"/>
  <c r="J733" i="4"/>
  <c r="J749" i="4"/>
  <c r="J765" i="4"/>
  <c r="J781" i="4"/>
  <c r="J797" i="4"/>
  <c r="J813" i="4"/>
  <c r="J829" i="4"/>
  <c r="J845" i="4"/>
  <c r="J861" i="4"/>
  <c r="J877" i="4"/>
  <c r="J893" i="4"/>
  <c r="J909" i="4"/>
  <c r="J925" i="4"/>
  <c r="J941" i="4"/>
  <c r="J957" i="4"/>
  <c r="J973" i="4"/>
  <c r="J989" i="4"/>
  <c r="J15" i="4"/>
  <c r="J95" i="4"/>
  <c r="J175" i="4"/>
  <c r="J239" i="4"/>
  <c r="J303" i="4"/>
  <c r="J367" i="4"/>
  <c r="J447" i="4"/>
  <c r="J527" i="4"/>
  <c r="J607" i="4"/>
  <c r="J687" i="4"/>
  <c r="J767" i="4"/>
  <c r="J847" i="4"/>
  <c r="J927" i="4"/>
  <c r="J17" i="4"/>
  <c r="J81" i="4"/>
  <c r="J145" i="4"/>
  <c r="J209" i="4"/>
  <c r="J273" i="4"/>
  <c r="J337" i="4"/>
  <c r="J401" i="4"/>
  <c r="J465" i="4"/>
  <c r="J529" i="4"/>
  <c r="J593" i="4"/>
  <c r="J657" i="4"/>
  <c r="J721" i="4"/>
  <c r="J785" i="4"/>
  <c r="J849" i="4"/>
  <c r="J913" i="4"/>
  <c r="J977" i="4"/>
  <c r="J305" i="4"/>
  <c r="J945" i="4"/>
  <c r="J32" i="4"/>
  <c r="J96" i="4"/>
  <c r="J160" i="4"/>
  <c r="J224" i="4"/>
  <c r="J288" i="4"/>
  <c r="J352" i="4"/>
  <c r="J416" i="4"/>
  <c r="J480" i="4"/>
  <c r="J544" i="4"/>
  <c r="J608" i="4"/>
  <c r="J672" i="4"/>
  <c r="J736" i="4"/>
  <c r="J800" i="4"/>
  <c r="J864" i="4"/>
  <c r="J928" i="4"/>
  <c r="J992" i="4"/>
  <c r="J241" i="4"/>
  <c r="J625" i="4"/>
  <c r="J33" i="4"/>
  <c r="J97" i="4"/>
  <c r="J161" i="4"/>
  <c r="J225" i="4"/>
  <c r="J289" i="4"/>
  <c r="J353" i="4"/>
  <c r="J417" i="4"/>
  <c r="J481" i="4"/>
  <c r="J545" i="4"/>
  <c r="J609" i="4"/>
  <c r="J673" i="4"/>
  <c r="J737" i="4"/>
  <c r="J801" i="4"/>
  <c r="J865" i="4"/>
  <c r="J929" i="4"/>
  <c r="J993" i="4"/>
  <c r="J689" i="4"/>
  <c r="J48" i="4"/>
  <c r="J112" i="4"/>
  <c r="J176" i="4"/>
  <c r="J240" i="4"/>
  <c r="J304" i="4"/>
  <c r="J368" i="4"/>
  <c r="J432" i="4"/>
  <c r="J496" i="4"/>
  <c r="J560" i="4"/>
  <c r="J624" i="4"/>
  <c r="J688" i="4"/>
  <c r="J752" i="4"/>
  <c r="J816" i="4"/>
  <c r="J880" i="4"/>
  <c r="J944" i="4"/>
  <c r="J49" i="4"/>
  <c r="J433" i="4"/>
  <c r="J881" i="4"/>
  <c r="J177" i="4"/>
  <c r="J753" i="4"/>
  <c r="J64" i="4"/>
  <c r="J128" i="4"/>
  <c r="J192" i="4"/>
  <c r="J256" i="4"/>
  <c r="J320" i="4"/>
  <c r="J384" i="4"/>
  <c r="J448" i="4"/>
  <c r="J512" i="4"/>
  <c r="J576" i="4"/>
  <c r="J640" i="4"/>
  <c r="J704" i="4"/>
  <c r="J768" i="4"/>
  <c r="J832" i="4"/>
  <c r="J896" i="4"/>
  <c r="J960" i="4"/>
  <c r="J129" i="4"/>
  <c r="J385" i="4"/>
  <c r="J513" i="4"/>
  <c r="J641" i="4"/>
  <c r="J769" i="4"/>
  <c r="J833" i="4"/>
  <c r="J961" i="4"/>
  <c r="J113" i="4"/>
  <c r="J561" i="4"/>
  <c r="J65" i="4"/>
  <c r="J193" i="4"/>
  <c r="J257" i="4"/>
  <c r="J321" i="4"/>
  <c r="J449" i="4"/>
  <c r="J577" i="4"/>
  <c r="J705" i="4"/>
  <c r="J897" i="4"/>
  <c r="J497" i="4"/>
  <c r="J16" i="4"/>
  <c r="J80" i="4"/>
  <c r="J144" i="4"/>
  <c r="J208" i="4"/>
  <c r="J272" i="4"/>
  <c r="J336" i="4"/>
  <c r="J400" i="4"/>
  <c r="J464" i="4"/>
  <c r="J528" i="4"/>
  <c r="J592" i="4"/>
  <c r="J656" i="4"/>
  <c r="J720" i="4"/>
  <c r="J784" i="4"/>
  <c r="J848" i="4"/>
  <c r="J912" i="4"/>
  <c r="J976" i="4"/>
  <c r="J369" i="4"/>
  <c r="J817" i="4"/>
  <c r="B32" i="4"/>
  <c r="D199" i="4"/>
  <c r="D622" i="4"/>
  <c r="D914" i="4"/>
  <c r="D312" i="4"/>
  <c r="D722" i="4"/>
  <c r="D976" i="4"/>
  <c r="D491" i="4"/>
  <c r="D832" i="4"/>
  <c r="D275" i="4"/>
  <c r="D866" i="4"/>
  <c r="D473" i="4"/>
  <c r="D960" i="4"/>
  <c r="D710" i="4"/>
  <c r="D309" i="4"/>
  <c r="D878" i="4"/>
  <c r="D842" i="4"/>
  <c r="D933" i="4"/>
  <c r="D256" i="4"/>
  <c r="D667" i="4"/>
  <c r="D942" i="4"/>
  <c r="D382" i="4"/>
  <c r="D768" i="4"/>
  <c r="D34" i="4"/>
  <c r="D545" i="4"/>
  <c r="D861" i="4"/>
  <c r="D366" i="4"/>
  <c r="D905" i="4"/>
  <c r="D549" i="4"/>
  <c r="D70" i="4"/>
  <c r="D778" i="4"/>
  <c r="D403" i="4"/>
  <c r="D925" i="4"/>
  <c r="D741" i="4"/>
  <c r="D841" i="4"/>
  <c r="D311" i="4"/>
  <c r="D714" i="4"/>
  <c r="D970" i="4"/>
  <c r="D439" i="4"/>
  <c r="D797" i="4"/>
  <c r="D126" i="4"/>
  <c r="D586" i="4"/>
  <c r="D888" i="4"/>
  <c r="D458" i="4"/>
  <c r="D958" i="4"/>
  <c r="D619" i="4"/>
  <c r="D219" i="4"/>
  <c r="D823" i="4"/>
  <c r="D503" i="4"/>
  <c r="D969" i="4"/>
  <c r="D594" i="4"/>
  <c r="D733" i="4"/>
  <c r="D10" i="4"/>
  <c r="D530" i="4"/>
  <c r="D851" i="4"/>
  <c r="D201" i="4"/>
  <c r="D631" i="4"/>
  <c r="D915" i="4"/>
  <c r="D384" i="4"/>
  <c r="D774" i="4"/>
  <c r="D37" i="4"/>
  <c r="D751" i="4"/>
  <c r="D293" i="4"/>
  <c r="D869" i="4"/>
  <c r="D563" i="4"/>
  <c r="D89" i="4"/>
  <c r="D786" i="4"/>
  <c r="D897" i="4"/>
  <c r="D766" i="4"/>
  <c r="D490" i="4"/>
  <c r="D202" i="4"/>
  <c r="D921" i="4"/>
  <c r="D997" i="4"/>
  <c r="D294" i="4"/>
  <c r="D565" i="4"/>
  <c r="D421" i="4"/>
  <c r="D795" i="4"/>
  <c r="D531" i="4"/>
  <c r="D272" i="4"/>
  <c r="D951" i="4"/>
  <c r="D65" i="4"/>
  <c r="D402" i="4"/>
  <c r="D649" i="4"/>
  <c r="D238" i="4"/>
  <c r="D93" i="4"/>
  <c r="D885" i="4"/>
  <c r="D677" i="4"/>
  <c r="D440" i="4"/>
  <c r="D181" i="4"/>
  <c r="D385" i="4"/>
  <c r="D638" i="4"/>
  <c r="D833" i="4"/>
  <c r="D806" i="4"/>
  <c r="D512" i="4"/>
  <c r="D952" i="4"/>
  <c r="D747" i="4"/>
  <c r="D691" i="4"/>
  <c r="D485" i="4"/>
  <c r="D125" i="4"/>
  <c r="D887" i="4"/>
  <c r="D728" i="4"/>
  <c r="D693" i="4"/>
  <c r="D815" i="4"/>
  <c r="D961" i="4"/>
  <c r="D235" i="4"/>
  <c r="D347" i="4"/>
  <c r="D603" i="4"/>
  <c r="D239" i="4"/>
  <c r="D157" i="4"/>
  <c r="D257" i="4"/>
  <c r="D805" i="4"/>
  <c r="D906" i="4"/>
  <c r="D934" i="4"/>
  <c r="D147" i="4"/>
  <c r="D146" i="4"/>
  <c r="D274" i="4"/>
  <c r="D879" i="4"/>
  <c r="D422" i="4"/>
  <c r="D859" i="4"/>
  <c r="D605" i="4"/>
  <c r="D923" i="4"/>
  <c r="D418" i="4"/>
  <c r="D987" i="4"/>
  <c r="D601" i="4"/>
  <c r="D903" i="4"/>
  <c r="D509" i="4"/>
  <c r="D576" i="4"/>
  <c r="D637" i="4"/>
  <c r="D475" i="4"/>
  <c r="D330" i="4"/>
  <c r="D824" i="4"/>
  <c r="D678" i="4"/>
  <c r="D870" i="4"/>
  <c r="D850" i="4"/>
  <c r="D994" i="4"/>
  <c r="D91" i="4"/>
  <c r="D33" i="4"/>
  <c r="D546" i="4"/>
  <c r="D711" i="4"/>
  <c r="D793" i="4"/>
  <c r="D457" i="4"/>
  <c r="D521" i="4"/>
  <c r="D29" i="4"/>
  <c r="D943" i="4"/>
  <c r="D695" i="4"/>
  <c r="D659" i="4"/>
  <c r="D455" i="4"/>
  <c r="D787" i="4"/>
  <c r="D978" i="4"/>
  <c r="D750" i="4"/>
  <c r="D811" i="4"/>
  <c r="D814" i="4"/>
  <c r="D939" i="4"/>
  <c r="D349" i="4"/>
  <c r="D367" i="4"/>
  <c r="D777" i="4"/>
  <c r="D655" i="4"/>
  <c r="D830" i="4"/>
  <c r="D989" i="4"/>
  <c r="D345" i="4"/>
  <c r="D979" i="4"/>
  <c r="D938" i="4"/>
  <c r="D792" i="4"/>
  <c r="D567" i="4"/>
  <c r="D307" i="4"/>
  <c r="D24" i="4"/>
  <c r="D170" i="4"/>
  <c r="D117" i="4"/>
  <c r="D82" i="4"/>
  <c r="D71" i="4"/>
  <c r="D262" i="4"/>
  <c r="D998" i="4"/>
  <c r="D896" i="4"/>
  <c r="D920" i="4"/>
  <c r="D769" i="4"/>
  <c r="D539" i="4"/>
  <c r="D271" i="4"/>
  <c r="D42" i="4"/>
  <c r="D189" i="4"/>
  <c r="D135" i="4"/>
  <c r="D101" i="4"/>
  <c r="D102" i="4"/>
  <c r="D280" i="4"/>
  <c r="D426" i="4"/>
  <c r="D573" i="4"/>
  <c r="D719" i="4"/>
  <c r="D162" i="4"/>
  <c r="D318" i="4"/>
  <c r="D464" i="4"/>
  <c r="D610" i="4"/>
  <c r="D757" i="4"/>
  <c r="D192" i="4"/>
  <c r="D338" i="4"/>
  <c r="D53" i="4"/>
  <c r="D248" i="4"/>
  <c r="D394" i="4"/>
  <c r="D541" i="4"/>
  <c r="D687" i="4"/>
  <c r="D985" i="4"/>
  <c r="D839" i="4"/>
  <c r="D641" i="4"/>
  <c r="D400" i="4"/>
  <c r="D56" i="4"/>
  <c r="D856" i="4"/>
  <c r="D673" i="4"/>
  <c r="D435" i="4"/>
  <c r="D111" i="4"/>
  <c r="D329" i="4"/>
  <c r="D513" i="4"/>
  <c r="D883" i="4"/>
  <c r="D713" i="4"/>
  <c r="D477" i="4"/>
  <c r="D198" i="4"/>
  <c r="D79" i="4"/>
  <c r="D25" i="4"/>
  <c r="D171" i="4"/>
  <c r="D137" i="4"/>
  <c r="D161" i="4"/>
  <c r="D317" i="4"/>
  <c r="D463" i="4"/>
  <c r="D609" i="4"/>
  <c r="D755" i="4"/>
  <c r="D208" i="4"/>
  <c r="D354" i="4"/>
  <c r="D501" i="4"/>
  <c r="D647" i="4"/>
  <c r="D18" i="4"/>
  <c r="D229" i="4"/>
  <c r="D375" i="4"/>
  <c r="D110" i="4"/>
  <c r="D285" i="4"/>
  <c r="D431" i="4"/>
  <c r="D577" i="4"/>
  <c r="D723" i="4"/>
  <c r="D949" i="4"/>
  <c r="D802" i="4"/>
  <c r="D585" i="4"/>
  <c r="D327" i="4"/>
  <c r="D966" i="4"/>
  <c r="D819" i="4"/>
  <c r="D613" i="4"/>
  <c r="D362" i="4"/>
  <c r="D902" i="4"/>
  <c r="D623" i="4"/>
  <c r="D144" i="4"/>
  <c r="D152" i="4"/>
  <c r="D27" i="4"/>
  <c r="D128" i="4"/>
  <c r="D371" i="4"/>
  <c r="D554" i="4"/>
  <c r="D16" i="4"/>
  <c r="D263" i="4"/>
  <c r="D446" i="4"/>
  <c r="D665" i="4"/>
  <c r="D107" i="4"/>
  <c r="D320" i="4"/>
  <c r="D143" i="4"/>
  <c r="D339" i="4"/>
  <c r="D522" i="4"/>
  <c r="D742" i="4"/>
  <c r="D894" i="4"/>
  <c r="D674" i="4"/>
  <c r="D290" i="4"/>
  <c r="D911" i="4"/>
  <c r="D696" i="4"/>
  <c r="D326" i="4"/>
  <c r="D865" i="4"/>
  <c r="D600" i="4"/>
  <c r="D88" i="4"/>
  <c r="D7" i="4"/>
  <c r="D46" i="4"/>
  <c r="D184" i="4"/>
  <c r="D390" i="4"/>
  <c r="D591" i="4"/>
  <c r="D47" i="4"/>
  <c r="D281" i="4"/>
  <c r="D482" i="4"/>
  <c r="D683" i="4"/>
  <c r="D138" i="4"/>
  <c r="D357" i="4"/>
  <c r="D166" i="4"/>
  <c r="D358" i="4"/>
  <c r="D559" i="4"/>
  <c r="D760" i="4"/>
  <c r="D875" i="4"/>
  <c r="D618" i="4"/>
  <c r="D254" i="4"/>
  <c r="D893" i="4"/>
  <c r="D640" i="4"/>
  <c r="D289" i="4"/>
  <c r="D183" i="4"/>
  <c r="D658" i="4"/>
  <c r="D829" i="4"/>
  <c r="D454" i="4"/>
  <c r="D6" i="4"/>
  <c r="D62" i="4"/>
  <c r="D119" i="4"/>
  <c r="D225" i="4"/>
  <c r="D445" i="4"/>
  <c r="D646" i="4"/>
  <c r="D106" i="4"/>
  <c r="D336" i="4"/>
  <c r="D537" i="4"/>
  <c r="D720" i="4"/>
  <c r="D210" i="4"/>
  <c r="D411" i="4"/>
  <c r="D211" i="4"/>
  <c r="D413" i="4"/>
  <c r="D614" i="4"/>
  <c r="D821" i="4"/>
  <c r="D528" i="4"/>
  <c r="D179" i="4"/>
  <c r="D838" i="4"/>
  <c r="D550" i="4"/>
  <c r="D216" i="4"/>
  <c r="D568" i="4"/>
  <c r="D810" i="4"/>
  <c r="D234" i="4"/>
  <c r="D98" i="4"/>
  <c r="D207" i="4"/>
  <c r="D518" i="4"/>
  <c r="D129" i="4"/>
  <c r="D427" i="4"/>
  <c r="D775" i="4"/>
  <c r="D393" i="4"/>
  <c r="D303" i="4"/>
  <c r="D632" i="4"/>
  <c r="D912" i="4"/>
  <c r="D472" i="4"/>
  <c r="D874" i="4"/>
  <c r="D466" i="4"/>
  <c r="D746" i="4"/>
  <c r="D2" i="4"/>
  <c r="D153" i="4"/>
  <c r="D243" i="4"/>
  <c r="D536" i="4"/>
  <c r="D190" i="4"/>
  <c r="D519" i="4"/>
  <c r="D51" i="4"/>
  <c r="D430" i="4"/>
  <c r="D321" i="4"/>
  <c r="D650" i="4"/>
  <c r="D857" i="4"/>
  <c r="D437" i="4"/>
  <c r="D801" i="4"/>
  <c r="D399" i="4"/>
  <c r="D686" i="4"/>
  <c r="D61" i="4"/>
  <c r="D9" i="4"/>
  <c r="D298" i="4"/>
  <c r="D627" i="4"/>
  <c r="D226" i="4"/>
  <c r="D555" i="4"/>
  <c r="D74" i="4"/>
  <c r="D448" i="4"/>
  <c r="D376" i="4"/>
  <c r="D669" i="4"/>
  <c r="D784" i="4"/>
  <c r="D363" i="4"/>
  <c r="D783" i="4"/>
  <c r="D253" i="4"/>
  <c r="D656" i="4"/>
  <c r="D97" i="4"/>
  <c r="D64" i="4"/>
  <c r="D335" i="4"/>
  <c r="D664" i="4"/>
  <c r="D245" i="4"/>
  <c r="D574" i="4"/>
  <c r="D165" i="4"/>
  <c r="D19" i="4"/>
  <c r="D449" i="4"/>
  <c r="D705" i="4"/>
  <c r="D765" i="4"/>
  <c r="D217" i="4"/>
  <c r="D759" i="4"/>
  <c r="D175" i="4"/>
  <c r="D993" i="4"/>
  <c r="D115" i="4"/>
  <c r="D353" i="4"/>
  <c r="D299" i="4"/>
  <c r="D247" i="4"/>
  <c r="D467" i="4"/>
  <c r="D731" i="4"/>
  <c r="D729" i="4"/>
  <c r="D582" i="4"/>
  <c r="D848" i="4"/>
  <c r="D975" i="4"/>
  <c r="D134" i="4"/>
  <c r="D408" i="4"/>
  <c r="D373" i="4"/>
  <c r="D265" i="4"/>
  <c r="D486" i="4"/>
  <c r="D704" i="4"/>
  <c r="D583" i="4"/>
  <c r="D221" i="4"/>
  <c r="D957" i="4"/>
  <c r="D43" i="4"/>
  <c r="D481" i="4"/>
  <c r="D391" i="4"/>
  <c r="D283" i="4"/>
  <c r="D504" i="4"/>
  <c r="D558" i="4"/>
  <c r="D527" i="4"/>
  <c r="D847" i="4"/>
  <c r="D80" i="4"/>
  <c r="D499" i="4"/>
  <c r="D409" i="4"/>
  <c r="D302" i="4"/>
  <c r="D595" i="4"/>
  <c r="D495" i="4"/>
  <c r="D494" i="4"/>
  <c r="D155" i="4"/>
  <c r="D592" i="4"/>
  <c r="D55" i="4"/>
  <c r="D38" i="4"/>
  <c r="D738" i="4"/>
  <c r="D930" i="4"/>
  <c r="D381" i="4"/>
  <c r="D737" i="4"/>
  <c r="D230" i="4"/>
  <c r="D947" i="4"/>
  <c r="D417" i="4"/>
  <c r="D702" i="4"/>
  <c r="D929" i="4"/>
  <c r="D344" i="4"/>
  <c r="D83" i="4"/>
  <c r="D15" i="4"/>
  <c r="D266" i="4"/>
  <c r="D73" i="4"/>
  <c r="D120" i="4"/>
  <c r="D193" i="4"/>
  <c r="D967" i="4"/>
  <c r="D941" i="4"/>
  <c r="D867" i="4"/>
  <c r="D794" i="4"/>
  <c r="D721" i="4"/>
  <c r="D648" i="4"/>
  <c r="D575" i="4"/>
  <c r="D502" i="4"/>
  <c r="D429" i="4"/>
  <c r="D355" i="4"/>
  <c r="D282" i="4"/>
  <c r="D209" i="4"/>
  <c r="D136" i="4"/>
  <c r="D63" i="4"/>
  <c r="D701" i="4"/>
  <c r="D984" i="4"/>
  <c r="D995" i="4"/>
  <c r="D913" i="4"/>
  <c r="D831" i="4"/>
  <c r="D749" i="4"/>
  <c r="D666" i="4"/>
  <c r="D584" i="4"/>
  <c r="D493" i="4"/>
  <c r="D410" i="4"/>
  <c r="D328" i="4"/>
  <c r="D246" i="4"/>
  <c r="D163" i="4"/>
  <c r="D986" i="4"/>
  <c r="D904" i="4"/>
  <c r="D822" i="4"/>
  <c r="D739" i="4"/>
  <c r="D657" i="4"/>
  <c r="D566" i="4"/>
  <c r="D483" i="4"/>
  <c r="D401" i="4"/>
  <c r="D319" i="4"/>
  <c r="D237" i="4"/>
  <c r="D154" i="4"/>
  <c r="D72" i="4"/>
  <c r="D992" i="4"/>
  <c r="D919" i="4"/>
  <c r="D846" i="4"/>
  <c r="D773" i="4"/>
  <c r="D699" i="4"/>
  <c r="D626" i="4"/>
  <c r="D553" i="4"/>
  <c r="D480" i="4"/>
  <c r="D407" i="4"/>
  <c r="D334" i="4"/>
  <c r="D261" i="4"/>
  <c r="D187" i="4"/>
  <c r="D114" i="4"/>
  <c r="D41" i="4"/>
  <c r="D973" i="4"/>
  <c r="D899" i="4"/>
  <c r="D826" i="4"/>
  <c r="D753" i="4"/>
  <c r="D680" i="4"/>
  <c r="D607" i="4"/>
  <c r="D534" i="4"/>
  <c r="D461" i="4"/>
  <c r="D387" i="4"/>
  <c r="D314" i="4"/>
  <c r="D241" i="4"/>
  <c r="D168" i="4"/>
  <c r="D95" i="4"/>
  <c r="D22" i="4"/>
  <c r="D953" i="4"/>
  <c r="D880" i="4"/>
  <c r="D807" i="4"/>
  <c r="D734" i="4"/>
  <c r="D661" i="4"/>
  <c r="D587" i="4"/>
  <c r="D514" i="4"/>
  <c r="D441" i="4"/>
  <c r="D368" i="4"/>
  <c r="D295" i="4"/>
  <c r="D222" i="4"/>
  <c r="D149" i="4"/>
  <c r="D75" i="4"/>
  <c r="D4" i="4"/>
  <c r="D68" i="4"/>
  <c r="D132" i="4"/>
  <c r="D196" i="4"/>
  <c r="D260" i="4"/>
  <c r="D324" i="4"/>
  <c r="D388" i="4"/>
  <c r="D452" i="4"/>
  <c r="D516" i="4"/>
  <c r="D580" i="4"/>
  <c r="D644" i="4"/>
  <c r="D708" i="4"/>
  <c r="D772" i="4"/>
  <c r="D836" i="4"/>
  <c r="D900" i="4"/>
  <c r="D964" i="4"/>
  <c r="D968" i="4"/>
  <c r="D886" i="4"/>
  <c r="D803" i="4"/>
  <c r="D712" i="4"/>
  <c r="D630" i="4"/>
  <c r="D547" i="4"/>
  <c r="D465" i="4"/>
  <c r="D383" i="4"/>
  <c r="D301" i="4"/>
  <c r="D218" i="4"/>
  <c r="D127" i="4"/>
  <c r="D45" i="4"/>
  <c r="D974" i="4"/>
  <c r="D901" i="4"/>
  <c r="D827" i="4"/>
  <c r="D754" i="4"/>
  <c r="D681" i="4"/>
  <c r="D608" i="4"/>
  <c r="D535" i="4"/>
  <c r="D462" i="4"/>
  <c r="D389" i="4"/>
  <c r="D315" i="4"/>
  <c r="D242" i="4"/>
  <c r="D169" i="4"/>
  <c r="D96" i="4"/>
  <c r="D23" i="4"/>
  <c r="D954" i="4"/>
  <c r="D881" i="4"/>
  <c r="D808" i="4"/>
  <c r="D735" i="4"/>
  <c r="D662" i="4"/>
  <c r="D589" i="4"/>
  <c r="D515" i="4"/>
  <c r="D442" i="4"/>
  <c r="D369" i="4"/>
  <c r="D296" i="4"/>
  <c r="D223" i="4"/>
  <c r="D150" i="4"/>
  <c r="D77" i="4"/>
  <c r="D3" i="4"/>
  <c r="D935" i="4"/>
  <c r="D862" i="4"/>
  <c r="D789" i="4"/>
  <c r="D715" i="4"/>
  <c r="D642" i="4"/>
  <c r="D569" i="4"/>
  <c r="D496" i="4"/>
  <c r="D423" i="4"/>
  <c r="D350" i="4"/>
  <c r="D277" i="4"/>
  <c r="D203" i="4"/>
  <c r="D130" i="4"/>
  <c r="D57" i="4"/>
  <c r="D20" i="4"/>
  <c r="D84" i="4"/>
  <c r="D148" i="4"/>
  <c r="D212" i="4"/>
  <c r="D276" i="4"/>
  <c r="D340" i="4"/>
  <c r="D404" i="4"/>
  <c r="D468" i="4"/>
  <c r="D532" i="4"/>
  <c r="D596" i="4"/>
  <c r="D660" i="4"/>
  <c r="D724" i="4"/>
  <c r="D788" i="4"/>
  <c r="D852" i="4"/>
  <c r="D916" i="4"/>
  <c r="D980" i="4"/>
  <c r="D510" i="4"/>
  <c r="D682" i="4"/>
  <c r="D931" i="4"/>
  <c r="D849" i="4"/>
  <c r="D767" i="4"/>
  <c r="D685" i="4"/>
  <c r="D602" i="4"/>
  <c r="D520" i="4"/>
  <c r="D438" i="4"/>
  <c r="D346" i="4"/>
  <c r="D264" i="4"/>
  <c r="D182" i="4"/>
  <c r="D99" i="4"/>
  <c r="D17" i="4"/>
  <c r="D946" i="4"/>
  <c r="D873" i="4"/>
  <c r="D800" i="4"/>
  <c r="D727" i="4"/>
  <c r="D654" i="4"/>
  <c r="D581" i="4"/>
  <c r="D507" i="4"/>
  <c r="D434" i="4"/>
  <c r="D361" i="4"/>
  <c r="D288" i="4"/>
  <c r="D215" i="4"/>
  <c r="D142" i="4"/>
  <c r="D69" i="4"/>
  <c r="D1000" i="4"/>
  <c r="D927" i="4"/>
  <c r="D854" i="4"/>
  <c r="D781" i="4"/>
  <c r="D707" i="4"/>
  <c r="D634" i="4"/>
  <c r="D561" i="4"/>
  <c r="D488" i="4"/>
  <c r="D415" i="4"/>
  <c r="D342" i="4"/>
  <c r="D269" i="4"/>
  <c r="D195" i="4"/>
  <c r="D122" i="4"/>
  <c r="D49" i="4"/>
  <c r="D981" i="4"/>
  <c r="D907" i="4"/>
  <c r="D834" i="4"/>
  <c r="D761" i="4"/>
  <c r="D688" i="4"/>
  <c r="D615" i="4"/>
  <c r="D542" i="4"/>
  <c r="D469" i="4"/>
  <c r="D395" i="4"/>
  <c r="D322" i="4"/>
  <c r="D249" i="4"/>
  <c r="D176" i="4"/>
  <c r="D103" i="4"/>
  <c r="D30" i="4"/>
  <c r="D44" i="4"/>
  <c r="D108" i="4"/>
  <c r="D172" i="4"/>
  <c r="D236" i="4"/>
  <c r="D300" i="4"/>
  <c r="D364" i="4"/>
  <c r="D428" i="4"/>
  <c r="D492" i="4"/>
  <c r="D556" i="4"/>
  <c r="D620" i="4"/>
  <c r="D684" i="4"/>
  <c r="D748" i="4"/>
  <c r="D812" i="4"/>
  <c r="D876" i="4"/>
  <c r="D940" i="4"/>
  <c r="D877" i="4"/>
  <c r="D703" i="4"/>
  <c r="D538" i="4"/>
  <c r="D374" i="4"/>
  <c r="D200" i="4"/>
  <c r="D54" i="4"/>
  <c r="D937" i="4"/>
  <c r="D818" i="4"/>
  <c r="D709" i="4"/>
  <c r="D590" i="4"/>
  <c r="D471" i="4"/>
  <c r="D352" i="4"/>
  <c r="D233" i="4"/>
  <c r="D123" i="4"/>
  <c r="D5" i="4"/>
  <c r="D890" i="4"/>
  <c r="D771" i="4"/>
  <c r="D653" i="4"/>
  <c r="D543" i="4"/>
  <c r="D424" i="4"/>
  <c r="D305" i="4"/>
  <c r="D186" i="4"/>
  <c r="D67" i="4"/>
  <c r="D962" i="4"/>
  <c r="D843" i="4"/>
  <c r="D725" i="4"/>
  <c r="D606" i="4"/>
  <c r="D487" i="4"/>
  <c r="D377" i="4"/>
  <c r="D258" i="4"/>
  <c r="D139" i="4"/>
  <c r="D21" i="4"/>
  <c r="D92" i="4"/>
  <c r="D188" i="4"/>
  <c r="D292" i="4"/>
  <c r="D396" i="4"/>
  <c r="D500" i="4"/>
  <c r="D604" i="4"/>
  <c r="D700" i="4"/>
  <c r="D804" i="4"/>
  <c r="D908" i="4"/>
  <c r="D959" i="4"/>
  <c r="D456" i="4"/>
  <c r="D118" i="4"/>
  <c r="D763" i="4"/>
  <c r="D416" i="4"/>
  <c r="D59" i="4"/>
  <c r="D717" i="4"/>
  <c r="D360" i="4"/>
  <c r="D13" i="4"/>
  <c r="D670" i="4"/>
  <c r="D313" i="4"/>
  <c r="D36" i="4"/>
  <c r="D348" i="4"/>
  <c r="D652" i="4"/>
  <c r="D956" i="4"/>
  <c r="D611" i="4"/>
  <c r="D109" i="4"/>
  <c r="D745" i="4"/>
  <c r="D398" i="4"/>
  <c r="D50" i="4"/>
  <c r="D698" i="4"/>
  <c r="D351" i="4"/>
  <c r="D999" i="4"/>
  <c r="D651" i="4"/>
  <c r="D304" i="4"/>
  <c r="D52" i="4"/>
  <c r="D356" i="4"/>
  <c r="D668" i="4"/>
  <c r="D972" i="4"/>
  <c r="D758" i="4"/>
  <c r="D255" i="4"/>
  <c r="D965" i="4"/>
  <c r="D736" i="4"/>
  <c r="D498" i="4"/>
  <c r="D151" i="4"/>
  <c r="D918" i="4"/>
  <c r="D689" i="4"/>
  <c r="D333" i="4"/>
  <c r="D990" i="4"/>
  <c r="D633" i="4"/>
  <c r="D48" i="4"/>
  <c r="D476" i="4"/>
  <c r="D790" i="4"/>
  <c r="D39" i="4"/>
  <c r="D858" i="4"/>
  <c r="D694" i="4"/>
  <c r="D529" i="4"/>
  <c r="D365" i="4"/>
  <c r="D191" i="4"/>
  <c r="D35" i="4"/>
  <c r="D928" i="4"/>
  <c r="D809" i="4"/>
  <c r="D690" i="4"/>
  <c r="D571" i="4"/>
  <c r="D453" i="4"/>
  <c r="D343" i="4"/>
  <c r="D224" i="4"/>
  <c r="D105" i="4"/>
  <c r="D991" i="4"/>
  <c r="D872" i="4"/>
  <c r="D762" i="4"/>
  <c r="D643" i="4"/>
  <c r="D525" i="4"/>
  <c r="D406" i="4"/>
  <c r="D287" i="4"/>
  <c r="D177" i="4"/>
  <c r="D58" i="4"/>
  <c r="D944" i="4"/>
  <c r="D825" i="4"/>
  <c r="D706" i="4"/>
  <c r="D597" i="4"/>
  <c r="D478" i="4"/>
  <c r="D359" i="4"/>
  <c r="D240" i="4"/>
  <c r="D121" i="4"/>
  <c r="D11" i="4"/>
  <c r="D100" i="4"/>
  <c r="D204" i="4"/>
  <c r="D308" i="4"/>
  <c r="D412" i="4"/>
  <c r="D508" i="4"/>
  <c r="D612" i="4"/>
  <c r="D716" i="4"/>
  <c r="D820" i="4"/>
  <c r="D924" i="4"/>
  <c r="D451" i="4"/>
  <c r="D752" i="4"/>
  <c r="D523" i="4"/>
  <c r="D286" i="4"/>
  <c r="D167" i="4"/>
  <c r="D164" i="4"/>
  <c r="D372" i="4"/>
  <c r="D572" i="4"/>
  <c r="D676" i="4"/>
  <c r="D884" i="4"/>
  <c r="D988" i="4"/>
  <c r="D557" i="4"/>
  <c r="D81" i="4"/>
  <c r="D718" i="4"/>
  <c r="D370" i="4"/>
  <c r="D14" i="4"/>
  <c r="D552" i="4"/>
  <c r="D205" i="4"/>
  <c r="D853" i="4"/>
  <c r="D624" i="4"/>
  <c r="D267" i="4"/>
  <c r="D76" i="4"/>
  <c r="D284" i="4"/>
  <c r="D484" i="4"/>
  <c r="D692" i="4"/>
  <c r="D892" i="4"/>
  <c r="D840" i="4"/>
  <c r="D675" i="4"/>
  <c r="D511" i="4"/>
  <c r="D337" i="4"/>
  <c r="D173" i="4"/>
  <c r="D26" i="4"/>
  <c r="D910" i="4"/>
  <c r="D791" i="4"/>
  <c r="D672" i="4"/>
  <c r="D562" i="4"/>
  <c r="D443" i="4"/>
  <c r="D325" i="4"/>
  <c r="D206" i="4"/>
  <c r="D87" i="4"/>
  <c r="D982" i="4"/>
  <c r="D863" i="4"/>
  <c r="D744" i="4"/>
  <c r="D625" i="4"/>
  <c r="D506" i="4"/>
  <c r="D397" i="4"/>
  <c r="D278" i="4"/>
  <c r="D159" i="4"/>
  <c r="D40" i="4"/>
  <c r="D926" i="4"/>
  <c r="D816" i="4"/>
  <c r="D697" i="4"/>
  <c r="D578" i="4"/>
  <c r="D459" i="4"/>
  <c r="D341" i="4"/>
  <c r="D231" i="4"/>
  <c r="D112" i="4"/>
  <c r="D12" i="4"/>
  <c r="D116" i="4"/>
  <c r="D220" i="4"/>
  <c r="D316" i="4"/>
  <c r="D420" i="4"/>
  <c r="D524" i="4"/>
  <c r="D628" i="4"/>
  <c r="D732" i="4"/>
  <c r="D828" i="4"/>
  <c r="D932" i="4"/>
  <c r="D621" i="4"/>
  <c r="D1001" i="4"/>
  <c r="D645" i="4"/>
  <c r="D297" i="4"/>
  <c r="D945" i="4"/>
  <c r="D598" i="4"/>
  <c r="D250" i="4"/>
  <c r="D898" i="4"/>
  <c r="D551" i="4"/>
  <c r="D194" i="4"/>
  <c r="D140" i="4"/>
  <c r="D444" i="4"/>
  <c r="D756" i="4"/>
  <c r="D629" i="4"/>
  <c r="D776" i="4"/>
  <c r="D273" i="4"/>
  <c r="D864" i="4"/>
  <c r="D517" i="4"/>
  <c r="D160" i="4"/>
  <c r="D817" i="4"/>
  <c r="D470" i="4"/>
  <c r="D113" i="4"/>
  <c r="D770" i="4"/>
  <c r="D414" i="4"/>
  <c r="D66" i="4"/>
  <c r="D252" i="4"/>
  <c r="D564" i="4"/>
  <c r="D868" i="4"/>
  <c r="D922" i="4"/>
  <c r="D419" i="4"/>
  <c r="D90" i="4"/>
  <c r="D855" i="4"/>
  <c r="D617" i="4"/>
  <c r="D379" i="4"/>
  <c r="D32" i="4"/>
  <c r="D799" i="4"/>
  <c r="D570" i="4"/>
  <c r="D214" i="4"/>
  <c r="D871" i="4"/>
  <c r="D405" i="4"/>
  <c r="D268" i="4"/>
  <c r="D780" i="4"/>
  <c r="D730" i="4"/>
  <c r="D227" i="4"/>
  <c r="D837" i="4"/>
  <c r="D489" i="4"/>
  <c r="D133" i="4"/>
  <c r="D671" i="4"/>
  <c r="D323" i="4"/>
  <c r="D971" i="4"/>
  <c r="D505" i="4"/>
  <c r="D977" i="4"/>
  <c r="D813" i="4"/>
  <c r="D639" i="4"/>
  <c r="D474" i="4"/>
  <c r="D310" i="4"/>
  <c r="D145" i="4"/>
  <c r="D8" i="4"/>
  <c r="D891" i="4"/>
  <c r="D782" i="4"/>
  <c r="D663" i="4"/>
  <c r="D544" i="4"/>
  <c r="D425" i="4"/>
  <c r="D306" i="4"/>
  <c r="D197" i="4"/>
  <c r="D78" i="4"/>
  <c r="D963" i="4"/>
  <c r="D845" i="4"/>
  <c r="D726" i="4"/>
  <c r="D616" i="4"/>
  <c r="D497" i="4"/>
  <c r="D378" i="4"/>
  <c r="D259" i="4"/>
  <c r="D141" i="4"/>
  <c r="D31" i="4"/>
  <c r="D917" i="4"/>
  <c r="D798" i="4"/>
  <c r="D679" i="4"/>
  <c r="D560" i="4"/>
  <c r="D450" i="4"/>
  <c r="D331" i="4"/>
  <c r="D213" i="4"/>
  <c r="D94" i="4"/>
  <c r="D28" i="4"/>
  <c r="D124" i="4"/>
  <c r="D228" i="4"/>
  <c r="D332" i="4"/>
  <c r="D436" i="4"/>
  <c r="D540" i="4"/>
  <c r="D636" i="4"/>
  <c r="D740" i="4"/>
  <c r="D844" i="4"/>
  <c r="D948" i="4"/>
  <c r="D174" i="4"/>
  <c r="D785" i="4"/>
  <c r="D291" i="4"/>
  <c r="D882" i="4"/>
  <c r="D526" i="4"/>
  <c r="D178" i="4"/>
  <c r="D835" i="4"/>
  <c r="D479" i="4"/>
  <c r="D131" i="4"/>
  <c r="D779" i="4"/>
  <c r="D432" i="4"/>
  <c r="D85" i="4"/>
  <c r="D244" i="4"/>
  <c r="D548" i="4"/>
  <c r="D860" i="4"/>
  <c r="D950" i="4"/>
  <c r="D447" i="4"/>
  <c r="D983" i="4"/>
  <c r="D635" i="4"/>
  <c r="D279" i="4"/>
  <c r="D936" i="4"/>
  <c r="D579" i="4"/>
  <c r="D232" i="4"/>
  <c r="D889" i="4"/>
  <c r="D533" i="4"/>
  <c r="D185" i="4"/>
  <c r="D156" i="4"/>
  <c r="D460" i="4"/>
  <c r="D764" i="4"/>
  <c r="D593" i="4"/>
  <c r="D270" i="4"/>
  <c r="D104" i="4"/>
  <c r="D60" i="4"/>
  <c r="D895" i="4"/>
  <c r="D392" i="4"/>
  <c r="D955" i="4"/>
  <c r="D599" i="4"/>
  <c r="D251" i="4"/>
  <c r="D909" i="4"/>
  <c r="D433" i="4"/>
  <c r="D86" i="4"/>
  <c r="D743" i="4"/>
  <c r="D386" i="4"/>
  <c r="D158" i="4"/>
  <c r="D180" i="4"/>
  <c r="D380" i="4"/>
  <c r="D588" i="4"/>
  <c r="D796" i="4"/>
  <c r="D996" i="4"/>
  <c r="B32" i="3"/>
  <c r="D3" i="3"/>
  <c r="D51" i="3"/>
  <c r="D275" i="3"/>
  <c r="D899" i="3"/>
  <c r="D387" i="3"/>
  <c r="D627" i="3"/>
  <c r="D771" i="3"/>
  <c r="D787" i="3"/>
  <c r="D611" i="3"/>
  <c r="D755" i="3"/>
  <c r="D867" i="3"/>
  <c r="D35" i="3"/>
  <c r="D67" i="3"/>
  <c r="D371" i="3"/>
  <c r="D851" i="3"/>
  <c r="D243" i="3"/>
  <c r="D691" i="3"/>
  <c r="D419" i="3"/>
  <c r="D579" i="3"/>
  <c r="D739" i="3"/>
  <c r="D961" i="3"/>
  <c r="D939" i="3"/>
  <c r="D83" i="3"/>
  <c r="D515" i="3"/>
  <c r="D547" i="3"/>
  <c r="D707" i="3"/>
  <c r="D971" i="3"/>
  <c r="D227" i="3"/>
  <c r="D115" i="3"/>
  <c r="D259" i="3"/>
  <c r="D179" i="3"/>
  <c r="D803" i="3"/>
  <c r="D950" i="3"/>
  <c r="D883" i="3"/>
  <c r="D982" i="3"/>
  <c r="D643" i="3"/>
  <c r="D993" i="3"/>
  <c r="D14" i="3"/>
  <c r="D835" i="3"/>
  <c r="D849" i="3"/>
  <c r="D931" i="3"/>
  <c r="D806" i="3"/>
  <c r="D678" i="3"/>
  <c r="D550" i="3"/>
  <c r="D422" i="3"/>
  <c r="D294" i="3"/>
  <c r="D166" i="3"/>
  <c r="D38" i="3"/>
  <c r="D467" i="3"/>
  <c r="D355" i="3"/>
  <c r="D163" i="3"/>
  <c r="D817" i="3"/>
  <c r="D918" i="3"/>
  <c r="D790" i="3"/>
  <c r="D662" i="3"/>
  <c r="D534" i="3"/>
  <c r="D406" i="3"/>
  <c r="D278" i="3"/>
  <c r="D150" i="3"/>
  <c r="D22" i="3"/>
  <c r="D930" i="3"/>
  <c r="D804" i="3"/>
  <c r="D676" i="3"/>
  <c r="D548" i="3"/>
  <c r="D420" i="3"/>
  <c r="D292" i="3"/>
  <c r="D164" i="3"/>
  <c r="D36" i="3"/>
  <c r="D675" i="3"/>
  <c r="D531" i="3"/>
  <c r="D483" i="3"/>
  <c r="D970" i="3"/>
  <c r="D673" i="3"/>
  <c r="D985" i="3"/>
  <c r="D886" i="3"/>
  <c r="D758" i="3"/>
  <c r="D630" i="3"/>
  <c r="D502" i="3"/>
  <c r="D374" i="3"/>
  <c r="D246" i="3"/>
  <c r="D118" i="3"/>
  <c r="D994" i="3"/>
  <c r="D900" i="3"/>
  <c r="D772" i="3"/>
  <c r="D644" i="3"/>
  <c r="D516" i="3"/>
  <c r="D388" i="3"/>
  <c r="D260" i="3"/>
  <c r="D132" i="3"/>
  <c r="D4" i="3"/>
  <c r="D435" i="3"/>
  <c r="D211" i="3"/>
  <c r="D147" i="3"/>
  <c r="D131" i="3"/>
  <c r="D991" i="3"/>
  <c r="D953" i="3"/>
  <c r="D742" i="3"/>
  <c r="D566" i="3"/>
  <c r="D342" i="3"/>
  <c r="D134" i="3"/>
  <c r="D884" i="3"/>
  <c r="D724" i="3"/>
  <c r="D564" i="3"/>
  <c r="D372" i="3"/>
  <c r="D212" i="3"/>
  <c r="D52" i="3"/>
  <c r="D1001" i="3"/>
  <c r="D910" i="3"/>
  <c r="D782" i="3"/>
  <c r="D654" i="3"/>
  <c r="D526" i="3"/>
  <c r="D398" i="3"/>
  <c r="D270" i="3"/>
  <c r="D142" i="3"/>
  <c r="D31" i="3"/>
  <c r="D95" i="3"/>
  <c r="D159" i="3"/>
  <c r="D223" i="3"/>
  <c r="D287" i="3"/>
  <c r="D351" i="3"/>
  <c r="D415" i="3"/>
  <c r="D479" i="3"/>
  <c r="D543" i="3"/>
  <c r="D607" i="3"/>
  <c r="D671" i="3"/>
  <c r="D735" i="3"/>
  <c r="D799" i="3"/>
  <c r="D863" i="3"/>
  <c r="D8" i="3"/>
  <c r="D72" i="3"/>
  <c r="D136" i="3"/>
  <c r="D200" i="3"/>
  <c r="D264" i="3"/>
  <c r="D328" i="3"/>
  <c r="D392" i="3"/>
  <c r="D456" i="3"/>
  <c r="D520" i="3"/>
  <c r="D584" i="3"/>
  <c r="D648" i="3"/>
  <c r="D712" i="3"/>
  <c r="D776" i="3"/>
  <c r="D840" i="3"/>
  <c r="D904" i="3"/>
  <c r="D968" i="3"/>
  <c r="D26" i="3"/>
  <c r="D90" i="3"/>
  <c r="D154" i="3"/>
  <c r="D218" i="3"/>
  <c r="D282" i="3"/>
  <c r="D346" i="3"/>
  <c r="D410" i="3"/>
  <c r="D474" i="3"/>
  <c r="D538" i="3"/>
  <c r="D602" i="3"/>
  <c r="D666" i="3"/>
  <c r="D730" i="3"/>
  <c r="D794" i="3"/>
  <c r="D858" i="3"/>
  <c r="D922" i="3"/>
  <c r="D61" i="3"/>
  <c r="D125" i="3"/>
  <c r="D189" i="3"/>
  <c r="D253" i="3"/>
  <c r="D317" i="3"/>
  <c r="D381" i="3"/>
  <c r="D445" i="3"/>
  <c r="D509" i="3"/>
  <c r="D573" i="3"/>
  <c r="D637" i="3"/>
  <c r="D701" i="3"/>
  <c r="D765" i="3"/>
  <c r="D829" i="3"/>
  <c r="D893" i="3"/>
  <c r="D957" i="3"/>
  <c r="D978" i="3"/>
  <c r="D876" i="3"/>
  <c r="D748" i="3"/>
  <c r="D620" i="3"/>
  <c r="D492" i="3"/>
  <c r="D364" i="3"/>
  <c r="D220" i="3"/>
  <c r="D92" i="3"/>
  <c r="D563" i="3"/>
  <c r="D99" i="3"/>
  <c r="D19" i="3"/>
  <c r="D959" i="3"/>
  <c r="D942" i="3"/>
  <c r="D726" i="3"/>
  <c r="D518" i="3"/>
  <c r="D326" i="3"/>
  <c r="D102" i="3"/>
  <c r="D868" i="3"/>
  <c r="D708" i="3"/>
  <c r="D532" i="3"/>
  <c r="D356" i="3"/>
  <c r="D196" i="3"/>
  <c r="D20" i="3"/>
  <c r="D990" i="3"/>
  <c r="D894" i="3"/>
  <c r="D766" i="3"/>
  <c r="D638" i="3"/>
  <c r="D510" i="3"/>
  <c r="D382" i="3"/>
  <c r="D254" i="3"/>
  <c r="D126" i="3"/>
  <c r="D39" i="3"/>
  <c r="D103" i="3"/>
  <c r="D167" i="3"/>
  <c r="D231" i="3"/>
  <c r="D295" i="3"/>
  <c r="D359" i="3"/>
  <c r="D423" i="3"/>
  <c r="D487" i="3"/>
  <c r="D551" i="3"/>
  <c r="D615" i="3"/>
  <c r="D679" i="3"/>
  <c r="D743" i="3"/>
  <c r="D807" i="3"/>
  <c r="D871" i="3"/>
  <c r="D16" i="3"/>
  <c r="D80" i="3"/>
  <c r="D144" i="3"/>
  <c r="D208" i="3"/>
  <c r="D272" i="3"/>
  <c r="D336" i="3"/>
  <c r="D400" i="3"/>
  <c r="D464" i="3"/>
  <c r="D528" i="3"/>
  <c r="D592" i="3"/>
  <c r="D656" i="3"/>
  <c r="D720" i="3"/>
  <c r="D784" i="3"/>
  <c r="D848" i="3"/>
  <c r="D912" i="3"/>
  <c r="D976" i="3"/>
  <c r="D34" i="3"/>
  <c r="D98" i="3"/>
  <c r="D162" i="3"/>
  <c r="D226" i="3"/>
  <c r="D290" i="3"/>
  <c r="D354" i="3"/>
  <c r="D418" i="3"/>
  <c r="D482" i="3"/>
  <c r="D546" i="3"/>
  <c r="D610" i="3"/>
  <c r="D674" i="3"/>
  <c r="D738" i="3"/>
  <c r="D802" i="3"/>
  <c r="D866" i="3"/>
  <c r="D5" i="3"/>
  <c r="D69" i="3"/>
  <c r="D133" i="3"/>
  <c r="D197" i="3"/>
  <c r="D261" i="3"/>
  <c r="D325" i="3"/>
  <c r="D389" i="3"/>
  <c r="D453" i="3"/>
  <c r="D517" i="3"/>
  <c r="D581" i="3"/>
  <c r="D645" i="3"/>
  <c r="D709" i="3"/>
  <c r="D773" i="3"/>
  <c r="D837" i="3"/>
  <c r="D901" i="3"/>
  <c r="D965" i="3"/>
  <c r="D967" i="3"/>
  <c r="D860" i="3"/>
  <c r="D732" i="3"/>
  <c r="D604" i="3"/>
  <c r="D476" i="3"/>
  <c r="D348" i="3"/>
  <c r="D204" i="3"/>
  <c r="D76" i="3"/>
  <c r="D938" i="3"/>
  <c r="D902" i="3"/>
  <c r="D710" i="3"/>
  <c r="D486" i="3"/>
  <c r="D310" i="3"/>
  <c r="D86" i="3"/>
  <c r="D983" i="3"/>
  <c r="D852" i="3"/>
  <c r="D692" i="3"/>
  <c r="D500" i="3"/>
  <c r="D291" i="3"/>
  <c r="D913" i="3"/>
  <c r="D870" i="3"/>
  <c r="D694" i="3"/>
  <c r="D470" i="3"/>
  <c r="D262" i="3"/>
  <c r="D70" i="3"/>
  <c r="D972" i="3"/>
  <c r="D836" i="3"/>
  <c r="D660" i="3"/>
  <c r="D484" i="3"/>
  <c r="D324" i="3"/>
  <c r="D148" i="3"/>
  <c r="D969" i="3"/>
  <c r="D862" i="3"/>
  <c r="D734" i="3"/>
  <c r="D606" i="3"/>
  <c r="D478" i="3"/>
  <c r="D350" i="3"/>
  <c r="D222" i="3"/>
  <c r="D94" i="3"/>
  <c r="D55" i="3"/>
  <c r="D119" i="3"/>
  <c r="D183" i="3"/>
  <c r="D247" i="3"/>
  <c r="D311" i="3"/>
  <c r="D375" i="3"/>
  <c r="D439" i="3"/>
  <c r="D503" i="3"/>
  <c r="D567" i="3"/>
  <c r="D631" i="3"/>
  <c r="D695" i="3"/>
  <c r="D759" i="3"/>
  <c r="D823" i="3"/>
  <c r="D887" i="3"/>
  <c r="D32" i="3"/>
  <c r="D96" i="3"/>
  <c r="D160" i="3"/>
  <c r="D224" i="3"/>
  <c r="D288" i="3"/>
  <c r="D352" i="3"/>
  <c r="D416" i="3"/>
  <c r="D480" i="3"/>
  <c r="D544" i="3"/>
  <c r="D608" i="3"/>
  <c r="D672" i="3"/>
  <c r="D736" i="3"/>
  <c r="D800" i="3"/>
  <c r="D864" i="3"/>
  <c r="D928" i="3"/>
  <c r="D992" i="3"/>
  <c r="D50" i="3"/>
  <c r="D114" i="3"/>
  <c r="D178" i="3"/>
  <c r="D242" i="3"/>
  <c r="D306" i="3"/>
  <c r="D370" i="3"/>
  <c r="D434" i="3"/>
  <c r="D498" i="3"/>
  <c r="D562" i="3"/>
  <c r="D626" i="3"/>
  <c r="D690" i="3"/>
  <c r="D754" i="3"/>
  <c r="D818" i="3"/>
  <c r="D882" i="3"/>
  <c r="D21" i="3"/>
  <c r="D85" i="3"/>
  <c r="D149" i="3"/>
  <c r="D213" i="3"/>
  <c r="D277" i="3"/>
  <c r="D341" i="3"/>
  <c r="D405" i="3"/>
  <c r="D469" i="3"/>
  <c r="D533" i="3"/>
  <c r="D597" i="3"/>
  <c r="D661" i="3"/>
  <c r="D725" i="3"/>
  <c r="D789" i="3"/>
  <c r="D853" i="3"/>
  <c r="D917" i="3"/>
  <c r="D981" i="3"/>
  <c r="D946" i="3"/>
  <c r="D828" i="3"/>
  <c r="D700" i="3"/>
  <c r="D572" i="3"/>
  <c r="D444" i="3"/>
  <c r="D300" i="3"/>
  <c r="D172" i="3"/>
  <c r="D44" i="3"/>
  <c r="D929" i="3"/>
  <c r="D195" i="3"/>
  <c r="D995" i="3"/>
  <c r="D614" i="3"/>
  <c r="D214" i="3"/>
  <c r="D951" i="3"/>
  <c r="D612" i="3"/>
  <c r="D308" i="3"/>
  <c r="D68" i="3"/>
  <c r="D830" i="3"/>
  <c r="D622" i="3"/>
  <c r="D430" i="3"/>
  <c r="D206" i="3"/>
  <c r="D30" i="3"/>
  <c r="D87" i="3"/>
  <c r="D199" i="3"/>
  <c r="D303" i="3"/>
  <c r="D399" i="3"/>
  <c r="D511" i="3"/>
  <c r="D599" i="3"/>
  <c r="D711" i="3"/>
  <c r="D815" i="3"/>
  <c r="D911" i="3"/>
  <c r="D104" i="3"/>
  <c r="D192" i="3"/>
  <c r="D323" i="3"/>
  <c r="D819" i="3"/>
  <c r="D974" i="3"/>
  <c r="D598" i="3"/>
  <c r="D198" i="3"/>
  <c r="D940" i="3"/>
  <c r="D596" i="3"/>
  <c r="D276" i="3"/>
  <c r="D979" i="3"/>
  <c r="D814" i="3"/>
  <c r="D590" i="3"/>
  <c r="D414" i="3"/>
  <c r="D190" i="3"/>
  <c r="D7" i="3"/>
  <c r="D111" i="3"/>
  <c r="D207" i="3"/>
  <c r="D319" i="3"/>
  <c r="D407" i="3"/>
  <c r="D519" i="3"/>
  <c r="D623" i="3"/>
  <c r="D719" i="3"/>
  <c r="D831" i="3"/>
  <c r="D919" i="3"/>
  <c r="D112" i="3"/>
  <c r="D216" i="3"/>
  <c r="D312" i="3"/>
  <c r="D424" i="3"/>
  <c r="D512" i="3"/>
  <c r="D624" i="3"/>
  <c r="D728" i="3"/>
  <c r="D824" i="3"/>
  <c r="D936" i="3"/>
  <c r="D18" i="3"/>
  <c r="D130" i="3"/>
  <c r="D234" i="3"/>
  <c r="D330" i="3"/>
  <c r="D442" i="3"/>
  <c r="D530" i="3"/>
  <c r="D642" i="3"/>
  <c r="D746" i="3"/>
  <c r="D842" i="3"/>
  <c r="D29" i="3"/>
  <c r="D117" i="3"/>
  <c r="D229" i="3"/>
  <c r="D333" i="3"/>
  <c r="D429" i="3"/>
  <c r="D541" i="3"/>
  <c r="D629" i="3"/>
  <c r="D741" i="3"/>
  <c r="D845" i="3"/>
  <c r="D941" i="3"/>
  <c r="D844" i="3"/>
  <c r="D652" i="3"/>
  <c r="D428" i="3"/>
  <c r="D236" i="3"/>
  <c r="D12" i="3"/>
  <c r="D451" i="3"/>
  <c r="D723" i="3"/>
  <c r="D307" i="3"/>
  <c r="D963" i="3"/>
  <c r="D582" i="3"/>
  <c r="D182" i="3"/>
  <c r="D916" i="3"/>
  <c r="D580" i="3"/>
  <c r="D244" i="3"/>
  <c r="D958" i="3"/>
  <c r="D798" i="3"/>
  <c r="D574" i="3"/>
  <c r="D366" i="3"/>
  <c r="D174" i="3"/>
  <c r="D15" i="3"/>
  <c r="D127" i="3"/>
  <c r="D215" i="3"/>
  <c r="D327" i="3"/>
  <c r="D431" i="3"/>
  <c r="D527" i="3"/>
  <c r="D639" i="3"/>
  <c r="D727" i="3"/>
  <c r="D839" i="3"/>
  <c r="D24" i="3"/>
  <c r="D120" i="3"/>
  <c r="D232" i="3"/>
  <c r="D915" i="3"/>
  <c r="D881" i="3"/>
  <c r="D438" i="3"/>
  <c r="D820" i="3"/>
  <c r="D404" i="3"/>
  <c r="D878" i="3"/>
  <c r="D542" i="3"/>
  <c r="D238" i="3"/>
  <c r="D17" i="3"/>
  <c r="D838" i="3"/>
  <c r="D230" i="3"/>
  <c r="D740" i="3"/>
  <c r="D180" i="3"/>
  <c r="D718" i="3"/>
  <c r="D446" i="3"/>
  <c r="D78" i="3"/>
  <c r="D47" i="3"/>
  <c r="D191" i="3"/>
  <c r="D367" i="3"/>
  <c r="D535" i="3"/>
  <c r="D687" i="3"/>
  <c r="D855" i="3"/>
  <c r="D88" i="3"/>
  <c r="D256" i="3"/>
  <c r="D376" i="3"/>
  <c r="D496" i="3"/>
  <c r="D616" i="3"/>
  <c r="D744" i="3"/>
  <c r="D856" i="3"/>
  <c r="D960" i="3"/>
  <c r="D74" i="3"/>
  <c r="D194" i="3"/>
  <c r="D314" i="3"/>
  <c r="D426" i="3"/>
  <c r="D554" i="3"/>
  <c r="D658" i="3"/>
  <c r="D778" i="3"/>
  <c r="D898" i="3"/>
  <c r="D93" i="3"/>
  <c r="D205" i="3"/>
  <c r="D309" i="3"/>
  <c r="D437" i="3"/>
  <c r="D557" i="3"/>
  <c r="D677" i="3"/>
  <c r="D797" i="3"/>
  <c r="D909" i="3"/>
  <c r="D956" i="3"/>
  <c r="D764" i="3"/>
  <c r="D524" i="3"/>
  <c r="D268" i="3"/>
  <c r="D28" i="3"/>
  <c r="D499" i="3"/>
  <c r="D646" i="3"/>
  <c r="D452" i="3"/>
  <c r="D84" i="3"/>
  <c r="D937" i="3"/>
  <c r="D670" i="3"/>
  <c r="D302" i="3"/>
  <c r="D79" i="3"/>
  <c r="D263" i="3"/>
  <c r="D447" i="3"/>
  <c r="D583" i="3"/>
  <c r="D767" i="3"/>
  <c r="D903" i="3"/>
  <c r="D168" i="3"/>
  <c r="D304" i="3"/>
  <c r="D432" i="3"/>
  <c r="D552" i="3"/>
  <c r="D664" i="3"/>
  <c r="D768" i="3"/>
  <c r="D888" i="3"/>
  <c r="D2" i="3"/>
  <c r="D122" i="3"/>
  <c r="D250" i="3"/>
  <c r="D362" i="3"/>
  <c r="D466" i="3"/>
  <c r="D586" i="3"/>
  <c r="D706" i="3"/>
  <c r="D826" i="3"/>
  <c r="D13" i="3"/>
  <c r="D141" i="3"/>
  <c r="D245" i="3"/>
  <c r="D365" i="3"/>
  <c r="D485" i="3"/>
  <c r="D605" i="3"/>
  <c r="D717" i="3"/>
  <c r="D821" i="3"/>
  <c r="D949" i="3"/>
  <c r="D908" i="3"/>
  <c r="D668" i="3"/>
  <c r="D412" i="3"/>
  <c r="D156" i="3"/>
  <c r="D403" i="3"/>
  <c r="D339" i="3"/>
  <c r="D465" i="3"/>
  <c r="D390" i="3"/>
  <c r="D788" i="3"/>
  <c r="D100" i="3"/>
  <c r="D926" i="3"/>
  <c r="D334" i="3"/>
  <c r="D143" i="3"/>
  <c r="D343" i="3"/>
  <c r="D575" i="3"/>
  <c r="D783" i="3"/>
  <c r="D64" i="3"/>
  <c r="D296" i="3"/>
  <c r="D448" i="3"/>
  <c r="D600" i="3"/>
  <c r="D760" i="3"/>
  <c r="D920" i="3"/>
  <c r="D66" i="3"/>
  <c r="D210" i="3"/>
  <c r="D386" i="3"/>
  <c r="D522" i="3"/>
  <c r="D698" i="3"/>
  <c r="D850" i="3"/>
  <c r="D77" i="3"/>
  <c r="D237" i="3"/>
  <c r="D397" i="3"/>
  <c r="D549" i="3"/>
  <c r="D693" i="3"/>
  <c r="D869" i="3"/>
  <c r="D780" i="3"/>
  <c r="D460" i="3"/>
  <c r="D124" i="3"/>
  <c r="D998" i="3"/>
  <c r="D907" i="3"/>
  <c r="D779" i="3"/>
  <c r="D651" i="3"/>
  <c r="D523" i="3"/>
  <c r="D395" i="3"/>
  <c r="D267" i="3"/>
  <c r="D139" i="3"/>
  <c r="D11" i="3"/>
  <c r="D948" i="3"/>
  <c r="D737" i="3"/>
  <c r="D593" i="3"/>
  <c r="D449" i="3"/>
  <c r="D321" i="3"/>
  <c r="D193" i="3"/>
  <c r="D65" i="3"/>
  <c r="D964" i="3"/>
  <c r="D857" i="3"/>
  <c r="D729" i="3"/>
  <c r="D601" i="3"/>
  <c r="D473" i="3"/>
  <c r="D345" i="3"/>
  <c r="D217" i="3"/>
  <c r="D89" i="3"/>
  <c r="D358" i="3"/>
  <c r="D756" i="3"/>
  <c r="D846" i="3"/>
  <c r="D318" i="3"/>
  <c r="D151" i="3"/>
  <c r="D383" i="3"/>
  <c r="D591" i="3"/>
  <c r="D791" i="3"/>
  <c r="D128" i="3"/>
  <c r="D320" i="3"/>
  <c r="D472" i="3"/>
  <c r="D632" i="3"/>
  <c r="D792" i="3"/>
  <c r="D944" i="3"/>
  <c r="D82" i="3"/>
  <c r="D258" i="3"/>
  <c r="D394" i="3"/>
  <c r="D570" i="3"/>
  <c r="D714" i="3"/>
  <c r="D874" i="3"/>
  <c r="D101" i="3"/>
  <c r="D269" i="3"/>
  <c r="D413" i="3"/>
  <c r="D565" i="3"/>
  <c r="D733" i="3"/>
  <c r="D877" i="3"/>
  <c r="D999" i="3"/>
  <c r="D716" i="3"/>
  <c r="D396" i="3"/>
  <c r="D108" i="3"/>
  <c r="D987" i="3"/>
  <c r="D891" i="3"/>
  <c r="D763" i="3"/>
  <c r="D635" i="3"/>
  <c r="D507" i="3"/>
  <c r="D379" i="3"/>
  <c r="D251" i="3"/>
  <c r="D123" i="3"/>
  <c r="D6" i="3"/>
  <c r="D468" i="3"/>
  <c r="D702" i="3"/>
  <c r="D158" i="3"/>
  <c r="D239" i="3"/>
  <c r="D455" i="3"/>
  <c r="D655" i="3"/>
  <c r="D879" i="3"/>
  <c r="D176" i="3"/>
  <c r="D360" i="3"/>
  <c r="D504" i="3"/>
  <c r="D680" i="3"/>
  <c r="D816" i="3"/>
  <c r="D984" i="3"/>
  <c r="D138" i="3"/>
  <c r="D274" i="3"/>
  <c r="D450" i="3"/>
  <c r="D594" i="3"/>
  <c r="D762" i="3"/>
  <c r="D906" i="3"/>
  <c r="D157" i="3"/>
  <c r="D293" i="3"/>
  <c r="D461" i="3"/>
  <c r="D613" i="3"/>
  <c r="D757" i="3"/>
  <c r="D925" i="3"/>
  <c r="D935" i="3"/>
  <c r="D636" i="3"/>
  <c r="D332" i="3"/>
  <c r="D316" i="3"/>
  <c r="D966" i="3"/>
  <c r="D859" i="3"/>
  <c r="D731" i="3"/>
  <c r="D603" i="3"/>
  <c r="D475" i="3"/>
  <c r="D347" i="3"/>
  <c r="D219" i="3"/>
  <c r="D91" i="3"/>
  <c r="D865" i="3"/>
  <c r="D689" i="3"/>
  <c r="D545" i="3"/>
  <c r="D401" i="3"/>
  <c r="D273" i="3"/>
  <c r="D145" i="3"/>
  <c r="D932" i="3"/>
  <c r="D809" i="3"/>
  <c r="D681" i="3"/>
  <c r="D553" i="3"/>
  <c r="D425" i="3"/>
  <c r="D297" i="3"/>
  <c r="D169" i="3"/>
  <c r="D41" i="3"/>
  <c r="D774" i="3"/>
  <c r="D228" i="3"/>
  <c r="D494" i="3"/>
  <c r="D46" i="3"/>
  <c r="D71" i="3"/>
  <c r="D279" i="3"/>
  <c r="D495" i="3"/>
  <c r="D751" i="3"/>
  <c r="D48" i="3"/>
  <c r="D248" i="3"/>
  <c r="D408" i="3"/>
  <c r="D568" i="3"/>
  <c r="D704" i="3"/>
  <c r="D880" i="3"/>
  <c r="D42" i="3"/>
  <c r="D186" i="3"/>
  <c r="D338" i="3"/>
  <c r="D506" i="3"/>
  <c r="D650" i="3"/>
  <c r="D810" i="3"/>
  <c r="D45" i="3"/>
  <c r="D181" i="3"/>
  <c r="D357" i="3"/>
  <c r="D501" i="3"/>
  <c r="D669" i="3"/>
  <c r="D813" i="3"/>
  <c r="D989" i="3"/>
  <c r="D812" i="3"/>
  <c r="D540" i="3"/>
  <c r="D188" i="3"/>
  <c r="D934" i="3"/>
  <c r="D811" i="3"/>
  <c r="D683" i="3"/>
  <c r="D555" i="3"/>
  <c r="D427" i="3"/>
  <c r="D299" i="3"/>
  <c r="D171" i="3"/>
  <c r="D43" i="3"/>
  <c r="D785" i="3"/>
  <c r="D625" i="3"/>
  <c r="D497" i="3"/>
  <c r="D353" i="3"/>
  <c r="D225" i="3"/>
  <c r="D97" i="3"/>
  <c r="D986" i="3"/>
  <c r="D889" i="3"/>
  <c r="D761" i="3"/>
  <c r="D633" i="3"/>
  <c r="D505" i="3"/>
  <c r="D377" i="3"/>
  <c r="D249" i="3"/>
  <c r="D121" i="3"/>
  <c r="D54" i="3"/>
  <c r="D750" i="3"/>
  <c r="D175" i="3"/>
  <c r="D647" i="3"/>
  <c r="D152" i="3"/>
  <c r="D488" i="3"/>
  <c r="D808" i="3"/>
  <c r="D106" i="3"/>
  <c r="D402" i="3"/>
  <c r="D722" i="3"/>
  <c r="D109" i="3"/>
  <c r="D421" i="3"/>
  <c r="D749" i="3"/>
  <c r="D988" i="3"/>
  <c r="D380" i="3"/>
  <c r="D875" i="3"/>
  <c r="D619" i="3"/>
  <c r="D363" i="3"/>
  <c r="D107" i="3"/>
  <c r="D753" i="3"/>
  <c r="D529" i="3"/>
  <c r="D305" i="3"/>
  <c r="D113" i="3"/>
  <c r="D943" i="3"/>
  <c r="D745" i="3"/>
  <c r="D537" i="3"/>
  <c r="D329" i="3"/>
  <c r="D137" i="3"/>
  <c r="D686" i="3"/>
  <c r="D255" i="3"/>
  <c r="D663" i="3"/>
  <c r="D184" i="3"/>
  <c r="D536" i="3"/>
  <c r="D832" i="3"/>
  <c r="D146" i="3"/>
  <c r="D458" i="3"/>
  <c r="D770" i="3"/>
  <c r="D165" i="3"/>
  <c r="D477" i="3"/>
  <c r="D781" i="3"/>
  <c r="D924" i="3"/>
  <c r="D284" i="3"/>
  <c r="D843" i="3"/>
  <c r="D587" i="3"/>
  <c r="D331" i="3"/>
  <c r="D75" i="3"/>
  <c r="D721" i="3"/>
  <c r="D513" i="3"/>
  <c r="D289" i="3"/>
  <c r="D81" i="3"/>
  <c r="D921" i="3"/>
  <c r="D713" i="3"/>
  <c r="D521" i="3"/>
  <c r="D313" i="3"/>
  <c r="D105" i="3"/>
  <c r="D558" i="3"/>
  <c r="D271" i="3"/>
  <c r="D703" i="3"/>
  <c r="D240" i="3"/>
  <c r="D560" i="3"/>
  <c r="D872" i="3"/>
  <c r="D170" i="3"/>
  <c r="D490" i="3"/>
  <c r="D786" i="3"/>
  <c r="D173" i="3"/>
  <c r="D493" i="3"/>
  <c r="D805" i="3"/>
  <c r="D892" i="3"/>
  <c r="D252" i="3"/>
  <c r="D827" i="3"/>
  <c r="D571" i="3"/>
  <c r="D315" i="3"/>
  <c r="D59" i="3"/>
  <c r="D705" i="3"/>
  <c r="D481" i="3"/>
  <c r="D257" i="3"/>
  <c r="D49" i="3"/>
  <c r="D905" i="3"/>
  <c r="D697" i="3"/>
  <c r="D489" i="3"/>
  <c r="D281" i="3"/>
  <c r="D73" i="3"/>
  <c r="D822" i="3"/>
  <c r="D340" i="3"/>
  <c r="D62" i="3"/>
  <c r="D63" i="3"/>
  <c r="D471" i="3"/>
  <c r="D40" i="3"/>
  <c r="D384" i="3"/>
  <c r="D696" i="3"/>
  <c r="D10" i="3"/>
  <c r="D322" i="3"/>
  <c r="D634" i="3"/>
  <c r="D37" i="3"/>
  <c r="D349" i="3"/>
  <c r="D653" i="3"/>
  <c r="D973" i="3"/>
  <c r="D556" i="3"/>
  <c r="D945" i="3"/>
  <c r="D699" i="3"/>
  <c r="D443" i="3"/>
  <c r="D187" i="3"/>
  <c r="D833" i="3"/>
  <c r="D577" i="3"/>
  <c r="D369" i="3"/>
  <c r="D161" i="3"/>
  <c r="D975" i="3"/>
  <c r="D793" i="3"/>
  <c r="D585" i="3"/>
  <c r="D393" i="3"/>
  <c r="D185" i="3"/>
  <c r="D769" i="3"/>
  <c r="D962" i="3"/>
  <c r="D775" i="3"/>
  <c r="D576" i="3"/>
  <c r="D202" i="3"/>
  <c r="D834" i="3"/>
  <c r="D525" i="3"/>
  <c r="D796" i="3"/>
  <c r="D795" i="3"/>
  <c r="D283" i="3"/>
  <c r="D980" i="3"/>
  <c r="D433" i="3"/>
  <c r="D33" i="3"/>
  <c r="D873" i="3"/>
  <c r="D457" i="3"/>
  <c r="D57" i="3"/>
  <c r="D628" i="3"/>
  <c r="D847" i="3"/>
  <c r="D640" i="3"/>
  <c r="D266" i="3"/>
  <c r="D890" i="3"/>
  <c r="D589" i="3"/>
  <c r="D684" i="3"/>
  <c r="D747" i="3"/>
  <c r="D235" i="3"/>
  <c r="D927" i="3"/>
  <c r="D417" i="3"/>
  <c r="D841" i="3"/>
  <c r="D441" i="3"/>
  <c r="D25" i="3"/>
  <c r="D116" i="3"/>
  <c r="D947" i="3"/>
  <c r="D135" i="3"/>
  <c r="D56" i="3"/>
  <c r="D752" i="3"/>
  <c r="D378" i="3"/>
  <c r="D53" i="3"/>
  <c r="D685" i="3"/>
  <c r="D508" i="3"/>
  <c r="D667" i="3"/>
  <c r="D155" i="3"/>
  <c r="D801" i="3"/>
  <c r="D337" i="3"/>
  <c r="D777" i="3"/>
  <c r="D361" i="3"/>
  <c r="D595" i="3"/>
  <c r="D462" i="3"/>
  <c r="D335" i="3"/>
  <c r="D280" i="3"/>
  <c r="D896" i="3"/>
  <c r="D514" i="3"/>
  <c r="D221" i="3"/>
  <c r="D861" i="3"/>
  <c r="D140" i="3"/>
  <c r="D854" i="3"/>
  <c r="D110" i="3"/>
  <c r="D463" i="3"/>
  <c r="D368" i="3"/>
  <c r="D1000" i="3"/>
  <c r="D618" i="3"/>
  <c r="D301" i="3"/>
  <c r="D933" i="3"/>
  <c r="D955" i="3"/>
  <c r="D459" i="3"/>
  <c r="D609" i="3"/>
  <c r="D177" i="3"/>
  <c r="D996" i="3"/>
  <c r="D617" i="3"/>
  <c r="D201" i="3"/>
  <c r="D440" i="3"/>
  <c r="D285" i="3"/>
  <c r="D27" i="3"/>
  <c r="D241" i="3"/>
  <c r="D265" i="3"/>
  <c r="D411" i="3"/>
  <c r="D569" i="3"/>
  <c r="D286" i="3"/>
  <c r="D688" i="3"/>
  <c r="D373" i="3"/>
  <c r="D977" i="3"/>
  <c r="D209" i="3"/>
  <c r="D233" i="3"/>
  <c r="D559" i="3"/>
  <c r="D914" i="3"/>
  <c r="D409" i="3"/>
  <c r="D659" i="3"/>
  <c r="D952" i="3"/>
  <c r="D621" i="3"/>
  <c r="D923" i="3"/>
  <c r="D129" i="3"/>
  <c r="D954" i="3"/>
  <c r="D153" i="3"/>
  <c r="D641" i="3"/>
  <c r="D682" i="3"/>
  <c r="D561" i="3"/>
  <c r="D436" i="3"/>
  <c r="D203" i="3"/>
  <c r="D385" i="3"/>
  <c r="D454" i="3"/>
  <c r="D23" i="3"/>
  <c r="D58" i="3"/>
  <c r="D885" i="3"/>
  <c r="D588" i="3"/>
  <c r="D715" i="3"/>
  <c r="D897" i="3"/>
  <c r="D825" i="3"/>
  <c r="D9" i="3"/>
  <c r="D391" i="3"/>
  <c r="D298" i="3"/>
  <c r="D997" i="3"/>
  <c r="D60" i="3"/>
  <c r="D539" i="3"/>
  <c r="D657" i="3"/>
  <c r="D665" i="3"/>
  <c r="D578" i="3"/>
  <c r="D491" i="3"/>
  <c r="D649" i="3"/>
  <c r="D895" i="3"/>
  <c r="D344" i="3"/>
  <c r="C290" i="3"/>
  <c r="C738" i="3"/>
  <c r="C98" i="3"/>
  <c r="C162" i="3"/>
  <c r="C845" i="3"/>
  <c r="C237" i="3"/>
  <c r="C952" i="3"/>
  <c r="C152" i="3"/>
  <c r="C813" i="3"/>
  <c r="C610" i="3"/>
  <c r="C717" i="3"/>
  <c r="C386" i="3"/>
  <c r="C56" i="3"/>
  <c r="C973" i="3"/>
  <c r="C472" i="3"/>
  <c r="C376" i="3"/>
  <c r="C696" i="3"/>
  <c r="C728" i="3"/>
  <c r="C141" i="3"/>
  <c r="C568" i="3"/>
  <c r="C322" i="3"/>
  <c r="C45" i="3"/>
  <c r="C130" i="3"/>
  <c r="C930" i="3"/>
  <c r="C226" i="3"/>
  <c r="C898" i="3"/>
  <c r="C258" i="3"/>
  <c r="C941" i="3"/>
  <c r="C621" i="3"/>
  <c r="C760" i="3"/>
  <c r="C984" i="3"/>
  <c r="C66" i="3"/>
  <c r="C397" i="3"/>
  <c r="C269" i="3"/>
  <c r="C13" i="3"/>
  <c r="C493" i="3"/>
  <c r="C824" i="3"/>
  <c r="C461" i="3"/>
  <c r="C173" i="3"/>
  <c r="C24" i="3"/>
  <c r="C792" i="3"/>
  <c r="C312" i="3"/>
  <c r="C184" i="3"/>
  <c r="C589" i="3"/>
  <c r="C333" i="3"/>
  <c r="C344" i="3"/>
  <c r="C109" i="3"/>
  <c r="C877" i="3"/>
  <c r="C205" i="3"/>
  <c r="C31" i="3"/>
  <c r="C95" i="3"/>
  <c r="C159" i="3"/>
  <c r="C223" i="3"/>
  <c r="C287" i="3"/>
  <c r="C351" i="3"/>
  <c r="C632" i="3"/>
  <c r="C248" i="3"/>
  <c r="C664" i="3"/>
  <c r="C514" i="3"/>
  <c r="C280" i="3"/>
  <c r="C994" i="3"/>
  <c r="C749" i="3"/>
  <c r="C47" i="3"/>
  <c r="C111" i="3"/>
  <c r="C175" i="3"/>
  <c r="C239" i="3"/>
  <c r="C303" i="3"/>
  <c r="C367" i="3"/>
  <c r="C600" i="3"/>
  <c r="C706" i="3"/>
  <c r="C653" i="3"/>
  <c r="C408" i="3"/>
  <c r="C55" i="3"/>
  <c r="C135" i="3"/>
  <c r="C215" i="3"/>
  <c r="C311" i="3"/>
  <c r="C391" i="3"/>
  <c r="C455" i="3"/>
  <c r="C519" i="3"/>
  <c r="C583" i="3"/>
  <c r="C647" i="3"/>
  <c r="C711" i="3"/>
  <c r="C775" i="3"/>
  <c r="C839" i="3"/>
  <c r="C903" i="3"/>
  <c r="C967" i="3"/>
  <c r="C28" i="3"/>
  <c r="C92" i="3"/>
  <c r="C156" i="3"/>
  <c r="C220" i="3"/>
  <c r="C284" i="3"/>
  <c r="C348" i="3"/>
  <c r="C412" i="3"/>
  <c r="C476" i="3"/>
  <c r="C540" i="3"/>
  <c r="C604" i="3"/>
  <c r="C668" i="3"/>
  <c r="C732" i="3"/>
  <c r="C796" i="3"/>
  <c r="C860" i="3"/>
  <c r="C924" i="3"/>
  <c r="C988" i="3"/>
  <c r="C954" i="3"/>
  <c r="C869" i="3"/>
  <c r="C784" i="3"/>
  <c r="C698" i="3"/>
  <c r="C613" i="3"/>
  <c r="C528" i="3"/>
  <c r="C442" i="3"/>
  <c r="C357" i="3"/>
  <c r="C272" i="3"/>
  <c r="C186" i="3"/>
  <c r="C101" i="3"/>
  <c r="C16" i="3"/>
  <c r="C920" i="3"/>
  <c r="C685" i="3"/>
  <c r="C962" i="3"/>
  <c r="C546" i="3"/>
  <c r="C301" i="3"/>
  <c r="C63" i="3"/>
  <c r="C143" i="3"/>
  <c r="C231" i="3"/>
  <c r="C319" i="3"/>
  <c r="C399" i="3"/>
  <c r="C463" i="3"/>
  <c r="C527" i="3"/>
  <c r="C591" i="3"/>
  <c r="C655" i="3"/>
  <c r="C719" i="3"/>
  <c r="C783" i="3"/>
  <c r="C847" i="3"/>
  <c r="C911" i="3"/>
  <c r="C975" i="3"/>
  <c r="C36" i="3"/>
  <c r="C100" i="3"/>
  <c r="C164" i="3"/>
  <c r="C228" i="3"/>
  <c r="C292" i="3"/>
  <c r="C356" i="3"/>
  <c r="C420" i="3"/>
  <c r="C484" i="3"/>
  <c r="C548" i="3"/>
  <c r="C612" i="3"/>
  <c r="C676" i="3"/>
  <c r="C740" i="3"/>
  <c r="C804" i="3"/>
  <c r="C868" i="3"/>
  <c r="C932" i="3"/>
  <c r="C996" i="3"/>
  <c r="C944" i="3"/>
  <c r="C858" i="3"/>
  <c r="C773" i="3"/>
  <c r="C688" i="3"/>
  <c r="C602" i="3"/>
  <c r="C517" i="3"/>
  <c r="C432" i="3"/>
  <c r="C346" i="3"/>
  <c r="C261" i="3"/>
  <c r="C176" i="3"/>
  <c r="C90" i="3"/>
  <c r="C5" i="3"/>
  <c r="C953" i="3"/>
  <c r="C867" i="3"/>
  <c r="C782" i="3"/>
  <c r="C697" i="3"/>
  <c r="C611" i="3"/>
  <c r="C526" i="3"/>
  <c r="C441" i="3"/>
  <c r="C355" i="3"/>
  <c r="C270" i="3"/>
  <c r="C185" i="3"/>
  <c r="C99" i="3"/>
  <c r="C14" i="3"/>
  <c r="C354" i="3"/>
  <c r="C482" i="3"/>
  <c r="C802" i="3"/>
  <c r="C856" i="3"/>
  <c r="C77" i="3"/>
  <c r="C79" i="3"/>
  <c r="C167" i="3"/>
  <c r="C255" i="3"/>
  <c r="C335" i="3"/>
  <c r="C415" i="3"/>
  <c r="C479" i="3"/>
  <c r="C543" i="3"/>
  <c r="C607" i="3"/>
  <c r="C671" i="3"/>
  <c r="C735" i="3"/>
  <c r="C799" i="3"/>
  <c r="C863" i="3"/>
  <c r="C927" i="3"/>
  <c r="C991" i="3"/>
  <c r="C52" i="3"/>
  <c r="C116" i="3"/>
  <c r="C180" i="3"/>
  <c r="C244" i="3"/>
  <c r="C308" i="3"/>
  <c r="C372" i="3"/>
  <c r="C436" i="3"/>
  <c r="C500" i="3"/>
  <c r="C564" i="3"/>
  <c r="C628" i="3"/>
  <c r="C692" i="3"/>
  <c r="C756" i="3"/>
  <c r="C820" i="3"/>
  <c r="C884" i="3"/>
  <c r="C948" i="3"/>
  <c r="C922" i="3"/>
  <c r="C837" i="3"/>
  <c r="C752" i="3"/>
  <c r="C666" i="3"/>
  <c r="C581" i="3"/>
  <c r="C496" i="3"/>
  <c r="C410" i="3"/>
  <c r="C325" i="3"/>
  <c r="C240" i="3"/>
  <c r="C154" i="3"/>
  <c r="C69" i="3"/>
  <c r="C931" i="3"/>
  <c r="C846" i="3"/>
  <c r="C761" i="3"/>
  <c r="C675" i="3"/>
  <c r="C590" i="3"/>
  <c r="C505" i="3"/>
  <c r="C419" i="3"/>
  <c r="C334" i="3"/>
  <c r="C249" i="3"/>
  <c r="C163" i="3"/>
  <c r="C78" i="3"/>
  <c r="C578" i="3"/>
  <c r="C674" i="3"/>
  <c r="C88" i="3"/>
  <c r="C87" i="3"/>
  <c r="C207" i="3"/>
  <c r="C359" i="3"/>
  <c r="C471" i="3"/>
  <c r="C567" i="3"/>
  <c r="C679" i="3"/>
  <c r="C767" i="3"/>
  <c r="C879" i="3"/>
  <c r="C983" i="3"/>
  <c r="C76" i="3"/>
  <c r="C188" i="3"/>
  <c r="C276" i="3"/>
  <c r="C388" i="3"/>
  <c r="C492" i="3"/>
  <c r="C588" i="3"/>
  <c r="C700" i="3"/>
  <c r="C788" i="3"/>
  <c r="C900" i="3"/>
  <c r="C901" i="3"/>
  <c r="C762" i="3"/>
  <c r="C634" i="3"/>
  <c r="C485" i="3"/>
  <c r="C368" i="3"/>
  <c r="C218" i="3"/>
  <c r="C80" i="3"/>
  <c r="C921" i="3"/>
  <c r="C814" i="3"/>
  <c r="C707" i="3"/>
  <c r="C579" i="3"/>
  <c r="C473" i="3"/>
  <c r="C366" i="3"/>
  <c r="C238" i="3"/>
  <c r="C131" i="3"/>
  <c r="C25" i="3"/>
  <c r="C938" i="3"/>
  <c r="C853" i="3"/>
  <c r="C768" i="3"/>
  <c r="C682" i="3"/>
  <c r="C597" i="3"/>
  <c r="C512" i="3"/>
  <c r="C426" i="3"/>
  <c r="C341" i="3"/>
  <c r="C256" i="3"/>
  <c r="C170" i="3"/>
  <c r="C85" i="3"/>
  <c r="C841" i="3"/>
  <c r="C371" i="3"/>
  <c r="C243" i="3"/>
  <c r="C147" i="3"/>
  <c r="C62" i="3"/>
  <c r="C120" i="3"/>
  <c r="C429" i="3"/>
  <c r="C103" i="3"/>
  <c r="C247" i="3"/>
  <c r="C375" i="3"/>
  <c r="C487" i="3"/>
  <c r="C575" i="3"/>
  <c r="C687" i="3"/>
  <c r="C791" i="3"/>
  <c r="C887" i="3"/>
  <c r="C999" i="3"/>
  <c r="C84" i="3"/>
  <c r="C196" i="3"/>
  <c r="C300" i="3"/>
  <c r="C396" i="3"/>
  <c r="C508" i="3"/>
  <c r="C596" i="3"/>
  <c r="C708" i="3"/>
  <c r="C812" i="3"/>
  <c r="C908" i="3"/>
  <c r="C890" i="3"/>
  <c r="C741" i="3"/>
  <c r="C624" i="3"/>
  <c r="C474" i="3"/>
  <c r="C336" i="3"/>
  <c r="C208" i="3"/>
  <c r="C58" i="3"/>
  <c r="C910" i="3"/>
  <c r="C803" i="3"/>
  <c r="C686" i="3"/>
  <c r="C569" i="3"/>
  <c r="C462" i="3"/>
  <c r="C345" i="3"/>
  <c r="C227" i="3"/>
  <c r="C121" i="3"/>
  <c r="C3" i="3"/>
  <c r="C928" i="3"/>
  <c r="C842" i="3"/>
  <c r="C757" i="3"/>
  <c r="C672" i="3"/>
  <c r="C586" i="3"/>
  <c r="C501" i="3"/>
  <c r="C416" i="3"/>
  <c r="C330" i="3"/>
  <c r="C245" i="3"/>
  <c r="C160" i="3"/>
  <c r="C74" i="3"/>
  <c r="C777" i="3"/>
  <c r="C339" i="3"/>
  <c r="C233" i="3"/>
  <c r="C137" i="3"/>
  <c r="C51" i="3"/>
  <c r="C781" i="3"/>
  <c r="C770" i="3"/>
  <c r="C119" i="3"/>
  <c r="C263" i="3"/>
  <c r="C383" i="3"/>
  <c r="C495" i="3"/>
  <c r="C599" i="3"/>
  <c r="C695" i="3"/>
  <c r="C807" i="3"/>
  <c r="C895" i="3"/>
  <c r="C4" i="3"/>
  <c r="C108" i="3"/>
  <c r="C204" i="3"/>
  <c r="C316" i="3"/>
  <c r="C404" i="3"/>
  <c r="C516" i="3"/>
  <c r="C620" i="3"/>
  <c r="C716" i="3"/>
  <c r="C828" i="3"/>
  <c r="C916" i="3"/>
  <c r="C997" i="3"/>
  <c r="C880" i="3"/>
  <c r="C730" i="3"/>
  <c r="C592" i="3"/>
  <c r="C464" i="3"/>
  <c r="C314" i="3"/>
  <c r="C197" i="3"/>
  <c r="C48" i="3"/>
  <c r="C899" i="3"/>
  <c r="C793" i="3"/>
  <c r="C665" i="3"/>
  <c r="C558" i="3"/>
  <c r="C451" i="3"/>
  <c r="C323" i="3"/>
  <c r="C217" i="3"/>
  <c r="C110" i="3"/>
  <c r="C34" i="3"/>
  <c r="C557" i="3"/>
  <c r="C194" i="3"/>
  <c r="C888" i="3"/>
  <c r="C866" i="3"/>
  <c r="C7" i="3"/>
  <c r="C127" i="3"/>
  <c r="C271" i="3"/>
  <c r="C407" i="3"/>
  <c r="C503" i="3"/>
  <c r="C615" i="3"/>
  <c r="C703" i="3"/>
  <c r="C815" i="3"/>
  <c r="C919" i="3"/>
  <c r="C12" i="3"/>
  <c r="C124" i="3"/>
  <c r="C212" i="3"/>
  <c r="C324" i="3"/>
  <c r="C428" i="3"/>
  <c r="C524" i="3"/>
  <c r="C636" i="3"/>
  <c r="C724" i="3"/>
  <c r="C836" i="3"/>
  <c r="C940" i="3"/>
  <c r="C986" i="3"/>
  <c r="C848" i="3"/>
  <c r="C720" i="3"/>
  <c r="C570" i="3"/>
  <c r="C453" i="3"/>
  <c r="C304" i="3"/>
  <c r="C165" i="3"/>
  <c r="C37" i="3"/>
  <c r="C995" i="3"/>
  <c r="C889" i="3"/>
  <c r="C771" i="3"/>
  <c r="C654" i="3"/>
  <c r="C547" i="3"/>
  <c r="C430" i="3"/>
  <c r="C313" i="3"/>
  <c r="C206" i="3"/>
  <c r="C89" i="3"/>
  <c r="C992" i="3"/>
  <c r="C906" i="3"/>
  <c r="C821" i="3"/>
  <c r="C736" i="3"/>
  <c r="C650" i="3"/>
  <c r="C565" i="3"/>
  <c r="C480" i="3"/>
  <c r="C394" i="3"/>
  <c r="C309" i="3"/>
  <c r="C224" i="3"/>
  <c r="C138" i="3"/>
  <c r="C53" i="3"/>
  <c r="C649" i="3"/>
  <c r="C307" i="3"/>
  <c r="C211" i="3"/>
  <c r="C115" i="3"/>
  <c r="C30" i="3"/>
  <c r="C365" i="3"/>
  <c r="C642" i="3"/>
  <c r="C15" i="3"/>
  <c r="C279" i="3"/>
  <c r="C511" i="3"/>
  <c r="C727" i="3"/>
  <c r="C935" i="3"/>
  <c r="C132" i="3"/>
  <c r="C332" i="3"/>
  <c r="C532" i="3"/>
  <c r="C748" i="3"/>
  <c r="C956" i="3"/>
  <c r="C826" i="3"/>
  <c r="C560" i="3"/>
  <c r="C450" i="3"/>
  <c r="C525" i="3"/>
  <c r="C23" i="3"/>
  <c r="C295" i="3"/>
  <c r="C535" i="3"/>
  <c r="C743" i="3"/>
  <c r="C943" i="3"/>
  <c r="C140" i="3"/>
  <c r="C340" i="3"/>
  <c r="C556" i="3"/>
  <c r="C764" i="3"/>
  <c r="C964" i="3"/>
  <c r="C816" i="3"/>
  <c r="C549" i="3"/>
  <c r="C282" i="3"/>
  <c r="C857" i="3"/>
  <c r="C633" i="3"/>
  <c r="C398" i="3"/>
  <c r="C174" i="3"/>
  <c r="C960" i="3"/>
  <c r="C810" i="3"/>
  <c r="C693" i="3"/>
  <c r="C544" i="3"/>
  <c r="C405" i="3"/>
  <c r="C277" i="3"/>
  <c r="C128" i="3"/>
  <c r="C10" i="3"/>
  <c r="C536" i="3"/>
  <c r="C39" i="3"/>
  <c r="C327" i="3"/>
  <c r="C551" i="3"/>
  <c r="C751" i="3"/>
  <c r="C951" i="3"/>
  <c r="C148" i="3"/>
  <c r="C364" i="3"/>
  <c r="C572" i="3"/>
  <c r="C772" i="3"/>
  <c r="C972" i="3"/>
  <c r="C805" i="3"/>
  <c r="C538" i="3"/>
  <c r="C250" i="3"/>
  <c r="C835" i="3"/>
  <c r="C622" i="3"/>
  <c r="C387" i="3"/>
  <c r="C153" i="3"/>
  <c r="C949" i="3"/>
  <c r="C800" i="3"/>
  <c r="C661" i="3"/>
  <c r="C533" i="3"/>
  <c r="C384" i="3"/>
  <c r="C266" i="3"/>
  <c r="C117" i="3"/>
  <c r="C979" i="3"/>
  <c r="C297" i="3"/>
  <c r="C158" i="3"/>
  <c r="C9" i="3"/>
  <c r="C504" i="3"/>
  <c r="C834" i="3"/>
  <c r="C71" i="3"/>
  <c r="C343" i="3"/>
  <c r="C559" i="3"/>
  <c r="C759" i="3"/>
  <c r="C959" i="3"/>
  <c r="C172" i="3"/>
  <c r="C380" i="3"/>
  <c r="C580" i="3"/>
  <c r="C780" i="3"/>
  <c r="C980" i="3"/>
  <c r="C794" i="3"/>
  <c r="C506" i="3"/>
  <c r="C229" i="3"/>
  <c r="C825" i="3"/>
  <c r="C601" i="3"/>
  <c r="C377" i="3"/>
  <c r="C142" i="3"/>
  <c r="C917" i="3"/>
  <c r="C789" i="3"/>
  <c r="C640" i="3"/>
  <c r="C522" i="3"/>
  <c r="C373" i="3"/>
  <c r="C234" i="3"/>
  <c r="C106" i="3"/>
  <c r="C423" i="3"/>
  <c r="C823" i="3"/>
  <c r="C236" i="3"/>
  <c r="C644" i="3"/>
  <c r="C976" i="3"/>
  <c r="C421" i="3"/>
  <c r="C112" i="3"/>
  <c r="C974" i="3"/>
  <c r="C643" i="3"/>
  <c r="C281" i="3"/>
  <c r="C981" i="3"/>
  <c r="C746" i="3"/>
  <c r="C554" i="3"/>
  <c r="C320" i="3"/>
  <c r="C96" i="3"/>
  <c r="C909" i="3"/>
  <c r="C2" i="3"/>
  <c r="C447" i="3"/>
  <c r="C871" i="3"/>
  <c r="C268" i="3"/>
  <c r="C684" i="3"/>
  <c r="C912" i="3"/>
  <c r="C378" i="3"/>
  <c r="C878" i="3"/>
  <c r="C494" i="3"/>
  <c r="C67" i="3"/>
  <c r="C885" i="3"/>
  <c r="C704" i="3"/>
  <c r="C458" i="3"/>
  <c r="C213" i="3"/>
  <c r="C32" i="3"/>
  <c r="C275" i="3"/>
  <c r="C105" i="3"/>
  <c r="C191" i="3"/>
  <c r="C639" i="3"/>
  <c r="C60" i="3"/>
  <c r="C460" i="3"/>
  <c r="C876" i="3"/>
  <c r="C656" i="3"/>
  <c r="C133" i="3"/>
  <c r="C729" i="3"/>
  <c r="C302" i="3"/>
  <c r="C35" i="3"/>
  <c r="C832" i="3"/>
  <c r="C608" i="3"/>
  <c r="C362" i="3"/>
  <c r="C181" i="3"/>
  <c r="C585" i="3"/>
  <c r="C222" i="3"/>
  <c r="C73" i="3"/>
  <c r="C151" i="3"/>
  <c r="C831" i="3"/>
  <c r="C452" i="3"/>
  <c r="C293" i="3"/>
  <c r="C985" i="3"/>
  <c r="C483" i="3"/>
  <c r="C970" i="3"/>
  <c r="C618" i="3"/>
  <c r="C288" i="3"/>
  <c r="C254" i="3"/>
  <c r="C19" i="3"/>
  <c r="C958" i="3"/>
  <c r="C862" i="3"/>
  <c r="C755" i="3"/>
  <c r="C659" i="3"/>
  <c r="C553" i="3"/>
  <c r="C446" i="3"/>
  <c r="C329" i="3"/>
  <c r="C936" i="3"/>
  <c r="C850" i="3"/>
  <c r="C765" i="3"/>
  <c r="C680" i="3"/>
  <c r="C594" i="3"/>
  <c r="C509" i="3"/>
  <c r="C424" i="3"/>
  <c r="C338" i="3"/>
  <c r="C253" i="3"/>
  <c r="C168" i="3"/>
  <c r="C82" i="3"/>
  <c r="C929" i="3"/>
  <c r="C843" i="3"/>
  <c r="C758" i="3"/>
  <c r="C673" i="3"/>
  <c r="C587" i="3"/>
  <c r="C502" i="3"/>
  <c r="C417" i="3"/>
  <c r="C331" i="3"/>
  <c r="C246" i="3"/>
  <c r="C161" i="3"/>
  <c r="C75" i="3"/>
  <c r="C987" i="3"/>
  <c r="C902" i="3"/>
  <c r="C817" i="3"/>
  <c r="C731" i="3"/>
  <c r="C646" i="3"/>
  <c r="C561" i="3"/>
  <c r="C475" i="3"/>
  <c r="C390" i="3"/>
  <c r="C305" i="3"/>
  <c r="C219" i="3"/>
  <c r="C134" i="3"/>
  <c r="C49" i="3"/>
  <c r="C440" i="3"/>
  <c r="C183" i="3"/>
  <c r="C855" i="3"/>
  <c r="C468" i="3"/>
  <c r="C965" i="3"/>
  <c r="C144" i="3"/>
  <c r="C963" i="3"/>
  <c r="C409" i="3"/>
  <c r="C896" i="3"/>
  <c r="C576" i="3"/>
  <c r="C202" i="3"/>
  <c r="C905" i="3"/>
  <c r="C201" i="3"/>
  <c r="C947" i="3"/>
  <c r="C851" i="3"/>
  <c r="C745" i="3"/>
  <c r="C638" i="3"/>
  <c r="C542" i="3"/>
  <c r="C435" i="3"/>
  <c r="C286" i="3"/>
  <c r="C925" i="3"/>
  <c r="C840" i="3"/>
  <c r="C754" i="3"/>
  <c r="C669" i="3"/>
  <c r="C584" i="3"/>
  <c r="C498" i="3"/>
  <c r="C413" i="3"/>
  <c r="C328" i="3"/>
  <c r="C242" i="3"/>
  <c r="C157" i="3"/>
  <c r="C72" i="3"/>
  <c r="C431" i="3"/>
  <c r="C44" i="3"/>
  <c r="C660" i="3"/>
  <c r="C709" i="3"/>
  <c r="C26" i="3"/>
  <c r="C750" i="3"/>
  <c r="C259" i="3"/>
  <c r="C864" i="3"/>
  <c r="C469" i="3"/>
  <c r="C149" i="3"/>
  <c r="C521" i="3"/>
  <c r="C179" i="3"/>
  <c r="C926" i="3"/>
  <c r="C819" i="3"/>
  <c r="C723" i="3"/>
  <c r="C617" i="3"/>
  <c r="C510" i="3"/>
  <c r="C403" i="3"/>
  <c r="C989" i="3"/>
  <c r="C904" i="3"/>
  <c r="C818" i="3"/>
  <c r="C733" i="3"/>
  <c r="C648" i="3"/>
  <c r="C562" i="3"/>
  <c r="C477" i="3"/>
  <c r="C392" i="3"/>
  <c r="C306" i="3"/>
  <c r="C221" i="3"/>
  <c r="C136" i="3"/>
  <c r="C50" i="3"/>
  <c r="C982" i="3"/>
  <c r="C897" i="3"/>
  <c r="C811" i="3"/>
  <c r="C726" i="3"/>
  <c r="C641" i="3"/>
  <c r="C555" i="3"/>
  <c r="C470" i="3"/>
  <c r="C385" i="3"/>
  <c r="C299" i="3"/>
  <c r="C214" i="3"/>
  <c r="C129" i="3"/>
  <c r="C43" i="3"/>
  <c r="C955" i="3"/>
  <c r="C870" i="3"/>
  <c r="C785" i="3"/>
  <c r="C699" i="3"/>
  <c r="C614" i="3"/>
  <c r="C529" i="3"/>
  <c r="C443" i="3"/>
  <c r="C358" i="3"/>
  <c r="C273" i="3"/>
  <c r="C187" i="3"/>
  <c r="C102" i="3"/>
  <c r="C17" i="3"/>
  <c r="C418" i="3"/>
  <c r="C631" i="3"/>
  <c r="C260" i="3"/>
  <c r="C892" i="3"/>
  <c r="C400" i="3"/>
  <c r="C537" i="3"/>
  <c r="C46" i="3"/>
  <c r="C714" i="3"/>
  <c r="C352" i="3"/>
  <c r="C21" i="3"/>
  <c r="C318" i="3"/>
  <c r="C83" i="3"/>
  <c r="C990" i="3"/>
  <c r="C883" i="3"/>
  <c r="C787" i="3"/>
  <c r="C681" i="3"/>
  <c r="C574" i="3"/>
  <c r="C478" i="3"/>
  <c r="C361" i="3"/>
  <c r="C957" i="3"/>
  <c r="C872" i="3"/>
  <c r="C786" i="3"/>
  <c r="C701" i="3"/>
  <c r="C616" i="3"/>
  <c r="C530" i="3"/>
  <c r="C445" i="3"/>
  <c r="C360" i="3"/>
  <c r="C274" i="3"/>
  <c r="C189" i="3"/>
  <c r="C104" i="3"/>
  <c r="C18" i="3"/>
  <c r="C950" i="3"/>
  <c r="C865" i="3"/>
  <c r="C779" i="3"/>
  <c r="C694" i="3"/>
  <c r="C609" i="3"/>
  <c r="C523" i="3"/>
  <c r="C438" i="3"/>
  <c r="C353" i="3"/>
  <c r="C267" i="3"/>
  <c r="C182" i="3"/>
  <c r="C97" i="3"/>
  <c r="C11" i="3"/>
  <c r="C923" i="3"/>
  <c r="C838" i="3"/>
  <c r="C753" i="3"/>
  <c r="C667" i="3"/>
  <c r="C582" i="3"/>
  <c r="C497" i="3"/>
  <c r="C411" i="3"/>
  <c r="C326" i="3"/>
  <c r="C241" i="3"/>
  <c r="C155" i="3"/>
  <c r="C70" i="3"/>
  <c r="C199" i="3"/>
  <c r="C652" i="3"/>
  <c r="C933" i="3"/>
  <c r="C291" i="3"/>
  <c r="C490" i="3"/>
  <c r="C713" i="3"/>
  <c r="C830" i="3"/>
  <c r="C627" i="3"/>
  <c r="C425" i="3"/>
  <c r="C914" i="3"/>
  <c r="C744" i="3"/>
  <c r="C573" i="3"/>
  <c r="C402" i="3"/>
  <c r="C232" i="3"/>
  <c r="C61" i="3"/>
  <c r="C875" i="3"/>
  <c r="C737" i="3"/>
  <c r="C598" i="3"/>
  <c r="C459" i="3"/>
  <c r="C321" i="3"/>
  <c r="C193" i="3"/>
  <c r="C54" i="3"/>
  <c r="C891" i="3"/>
  <c r="C763" i="3"/>
  <c r="C625" i="3"/>
  <c r="C486" i="3"/>
  <c r="C347" i="3"/>
  <c r="C209" i="3"/>
  <c r="C81" i="3"/>
  <c r="C439" i="3"/>
  <c r="C844" i="3"/>
  <c r="C677" i="3"/>
  <c r="C195" i="3"/>
  <c r="C448" i="3"/>
  <c r="C467" i="3"/>
  <c r="C809" i="3"/>
  <c r="C606" i="3"/>
  <c r="C393" i="3"/>
  <c r="C893" i="3"/>
  <c r="C722" i="3"/>
  <c r="C552" i="3"/>
  <c r="C381" i="3"/>
  <c r="C210" i="3"/>
  <c r="C40" i="3"/>
  <c r="C993" i="3"/>
  <c r="C854" i="3"/>
  <c r="C715" i="3"/>
  <c r="C577" i="3"/>
  <c r="C449" i="3"/>
  <c r="C310" i="3"/>
  <c r="C171" i="3"/>
  <c r="C33" i="3"/>
  <c r="C881" i="3"/>
  <c r="C742" i="3"/>
  <c r="C603" i="3"/>
  <c r="C465" i="3"/>
  <c r="C337" i="3"/>
  <c r="C198" i="3"/>
  <c r="C59" i="3"/>
  <c r="C623" i="3"/>
  <c r="C852" i="3"/>
  <c r="C645" i="3"/>
  <c r="C57" i="3"/>
  <c r="C437" i="3"/>
  <c r="C414" i="3"/>
  <c r="C1001" i="3"/>
  <c r="C798" i="3"/>
  <c r="C595" i="3"/>
  <c r="C382" i="3"/>
  <c r="C882" i="3"/>
  <c r="C712" i="3"/>
  <c r="C541" i="3"/>
  <c r="C370" i="3"/>
  <c r="C200" i="3"/>
  <c r="C29" i="3"/>
  <c r="C971" i="3"/>
  <c r="C833" i="3"/>
  <c r="C705" i="3"/>
  <c r="C566" i="3"/>
  <c r="C427" i="3"/>
  <c r="C289" i="3"/>
  <c r="C150" i="3"/>
  <c r="C22" i="3"/>
  <c r="C998" i="3"/>
  <c r="C859" i="3"/>
  <c r="C721" i="3"/>
  <c r="C593" i="3"/>
  <c r="C454" i="3"/>
  <c r="C315" i="3"/>
  <c r="C177" i="3"/>
  <c r="C38" i="3"/>
  <c r="C252" i="3"/>
  <c r="C718" i="3"/>
  <c r="C725" i="3"/>
  <c r="C42" i="3"/>
  <c r="C94" i="3"/>
  <c r="C894" i="3"/>
  <c r="C691" i="3"/>
  <c r="C489" i="3"/>
  <c r="C968" i="3"/>
  <c r="C797" i="3"/>
  <c r="C626" i="3"/>
  <c r="C456" i="3"/>
  <c r="C285" i="3"/>
  <c r="C114" i="3"/>
  <c r="C907" i="3"/>
  <c r="C769" i="3"/>
  <c r="C630" i="3"/>
  <c r="C491" i="3"/>
  <c r="C363" i="3"/>
  <c r="C225" i="3"/>
  <c r="C86" i="3"/>
  <c r="C934" i="3"/>
  <c r="C795" i="3"/>
  <c r="C657" i="3"/>
  <c r="C518" i="3"/>
  <c r="C379" i="3"/>
  <c r="C251" i="3"/>
  <c r="C113" i="3"/>
  <c r="C298" i="3"/>
  <c r="C969" i="3"/>
  <c r="C563" i="3"/>
  <c r="C861" i="3"/>
  <c r="C520" i="3"/>
  <c r="C178" i="3"/>
  <c r="C822" i="3"/>
  <c r="C545" i="3"/>
  <c r="C278" i="3"/>
  <c r="C977" i="3"/>
  <c r="C710" i="3"/>
  <c r="C433" i="3"/>
  <c r="C166" i="3"/>
  <c r="C192" i="3"/>
  <c r="C937" i="3"/>
  <c r="C531" i="3"/>
  <c r="C829" i="3"/>
  <c r="C488" i="3"/>
  <c r="C146" i="3"/>
  <c r="C801" i="3"/>
  <c r="C534" i="3"/>
  <c r="C257" i="3"/>
  <c r="C966" i="3"/>
  <c r="C689" i="3"/>
  <c r="C422" i="3"/>
  <c r="C145" i="3"/>
  <c r="C873" i="3"/>
  <c r="C457" i="3"/>
  <c r="C776" i="3"/>
  <c r="C434" i="3"/>
  <c r="C93" i="3"/>
  <c r="C747" i="3"/>
  <c r="C481" i="3"/>
  <c r="C203" i="3"/>
  <c r="C913" i="3"/>
  <c r="C635" i="3"/>
  <c r="C369" i="3"/>
  <c r="C91" i="3"/>
  <c r="C663" i="3"/>
  <c r="C389" i="3"/>
  <c r="C265" i="3"/>
  <c r="C68" i="3"/>
  <c r="C739" i="3"/>
  <c r="C778" i="3"/>
  <c r="C126" i="3"/>
  <c r="C702" i="3"/>
  <c r="C978" i="3"/>
  <c r="C637" i="3"/>
  <c r="C296" i="3"/>
  <c r="C918" i="3"/>
  <c r="C651" i="3"/>
  <c r="C374" i="3"/>
  <c r="C107" i="3"/>
  <c r="C806" i="3"/>
  <c r="C539" i="3"/>
  <c r="C262" i="3"/>
  <c r="C444" i="3"/>
  <c r="C64" i="3"/>
  <c r="C350" i="3"/>
  <c r="C690" i="3"/>
  <c r="C8" i="3"/>
  <c r="C683" i="3"/>
  <c r="C139" i="3"/>
  <c r="C571" i="3"/>
  <c r="C27" i="3"/>
  <c r="C734" i="3"/>
  <c r="C317" i="3"/>
  <c r="C939" i="3"/>
  <c r="C283" i="3"/>
  <c r="C342" i="3"/>
  <c r="C629" i="3"/>
  <c r="C790" i="3"/>
  <c r="C678" i="3"/>
  <c r="C216" i="3"/>
  <c r="C190" i="3"/>
  <c r="C169" i="3"/>
  <c r="C658" i="3"/>
  <c r="C662" i="3"/>
  <c r="C118" i="3"/>
  <c r="C550" i="3"/>
  <c r="C6" i="3"/>
  <c r="C20" i="3"/>
  <c r="C808" i="3"/>
  <c r="C122" i="3"/>
  <c r="C41" i="3"/>
  <c r="C605" i="3"/>
  <c r="C619" i="3"/>
  <c r="C65" i="3"/>
  <c r="C507" i="3"/>
  <c r="C1000" i="3"/>
  <c r="C827" i="3"/>
  <c r="C874" i="3"/>
  <c r="C946" i="3"/>
  <c r="C774" i="3"/>
  <c r="C499" i="3"/>
  <c r="C123" i="3"/>
  <c r="C915" i="3"/>
  <c r="C466" i="3"/>
  <c r="C513" i="3"/>
  <c r="C945" i="3"/>
  <c r="C401" i="3"/>
  <c r="C766" i="3"/>
  <c r="C349" i="3"/>
  <c r="C961" i="3"/>
  <c r="C406" i="3"/>
  <c r="C849" i="3"/>
  <c r="C294" i="3"/>
  <c r="C942" i="3"/>
  <c r="C395" i="3"/>
  <c r="C515" i="3"/>
  <c r="C670" i="3"/>
  <c r="C264" i="3"/>
  <c r="C886" i="3"/>
  <c r="C230" i="3"/>
  <c r="C125" i="3"/>
  <c r="C235" i="3"/>
  <c r="C46" i="4"/>
  <c r="C298" i="4"/>
  <c r="C118" i="4"/>
  <c r="C390" i="4"/>
  <c r="C582" i="4"/>
  <c r="C757" i="4"/>
  <c r="C949" i="4"/>
  <c r="C185" i="4"/>
  <c r="C434" i="4"/>
  <c r="C635" i="4"/>
  <c r="C832" i="4"/>
  <c r="C93" i="4"/>
  <c r="C497" i="4"/>
  <c r="C731" i="4"/>
  <c r="C977" i="4"/>
  <c r="C158" i="4"/>
  <c r="C501" i="4"/>
  <c r="C746" i="4"/>
  <c r="C226" i="4"/>
  <c r="C552" i="4"/>
  <c r="C776" i="4"/>
  <c r="C315" i="4"/>
  <c r="C605" i="4"/>
  <c r="C842" i="4"/>
  <c r="C381" i="4"/>
  <c r="C646" i="4"/>
  <c r="C893" i="4"/>
  <c r="C416" i="4"/>
  <c r="C490" i="4"/>
  <c r="C561" i="4"/>
  <c r="C667" i="4"/>
  <c r="C721" i="4"/>
  <c r="C838" i="4"/>
  <c r="C902" i="4"/>
  <c r="C285" i="4"/>
  <c r="C946" i="4"/>
  <c r="C923" i="4"/>
  <c r="C2" i="4"/>
  <c r="C693" i="4"/>
  <c r="C445" i="4"/>
  <c r="C861" i="4"/>
  <c r="C817" i="4"/>
  <c r="C913" i="4"/>
  <c r="C21" i="4"/>
  <c r="C778" i="4"/>
  <c r="C530" i="4"/>
  <c r="C753" i="4"/>
  <c r="C690" i="4"/>
  <c r="C808" i="4"/>
  <c r="C137" i="4"/>
  <c r="C872" i="4"/>
  <c r="C626" i="4"/>
  <c r="C637" i="4"/>
  <c r="C69" i="4"/>
  <c r="C213" i="4"/>
  <c r="C323" i="4"/>
  <c r="C520" i="4"/>
  <c r="C261" i="4"/>
  <c r="C968" i="4"/>
  <c r="C123" i="4"/>
  <c r="C682" i="4"/>
  <c r="C957" i="4"/>
  <c r="C512" i="4"/>
  <c r="C379" i="4"/>
  <c r="C571" i="4"/>
  <c r="C43" i="4"/>
  <c r="C405" i="4"/>
  <c r="C209" i="4"/>
  <c r="C360" i="4"/>
  <c r="C341" i="4"/>
  <c r="C437" i="4"/>
  <c r="C891" i="4"/>
  <c r="C616" i="4"/>
  <c r="C864" i="4"/>
  <c r="C349" i="4"/>
  <c r="C786" i="4"/>
  <c r="C251" i="4"/>
  <c r="C466" i="4"/>
  <c r="C797" i="4"/>
  <c r="C672" i="4"/>
  <c r="C110" i="4"/>
  <c r="C586" i="4"/>
  <c r="C57" i="4"/>
  <c r="C475" i="4"/>
  <c r="C722" i="4"/>
  <c r="C456" i="4"/>
  <c r="C411" i="4"/>
  <c r="C661" i="4"/>
  <c r="C352" i="4"/>
  <c r="C928" i="4"/>
  <c r="C195" i="4"/>
  <c r="C465" i="4"/>
  <c r="C221" i="4"/>
  <c r="C987" i="4"/>
  <c r="C608" i="4"/>
  <c r="C917" i="4"/>
  <c r="C182" i="4"/>
  <c r="C274" i="4"/>
  <c r="C17" i="4"/>
  <c r="C576" i="4"/>
  <c r="C853" i="4"/>
  <c r="C249" i="4"/>
  <c r="C701" i="4"/>
  <c r="C742" i="4"/>
  <c r="C329" i="4"/>
  <c r="C286" i="4"/>
  <c r="C768" i="4"/>
  <c r="C310" i="4"/>
  <c r="C1000" i="4"/>
  <c r="C712" i="4"/>
  <c r="C238" i="4"/>
  <c r="C550" i="4"/>
  <c r="C597" i="4"/>
  <c r="C106" i="4"/>
  <c r="C978" i="4"/>
  <c r="C486" i="4"/>
  <c r="C522" i="4"/>
  <c r="C426" i="4"/>
  <c r="C82" i="4"/>
  <c r="C938" i="4"/>
  <c r="C171" i="4"/>
  <c r="C81" i="4"/>
  <c r="C657" i="4"/>
  <c r="C149" i="4"/>
  <c r="C541" i="4"/>
  <c r="C806" i="4"/>
  <c r="C370" i="4"/>
  <c r="C401" i="4"/>
  <c r="C34" i="4"/>
  <c r="C146" i="4"/>
  <c r="C827" i="4"/>
  <c r="C840" i="4"/>
  <c r="C614" i="4"/>
  <c r="C384" i="4"/>
  <c r="C121" i="4"/>
  <c r="C885" i="4"/>
  <c r="C658" i="4"/>
  <c r="C433" i="4"/>
  <c r="C174" i="4"/>
  <c r="C23" i="4"/>
  <c r="C981" i="4"/>
  <c r="C754" i="4"/>
  <c r="C529" i="4"/>
  <c r="C290" i="4"/>
  <c r="C18" i="4"/>
  <c r="C800" i="4"/>
  <c r="C573" i="4"/>
  <c r="C347" i="4"/>
  <c r="C73" i="4"/>
  <c r="C47" i="4"/>
  <c r="C882" i="4"/>
  <c r="C896" i="4"/>
  <c r="C669" i="4"/>
  <c r="C443" i="4"/>
  <c r="C187" i="4"/>
  <c r="C945" i="4"/>
  <c r="C714" i="4"/>
  <c r="C488" i="4"/>
  <c r="C246" i="4"/>
  <c r="C7" i="4"/>
  <c r="C71" i="4"/>
  <c r="C6" i="4"/>
  <c r="C699" i="4"/>
  <c r="C325" i="4"/>
  <c r="C914" i="4"/>
  <c r="C544" i="4"/>
  <c r="C145" i="4"/>
  <c r="C63" i="4"/>
  <c r="C135" i="4"/>
  <c r="C199" i="4"/>
  <c r="C263" i="4"/>
  <c r="C327" i="4"/>
  <c r="C391" i="4"/>
  <c r="C455" i="4"/>
  <c r="C519" i="4"/>
  <c r="C583" i="4"/>
  <c r="C647" i="4"/>
  <c r="C711" i="4"/>
  <c r="C775" i="4"/>
  <c r="C839" i="4"/>
  <c r="C903" i="4"/>
  <c r="C967" i="4"/>
  <c r="C32" i="4"/>
  <c r="C96" i="4"/>
  <c r="C160" i="4"/>
  <c r="C224" i="4"/>
  <c r="C288" i="4"/>
  <c r="C4" i="4"/>
  <c r="C68" i="4"/>
  <c r="C132" i="4"/>
  <c r="C196" i="4"/>
  <c r="C260" i="4"/>
  <c r="C324" i="4"/>
  <c r="C388" i="4"/>
  <c r="C452" i="4"/>
  <c r="C516" i="4"/>
  <c r="C580" i="4"/>
  <c r="C644" i="4"/>
  <c r="C708" i="4"/>
  <c r="C772" i="4"/>
  <c r="C836" i="4"/>
  <c r="C900" i="4"/>
  <c r="C964" i="4"/>
  <c r="C74" i="4"/>
  <c r="C177" i="4"/>
  <c r="C278" i="4"/>
  <c r="C374" i="4"/>
  <c r="C459" i="4"/>
  <c r="C545" i="4"/>
  <c r="C630" i="4"/>
  <c r="C715" i="4"/>
  <c r="C801" i="4"/>
  <c r="C886" i="4"/>
  <c r="C971" i="4"/>
  <c r="C62" i="4"/>
  <c r="C165" i="4"/>
  <c r="C267" i="4"/>
  <c r="C365" i="4"/>
  <c r="C450" i="4"/>
  <c r="C536" i="4"/>
  <c r="C621" i="4"/>
  <c r="C706" i="4"/>
  <c r="C792" i="4"/>
  <c r="C877" i="4"/>
  <c r="C962" i="4"/>
  <c r="C65" i="4"/>
  <c r="C166" i="4"/>
  <c r="C269" i="4"/>
  <c r="C366" i="4"/>
  <c r="C451" i="4"/>
  <c r="C537" i="4"/>
  <c r="C622" i="4"/>
  <c r="C707" i="4"/>
  <c r="C793" i="4"/>
  <c r="C878" i="4"/>
  <c r="C963" i="4"/>
  <c r="C66" i="4"/>
  <c r="C169" i="4"/>
  <c r="C270" i="4"/>
  <c r="C368" i="4"/>
  <c r="C453" i="4"/>
  <c r="C538" i="4"/>
  <c r="C624" i="4"/>
  <c r="C709" i="4"/>
  <c r="C794" i="4"/>
  <c r="C880" i="4"/>
  <c r="C965" i="4"/>
  <c r="C58" i="4"/>
  <c r="C161" i="4"/>
  <c r="C262" i="4"/>
  <c r="C361" i="4"/>
  <c r="C446" i="4"/>
  <c r="C531" i="4"/>
  <c r="C617" i="4"/>
  <c r="C702" i="4"/>
  <c r="C787" i="4"/>
  <c r="C873" i="4"/>
  <c r="C958" i="4"/>
  <c r="C906" i="4"/>
  <c r="C680" i="4"/>
  <c r="C454" i="4"/>
  <c r="C201" i="4"/>
  <c r="C934" i="4"/>
  <c r="C996" i="4"/>
  <c r="C640" i="4"/>
  <c r="C259" i="4"/>
  <c r="C859" i="4"/>
  <c r="C518" i="4"/>
  <c r="C107" i="4"/>
  <c r="C79" i="4"/>
  <c r="C143" i="4"/>
  <c r="C207" i="4"/>
  <c r="C271" i="4"/>
  <c r="C335" i="4"/>
  <c r="C399" i="4"/>
  <c r="C463" i="4"/>
  <c r="C527" i="4"/>
  <c r="C591" i="4"/>
  <c r="C655" i="4"/>
  <c r="C719" i="4"/>
  <c r="C783" i="4"/>
  <c r="C847" i="4"/>
  <c r="C911" i="4"/>
  <c r="C975" i="4"/>
  <c r="C40" i="4"/>
  <c r="C104" i="4"/>
  <c r="C168" i="4"/>
  <c r="C232" i="4"/>
  <c r="C296" i="4"/>
  <c r="C12" i="4"/>
  <c r="C76" i="4"/>
  <c r="C140" i="4"/>
  <c r="C204" i="4"/>
  <c r="C268" i="4"/>
  <c r="C332" i="4"/>
  <c r="C396" i="4"/>
  <c r="C460" i="4"/>
  <c r="C524" i="4"/>
  <c r="C588" i="4"/>
  <c r="C652" i="4"/>
  <c r="C716" i="4"/>
  <c r="C780" i="4"/>
  <c r="C844" i="4"/>
  <c r="C908" i="4"/>
  <c r="C972" i="4"/>
  <c r="C86" i="4"/>
  <c r="C189" i="4"/>
  <c r="C291" i="4"/>
  <c r="C385" i="4"/>
  <c r="C470" i="4"/>
  <c r="C555" i="4"/>
  <c r="C641" i="4"/>
  <c r="C726" i="4"/>
  <c r="C811" i="4"/>
  <c r="C897" i="4"/>
  <c r="C982" i="4"/>
  <c r="C75" i="4"/>
  <c r="C178" i="4"/>
  <c r="C281" i="4"/>
  <c r="C376" i="4"/>
  <c r="C461" i="4"/>
  <c r="C546" i="4"/>
  <c r="C632" i="4"/>
  <c r="C717" i="4"/>
  <c r="C802" i="4"/>
  <c r="C888" i="4"/>
  <c r="C973" i="4"/>
  <c r="C77" i="4"/>
  <c r="C179" i="4"/>
  <c r="C282" i="4"/>
  <c r="C377" i="4"/>
  <c r="C462" i="4"/>
  <c r="C547" i="4"/>
  <c r="C633" i="4"/>
  <c r="C718" i="4"/>
  <c r="C803" i="4"/>
  <c r="C889" i="4"/>
  <c r="C974" i="4"/>
  <c r="C78" i="4"/>
  <c r="C181" i="4"/>
  <c r="C283" i="4"/>
  <c r="C378" i="4"/>
  <c r="C464" i="4"/>
  <c r="C549" i="4"/>
  <c r="C634" i="4"/>
  <c r="C720" i="4"/>
  <c r="C805" i="4"/>
  <c r="C890" i="4"/>
  <c r="C976" i="4"/>
  <c r="C70" i="4"/>
  <c r="C173" i="4"/>
  <c r="C275" i="4"/>
  <c r="C371" i="4"/>
  <c r="C457" i="4"/>
  <c r="C542" i="4"/>
  <c r="C627" i="4"/>
  <c r="C713" i="4"/>
  <c r="C798" i="4"/>
  <c r="C883" i="4"/>
  <c r="C969" i="4"/>
  <c r="C881" i="4"/>
  <c r="C650" i="4"/>
  <c r="C424" i="4"/>
  <c r="C170" i="4"/>
  <c r="C904" i="4"/>
  <c r="C678" i="4"/>
  <c r="C448" i="4"/>
  <c r="C197" i="4"/>
  <c r="C810" i="4"/>
  <c r="C469" i="4"/>
  <c r="C54" i="4"/>
  <c r="C689" i="4"/>
  <c r="C313" i="4"/>
  <c r="C31" i="4"/>
  <c r="C111" i="4"/>
  <c r="C175" i="4"/>
  <c r="C239" i="4"/>
  <c r="C303" i="4"/>
  <c r="C367" i="4"/>
  <c r="C431" i="4"/>
  <c r="C495" i="4"/>
  <c r="C559" i="4"/>
  <c r="C623" i="4"/>
  <c r="C687" i="4"/>
  <c r="C751" i="4"/>
  <c r="C815" i="4"/>
  <c r="C879" i="4"/>
  <c r="C943" i="4"/>
  <c r="C8" i="4"/>
  <c r="C72" i="4"/>
  <c r="C136" i="4"/>
  <c r="C200" i="4"/>
  <c r="C264" i="4"/>
  <c r="C328" i="4"/>
  <c r="C44" i="4"/>
  <c r="C108" i="4"/>
  <c r="C172" i="4"/>
  <c r="C236" i="4"/>
  <c r="C300" i="4"/>
  <c r="C364" i="4"/>
  <c r="C428" i="4"/>
  <c r="C492" i="4"/>
  <c r="C556" i="4"/>
  <c r="C620" i="4"/>
  <c r="C684" i="4"/>
  <c r="C748" i="4"/>
  <c r="C812" i="4"/>
  <c r="C876" i="4"/>
  <c r="C940" i="4"/>
  <c r="C35" i="4"/>
  <c r="C138" i="4"/>
  <c r="C241" i="4"/>
  <c r="C342" i="4"/>
  <c r="C427" i="4"/>
  <c r="C513" i="4"/>
  <c r="C598" i="4"/>
  <c r="C683" i="4"/>
  <c r="C769" i="4"/>
  <c r="C854" i="4"/>
  <c r="C939" i="4"/>
  <c r="C25" i="4"/>
  <c r="C126" i="4"/>
  <c r="C229" i="4"/>
  <c r="C331" i="4"/>
  <c r="C418" i="4"/>
  <c r="C504" i="4"/>
  <c r="C589" i="4"/>
  <c r="C674" i="4"/>
  <c r="C760" i="4"/>
  <c r="C845" i="4"/>
  <c r="C930" i="4"/>
  <c r="C26" i="4"/>
  <c r="C129" i="4"/>
  <c r="C230" i="4"/>
  <c r="C333" i="4"/>
  <c r="C419" i="4"/>
  <c r="C505" i="4"/>
  <c r="C590" i="4"/>
  <c r="C675" i="4"/>
  <c r="C761" i="4"/>
  <c r="C846" i="4"/>
  <c r="C931" i="4"/>
  <c r="C27" i="4"/>
  <c r="C130" i="4"/>
  <c r="C233" i="4"/>
  <c r="C334" i="4"/>
  <c r="C421" i="4"/>
  <c r="C506" i="4"/>
  <c r="C592" i="4"/>
  <c r="C677" i="4"/>
  <c r="C762" i="4"/>
  <c r="C848" i="4"/>
  <c r="C933" i="4"/>
  <c r="C19" i="4"/>
  <c r="C122" i="4"/>
  <c r="C225" i="4"/>
  <c r="C326" i="4"/>
  <c r="C414" i="4"/>
  <c r="C499" i="4"/>
  <c r="C585" i="4"/>
  <c r="C670" i="4"/>
  <c r="C755" i="4"/>
  <c r="C841" i="4"/>
  <c r="C926" i="4"/>
  <c r="C990" i="4"/>
  <c r="C765" i="4"/>
  <c r="C539" i="4"/>
  <c r="C302" i="4"/>
  <c r="C30" i="4"/>
  <c r="C955" i="4"/>
  <c r="C413" i="4"/>
  <c r="C774" i="4"/>
  <c r="C210" i="4"/>
  <c r="C103" i="4"/>
  <c r="C215" i="4"/>
  <c r="C311" i="4"/>
  <c r="C415" i="4"/>
  <c r="C511" i="4"/>
  <c r="C615" i="4"/>
  <c r="C727" i="4"/>
  <c r="C823" i="4"/>
  <c r="C927" i="4"/>
  <c r="C24" i="4"/>
  <c r="C128" i="4"/>
  <c r="C240" i="4"/>
  <c r="C336" i="4"/>
  <c r="C92" i="4"/>
  <c r="C188" i="4"/>
  <c r="C292" i="4"/>
  <c r="C404" i="4"/>
  <c r="C500" i="4"/>
  <c r="C604" i="4"/>
  <c r="C700" i="4"/>
  <c r="C804" i="4"/>
  <c r="C916" i="4"/>
  <c r="C49" i="4"/>
  <c r="C214" i="4"/>
  <c r="C363" i="4"/>
  <c r="C502" i="4"/>
  <c r="C651" i="4"/>
  <c r="C779" i="4"/>
  <c r="C918" i="4"/>
  <c r="C50" i="4"/>
  <c r="C217" i="4"/>
  <c r="C386" i="4"/>
  <c r="C514" i="4"/>
  <c r="C653" i="4"/>
  <c r="C781" i="4"/>
  <c r="C920" i="4"/>
  <c r="C90" i="4"/>
  <c r="C243" i="4"/>
  <c r="C398" i="4"/>
  <c r="C526" i="4"/>
  <c r="C665" i="4"/>
  <c r="C814" i="4"/>
  <c r="C942" i="4"/>
  <c r="C105" i="4"/>
  <c r="C258" i="4"/>
  <c r="C410" i="4"/>
  <c r="C560" i="4"/>
  <c r="C688" i="4"/>
  <c r="C826" i="4"/>
  <c r="C954" i="4"/>
  <c r="C109" i="4"/>
  <c r="C289" i="4"/>
  <c r="C425" i="4"/>
  <c r="C563" i="4"/>
  <c r="C691" i="4"/>
  <c r="C830" i="4"/>
  <c r="C979" i="4"/>
  <c r="C736" i="4"/>
  <c r="C369" i="4"/>
  <c r="C960" i="4"/>
  <c r="C648" i="4"/>
  <c r="C392" i="4"/>
  <c r="C94" i="4"/>
  <c r="C925" i="4"/>
  <c r="C358" i="4"/>
  <c r="C744" i="4"/>
  <c r="C42" i="4"/>
  <c r="C119" i="4"/>
  <c r="C223" i="4"/>
  <c r="C319" i="4"/>
  <c r="C423" i="4"/>
  <c r="C535" i="4"/>
  <c r="C631" i="4"/>
  <c r="C735" i="4"/>
  <c r="C831" i="4"/>
  <c r="C935" i="4"/>
  <c r="C48" i="4"/>
  <c r="C144" i="4"/>
  <c r="C248" i="4"/>
  <c r="C9" i="4"/>
  <c r="C100" i="4"/>
  <c r="C212" i="4"/>
  <c r="C308" i="4"/>
  <c r="C412" i="4"/>
  <c r="C508" i="4"/>
  <c r="C612" i="4"/>
  <c r="C724" i="4"/>
  <c r="C820" i="4"/>
  <c r="C924" i="4"/>
  <c r="C61" i="4"/>
  <c r="C227" i="4"/>
  <c r="C395" i="4"/>
  <c r="C523" i="4"/>
  <c r="C662" i="4"/>
  <c r="C790" i="4"/>
  <c r="C929" i="4"/>
  <c r="C89" i="4"/>
  <c r="C242" i="4"/>
  <c r="C397" i="4"/>
  <c r="C525" i="4"/>
  <c r="C664" i="4"/>
  <c r="C813" i="4"/>
  <c r="C941" i="4"/>
  <c r="C102" i="4"/>
  <c r="C257" i="4"/>
  <c r="C409" i="4"/>
  <c r="C558" i="4"/>
  <c r="C686" i="4"/>
  <c r="C825" i="4"/>
  <c r="C953" i="4"/>
  <c r="C117" i="4"/>
  <c r="C297" i="4"/>
  <c r="C432" i="4"/>
  <c r="C570" i="4"/>
  <c r="C698" i="4"/>
  <c r="C837" i="4"/>
  <c r="C986" i="4"/>
  <c r="C134" i="4"/>
  <c r="C301" i="4"/>
  <c r="C435" i="4"/>
  <c r="C574" i="4"/>
  <c r="C723" i="4"/>
  <c r="C851" i="4"/>
  <c r="C989" i="4"/>
  <c r="C710" i="4"/>
  <c r="C338" i="4"/>
  <c r="C874" i="4"/>
  <c r="C618" i="4"/>
  <c r="C362" i="4"/>
  <c r="C59" i="4"/>
  <c r="C785" i="4"/>
  <c r="C157" i="4"/>
  <c r="C603" i="4"/>
  <c r="C15" i="4"/>
  <c r="C151" i="4"/>
  <c r="C247" i="4"/>
  <c r="C351" i="4"/>
  <c r="C447" i="4"/>
  <c r="C551" i="4"/>
  <c r="C663" i="4"/>
  <c r="C759" i="4"/>
  <c r="C863" i="4"/>
  <c r="C959" i="4"/>
  <c r="C64" i="4"/>
  <c r="C176" i="4"/>
  <c r="C272" i="4"/>
  <c r="C28" i="4"/>
  <c r="C124" i="4"/>
  <c r="C228" i="4"/>
  <c r="C340" i="4"/>
  <c r="C436" i="4"/>
  <c r="C540" i="4"/>
  <c r="C636" i="4"/>
  <c r="C740" i="4"/>
  <c r="C852" i="4"/>
  <c r="C948" i="4"/>
  <c r="C113" i="4"/>
  <c r="C266" i="4"/>
  <c r="C417" i="4"/>
  <c r="C566" i="4"/>
  <c r="C694" i="4"/>
  <c r="C833" i="4"/>
  <c r="C961" i="4"/>
  <c r="C114" i="4"/>
  <c r="C293" i="4"/>
  <c r="C429" i="4"/>
  <c r="C568" i="4"/>
  <c r="C696" i="4"/>
  <c r="C834" i="4"/>
  <c r="C984" i="4"/>
  <c r="C141" i="4"/>
  <c r="C307" i="4"/>
  <c r="C441" i="4"/>
  <c r="C579" i="4"/>
  <c r="C729" i="4"/>
  <c r="C857" i="4"/>
  <c r="C994" i="4"/>
  <c r="C155" i="4"/>
  <c r="C322" i="4"/>
  <c r="C474" i="4"/>
  <c r="C602" i="4"/>
  <c r="C741" i="4"/>
  <c r="C869" i="4"/>
  <c r="C5" i="4"/>
  <c r="C186" i="4"/>
  <c r="C339" i="4"/>
  <c r="C478" i="4"/>
  <c r="C606" i="4"/>
  <c r="C745" i="4"/>
  <c r="C894" i="4"/>
  <c r="C966" i="4"/>
  <c r="C594" i="4"/>
  <c r="C235" i="4"/>
  <c r="C818" i="4"/>
  <c r="C562" i="4"/>
  <c r="C299" i="4"/>
  <c r="C554" i="4"/>
  <c r="C970" i="4"/>
  <c r="C373" i="4"/>
  <c r="C87" i="4"/>
  <c r="C183" i="4"/>
  <c r="C287" i="4"/>
  <c r="C383" i="4"/>
  <c r="C487" i="4"/>
  <c r="C599" i="4"/>
  <c r="C695" i="4"/>
  <c r="C799" i="4"/>
  <c r="C895" i="4"/>
  <c r="C999" i="4"/>
  <c r="C112" i="4"/>
  <c r="C208" i="4"/>
  <c r="C312" i="4"/>
  <c r="C60" i="4"/>
  <c r="C164" i="4"/>
  <c r="C276" i="4"/>
  <c r="C372" i="4"/>
  <c r="C476" i="4"/>
  <c r="C572" i="4"/>
  <c r="C676" i="4"/>
  <c r="C788" i="4"/>
  <c r="C884" i="4"/>
  <c r="C10" i="4"/>
  <c r="C163" i="4"/>
  <c r="C330" i="4"/>
  <c r="C481" i="4"/>
  <c r="C609" i="4"/>
  <c r="C747" i="4"/>
  <c r="C875" i="4"/>
  <c r="C11" i="4"/>
  <c r="C190" i="4"/>
  <c r="C344" i="4"/>
  <c r="C482" i="4"/>
  <c r="C610" i="4"/>
  <c r="C749" i="4"/>
  <c r="C898" i="4"/>
  <c r="C38" i="4"/>
  <c r="C205" i="4"/>
  <c r="C355" i="4"/>
  <c r="C494" i="4"/>
  <c r="C643" i="4"/>
  <c r="C771" i="4"/>
  <c r="C910" i="4"/>
  <c r="C53" i="4"/>
  <c r="C219" i="4"/>
  <c r="C389" i="4"/>
  <c r="C517" i="4"/>
  <c r="C656" i="4"/>
  <c r="C784" i="4"/>
  <c r="C922" i="4"/>
  <c r="C83" i="4"/>
  <c r="C237" i="4"/>
  <c r="C393" i="4"/>
  <c r="C521" i="4"/>
  <c r="C659" i="4"/>
  <c r="C809" i="4"/>
  <c r="C937" i="4"/>
  <c r="C821" i="4"/>
  <c r="C480" i="4"/>
  <c r="C67" i="4"/>
  <c r="C733" i="4"/>
  <c r="C477" i="4"/>
  <c r="C162" i="4"/>
  <c r="C85" i="4"/>
  <c r="C39" i="4"/>
  <c r="C255" i="4"/>
  <c r="C471" i="4"/>
  <c r="C671" i="4"/>
  <c r="C871" i="4"/>
  <c r="C80" i="4"/>
  <c r="C280" i="4"/>
  <c r="C148" i="4"/>
  <c r="C348" i="4"/>
  <c r="C548" i="4"/>
  <c r="C756" i="4"/>
  <c r="C956" i="4"/>
  <c r="C305" i="4"/>
  <c r="C577" i="4"/>
  <c r="C843" i="4"/>
  <c r="C139" i="4"/>
  <c r="C440" i="4"/>
  <c r="C728" i="4"/>
  <c r="C993" i="4"/>
  <c r="C321" i="4"/>
  <c r="C601" i="4"/>
  <c r="C867" i="4"/>
  <c r="C194" i="4"/>
  <c r="C485" i="4"/>
  <c r="C752" i="4"/>
  <c r="C33" i="4"/>
  <c r="C350" i="4"/>
  <c r="C638" i="4"/>
  <c r="C905" i="4"/>
  <c r="C565" i="4"/>
  <c r="C789" i="4"/>
  <c r="C265" i="4"/>
  <c r="C36" i="4"/>
  <c r="C438" i="4"/>
  <c r="C578" i="4"/>
  <c r="C473" i="4"/>
  <c r="C346" i="4"/>
  <c r="C198" i="4"/>
  <c r="C766" i="4"/>
  <c r="C133" i="4"/>
  <c r="C402" i="4"/>
  <c r="C575" i="4"/>
  <c r="C192" i="4"/>
  <c r="C468" i="4"/>
  <c r="C150" i="4"/>
  <c r="C1001" i="4"/>
  <c r="C866" i="4"/>
  <c r="C750" i="4"/>
  <c r="C645" i="4"/>
  <c r="C510" i="4"/>
  <c r="C98" i="4"/>
  <c r="C191" i="4"/>
  <c r="C807" i="4"/>
  <c r="C284" i="4"/>
  <c r="C892" i="4"/>
  <c r="C758" i="4"/>
  <c r="C642" i="4"/>
  <c r="C515" i="4"/>
  <c r="C400" i="4"/>
  <c r="C553" i="4"/>
  <c r="C795" i="4"/>
  <c r="C422" i="4"/>
  <c r="C231" i="4"/>
  <c r="C56" i="4"/>
  <c r="C532" i="4"/>
  <c r="C253" i="4"/>
  <c r="C408" i="4"/>
  <c r="C835" i="4"/>
  <c r="C995" i="4"/>
  <c r="C625" i="4"/>
  <c r="C997" i="4"/>
  <c r="C55" i="4"/>
  <c r="C279" i="4"/>
  <c r="C479" i="4"/>
  <c r="C679" i="4"/>
  <c r="C887" i="4"/>
  <c r="C88" i="4"/>
  <c r="C304" i="4"/>
  <c r="C156" i="4"/>
  <c r="C356" i="4"/>
  <c r="C564" i="4"/>
  <c r="C764" i="4"/>
  <c r="C980" i="4"/>
  <c r="C317" i="4"/>
  <c r="C587" i="4"/>
  <c r="C865" i="4"/>
  <c r="C153" i="4"/>
  <c r="C472" i="4"/>
  <c r="C738" i="4"/>
  <c r="C13" i="4"/>
  <c r="C345" i="4"/>
  <c r="C611" i="4"/>
  <c r="C899" i="4"/>
  <c r="C206" i="4"/>
  <c r="C496" i="4"/>
  <c r="C773" i="4"/>
  <c r="C45" i="4"/>
  <c r="C382" i="4"/>
  <c r="C649" i="4"/>
  <c r="C915" i="4"/>
  <c r="C509" i="4"/>
  <c r="C763" i="4"/>
  <c r="C234" i="4"/>
  <c r="C439" i="4"/>
  <c r="C256" i="4"/>
  <c r="C932" i="4"/>
  <c r="C101" i="4"/>
  <c r="C294" i="4"/>
  <c r="C442" i="4"/>
  <c r="C314" i="4"/>
  <c r="C337" i="4"/>
  <c r="C829" i="4"/>
  <c r="C95" i="4"/>
  <c r="C295" i="4"/>
  <c r="C503" i="4"/>
  <c r="C703" i="4"/>
  <c r="C919" i="4"/>
  <c r="C120" i="4"/>
  <c r="C320" i="4"/>
  <c r="C180" i="4"/>
  <c r="C380" i="4"/>
  <c r="C596" i="4"/>
  <c r="C796" i="4"/>
  <c r="C22" i="4"/>
  <c r="C353" i="4"/>
  <c r="C619" i="4"/>
  <c r="C907" i="4"/>
  <c r="C203" i="4"/>
  <c r="C493" i="4"/>
  <c r="C770" i="4"/>
  <c r="C51" i="4"/>
  <c r="C387" i="4"/>
  <c r="C654" i="4"/>
  <c r="C921" i="4"/>
  <c r="C245" i="4"/>
  <c r="C528" i="4"/>
  <c r="C816" i="4"/>
  <c r="C97" i="4"/>
  <c r="C403" i="4"/>
  <c r="C681" i="4"/>
  <c r="C947" i="4"/>
  <c r="C394" i="4"/>
  <c r="C704" i="4"/>
  <c r="C131" i="4"/>
  <c r="C458" i="4"/>
  <c r="C992" i="4"/>
  <c r="C901" i="4"/>
  <c r="C584" i="4"/>
  <c r="C375" i="4"/>
  <c r="C991" i="4"/>
  <c r="C252" i="4"/>
  <c r="C868" i="4"/>
  <c r="C737" i="4"/>
  <c r="C600" i="4"/>
  <c r="C483" i="4"/>
  <c r="C357" i="4"/>
  <c r="C211" i="4"/>
  <c r="C850" i="4"/>
  <c r="C498" i="4"/>
  <c r="C407" i="4"/>
  <c r="C16" i="4"/>
  <c r="C84" i="4"/>
  <c r="C484" i="4"/>
  <c r="C202" i="4"/>
  <c r="C37" i="4"/>
  <c r="C909" i="4"/>
  <c r="C782" i="4"/>
  <c r="C666" i="4"/>
  <c r="C250" i="4"/>
  <c r="C819" i="4"/>
  <c r="C988" i="4"/>
  <c r="C222" i="4"/>
  <c r="C639" i="4"/>
  <c r="C316" i="4"/>
  <c r="C822" i="4"/>
  <c r="C952" i="4"/>
  <c r="C142" i="4"/>
  <c r="C862" i="4"/>
  <c r="C870" i="4"/>
  <c r="C629" i="4"/>
  <c r="C127" i="4"/>
  <c r="C343" i="4"/>
  <c r="C543" i="4"/>
  <c r="C743" i="4"/>
  <c r="C951" i="4"/>
  <c r="C152" i="4"/>
  <c r="C20" i="4"/>
  <c r="C220" i="4"/>
  <c r="C420" i="4"/>
  <c r="C628" i="4"/>
  <c r="C828" i="4"/>
  <c r="C99" i="4"/>
  <c r="C406" i="4"/>
  <c r="C673" i="4"/>
  <c r="C950" i="4"/>
  <c r="C254" i="4"/>
  <c r="C557" i="4"/>
  <c r="C824" i="4"/>
  <c r="C115" i="4"/>
  <c r="C430" i="4"/>
  <c r="C697" i="4"/>
  <c r="C985" i="4"/>
  <c r="C309" i="4"/>
  <c r="C581" i="4"/>
  <c r="C858" i="4"/>
  <c r="C147" i="4"/>
  <c r="C467" i="4"/>
  <c r="C734" i="4"/>
  <c r="C998" i="4"/>
  <c r="C273" i="4"/>
  <c r="C593" i="4"/>
  <c r="C29" i="4"/>
  <c r="C725" i="4"/>
  <c r="C159" i="4"/>
  <c r="C359" i="4"/>
  <c r="C567" i="4"/>
  <c r="C767" i="4"/>
  <c r="C983" i="4"/>
  <c r="C184" i="4"/>
  <c r="C244" i="4"/>
  <c r="C444" i="4"/>
  <c r="C660" i="4"/>
  <c r="C860" i="4"/>
  <c r="C125" i="4"/>
  <c r="C705" i="4"/>
  <c r="C306" i="4"/>
  <c r="C856" i="4"/>
  <c r="C154" i="4"/>
  <c r="C739" i="4"/>
  <c r="C14" i="4"/>
  <c r="C613" i="4"/>
  <c r="C489" i="4"/>
  <c r="C936" i="4"/>
  <c r="C533" i="4"/>
  <c r="C167" i="4"/>
  <c r="C791" i="4"/>
  <c r="C52" i="4"/>
  <c r="C668" i="4"/>
  <c r="C449" i="4"/>
  <c r="C318" i="4"/>
  <c r="C193" i="4"/>
  <c r="C41" i="4"/>
  <c r="C912" i="4"/>
  <c r="C777" i="4"/>
  <c r="C507" i="4"/>
  <c r="C277" i="4"/>
  <c r="C607" i="4"/>
  <c r="C216" i="4"/>
  <c r="C692" i="4"/>
  <c r="C491" i="4"/>
  <c r="C354" i="4"/>
  <c r="C218" i="4"/>
  <c r="C91" i="4"/>
  <c r="C944" i="4"/>
  <c r="C3" i="4"/>
  <c r="C855" i="4"/>
  <c r="C116" i="4"/>
  <c r="C732" i="4"/>
  <c r="C534" i="4"/>
  <c r="C685" i="4"/>
  <c r="C569" i="4"/>
  <c r="C730" i="4"/>
  <c r="C595" i="4"/>
  <c r="C849" i="4"/>
  <c r="F8" i="5"/>
  <c r="B30" i="3"/>
  <c r="B30" i="4"/>
  <c r="I2" i="4" l="1" a="1"/>
  <c r="I7" i="4" s="1"/>
  <c r="I2" i="3" a="1"/>
  <c r="I8" i="3" s="1"/>
  <c r="K2" i="4" a="1"/>
  <c r="K2" i="3" a="1"/>
  <c r="F7" i="8"/>
  <c r="F8" i="8"/>
  <c r="B34" i="4"/>
  <c r="B34" i="3"/>
  <c r="B18" i="4"/>
  <c r="B24" i="4" s="1"/>
  <c r="B18" i="3"/>
  <c r="B24" i="3" s="1"/>
  <c r="B20" i="3"/>
  <c r="B26" i="3" s="1"/>
  <c r="B20" i="4"/>
  <c r="B26" i="4" s="1"/>
  <c r="I498" i="4" l="1"/>
  <c r="I123" i="4"/>
  <c r="I538" i="4"/>
  <c r="I1001" i="4"/>
  <c r="I880" i="4"/>
  <c r="I571" i="4"/>
  <c r="I871" i="4"/>
  <c r="I991" i="4"/>
  <c r="I693" i="4"/>
  <c r="I888" i="4"/>
  <c r="I94" i="4"/>
  <c r="I536" i="4"/>
  <c r="I821" i="4"/>
  <c r="I979" i="4"/>
  <c r="I709" i="4"/>
  <c r="I856" i="4"/>
  <c r="I73" i="4"/>
  <c r="I826" i="4"/>
  <c r="I429" i="4"/>
  <c r="I946" i="4"/>
  <c r="I236" i="4"/>
  <c r="I944" i="4"/>
  <c r="I691" i="4"/>
  <c r="I36" i="4"/>
  <c r="I277" i="4"/>
  <c r="I777" i="4"/>
  <c r="I406" i="4"/>
  <c r="I356" i="4"/>
  <c r="I655" i="4"/>
  <c r="I619" i="4"/>
  <c r="I675" i="4"/>
  <c r="I983" i="4"/>
  <c r="I348" i="4"/>
  <c r="I651" i="4"/>
  <c r="I602" i="4"/>
  <c r="I863" i="4"/>
  <c r="I954" i="4"/>
  <c r="I986" i="4"/>
  <c r="I499" i="4"/>
  <c r="I808" i="4"/>
  <c r="I935" i="4"/>
  <c r="I1000" i="4"/>
  <c r="I336" i="4"/>
  <c r="I346" i="4"/>
  <c r="I585" i="4"/>
  <c r="I490" i="4"/>
  <c r="I695" i="4"/>
  <c r="I17" i="4"/>
  <c r="I226" i="4"/>
  <c r="I117" i="4"/>
  <c r="I631" i="4"/>
  <c r="I902" i="4"/>
  <c r="I493" i="4"/>
  <c r="I939" i="4"/>
  <c r="I890" i="4"/>
  <c r="I148" i="4"/>
  <c r="I529" i="4"/>
  <c r="I577" i="4"/>
  <c r="I774" i="4"/>
  <c r="I916" i="4"/>
  <c r="I894" i="4"/>
  <c r="I219" i="4"/>
  <c r="I727" i="4"/>
  <c r="I848" i="4"/>
  <c r="I999" i="4"/>
  <c r="I133" i="4"/>
  <c r="I270" i="4"/>
  <c r="I361" i="4"/>
  <c r="I465" i="4"/>
  <c r="I666" i="4"/>
  <c r="I704" i="4"/>
  <c r="I150" i="4"/>
  <c r="I65" i="4"/>
  <c r="I471" i="4"/>
  <c r="I673" i="4"/>
  <c r="I839" i="4"/>
  <c r="I875" i="4"/>
  <c r="I67" i="4"/>
  <c r="I698" i="4"/>
  <c r="I825" i="4"/>
  <c r="I955" i="4"/>
  <c r="I923" i="4"/>
  <c r="I196" i="4"/>
  <c r="I325" i="4"/>
  <c r="I260" i="4"/>
  <c r="I613" i="4"/>
  <c r="I661" i="4"/>
  <c r="I2" i="4"/>
  <c r="I11" i="4"/>
  <c r="I423" i="4"/>
  <c r="I92" i="4"/>
  <c r="I338" i="4"/>
  <c r="I241" i="4"/>
  <c r="I815" i="4"/>
  <c r="I962" i="4"/>
  <c r="I347" i="4"/>
  <c r="I364" i="4"/>
  <c r="I638" i="4"/>
  <c r="I722" i="4"/>
  <c r="I930" i="4"/>
  <c r="I206" i="4"/>
  <c r="I502" i="4"/>
  <c r="I630" i="4"/>
  <c r="I847" i="4"/>
  <c r="I905" i="4"/>
  <c r="I973" i="4"/>
  <c r="I251" i="4"/>
  <c r="I174" i="4"/>
  <c r="I438" i="4"/>
  <c r="I597" i="4"/>
  <c r="I550" i="4"/>
  <c r="I224" i="4"/>
  <c r="I399" i="4"/>
  <c r="I242" i="4"/>
  <c r="I807" i="4"/>
  <c r="I926" i="4"/>
  <c r="I689" i="4"/>
  <c r="I907" i="4"/>
  <c r="I147" i="4"/>
  <c r="I166" i="4"/>
  <c r="I481" i="4"/>
  <c r="I608" i="4"/>
  <c r="I912" i="4"/>
  <c r="I106" i="4"/>
  <c r="I436" i="4"/>
  <c r="I576" i="4"/>
  <c r="I748" i="4"/>
  <c r="I850" i="4"/>
  <c r="I922" i="4"/>
  <c r="I779" i="4"/>
  <c r="I116" i="4"/>
  <c r="I416" i="4"/>
  <c r="I460" i="4"/>
  <c r="I477" i="4"/>
  <c r="I192" i="4"/>
  <c r="I247" i="4"/>
  <c r="I843" i="4"/>
  <c r="I882" i="4"/>
  <c r="I846" i="4"/>
  <c r="I658" i="4"/>
  <c r="I866" i="4"/>
  <c r="I69" i="4"/>
  <c r="I972" i="4"/>
  <c r="I411" i="4"/>
  <c r="I516" i="4"/>
  <c r="I834" i="4"/>
  <c r="I28" i="4"/>
  <c r="I333" i="4"/>
  <c r="I446" i="4"/>
  <c r="I648" i="4"/>
  <c r="I708" i="4"/>
  <c r="I886" i="4"/>
  <c r="I770" i="4"/>
  <c r="I893" i="4"/>
  <c r="I329" i="4"/>
  <c r="I451" i="4"/>
  <c r="I358" i="4"/>
  <c r="I152" i="4"/>
  <c r="I191" i="4"/>
  <c r="I644" i="4"/>
  <c r="I449" i="4"/>
  <c r="I190" i="4"/>
  <c r="I534" i="4"/>
  <c r="I758" i="4"/>
  <c r="I915" i="4"/>
  <c r="I959" i="4"/>
  <c r="I324" i="4"/>
  <c r="I480" i="4"/>
  <c r="I816" i="4"/>
  <c r="I953" i="4"/>
  <c r="I253" i="4"/>
  <c r="I357" i="4"/>
  <c r="I629" i="4"/>
  <c r="I683" i="4"/>
  <c r="I718" i="4"/>
  <c r="I697" i="4"/>
  <c r="I877" i="4"/>
  <c r="I131" i="4"/>
  <c r="I378" i="4"/>
  <c r="I309" i="4"/>
  <c r="I24" i="4"/>
  <c r="I167" i="4"/>
  <c r="I924" i="4"/>
  <c r="I976" i="4"/>
  <c r="I293" i="4"/>
  <c r="I38" i="4"/>
  <c r="I964" i="4"/>
  <c r="I596" i="4"/>
  <c r="I980" i="4"/>
  <c r="I681" i="4"/>
  <c r="I93" i="4"/>
  <c r="I504" i="4"/>
  <c r="I900" i="4"/>
  <c r="I547" i="4"/>
  <c r="I937" i="4"/>
  <c r="I578" i="4"/>
  <c r="I970" i="4"/>
  <c r="I854" i="4"/>
  <c r="I363" i="4"/>
  <c r="I78" i="4"/>
  <c r="I794" i="4"/>
  <c r="I418" i="4"/>
  <c r="I862" i="4"/>
  <c r="I467" i="4"/>
  <c r="I262" i="4"/>
  <c r="I734" i="4"/>
  <c r="I261" i="4"/>
  <c r="I887" i="4"/>
  <c r="I600" i="4"/>
  <c r="I252" i="4"/>
  <c r="I904" i="4"/>
  <c r="I682" i="4"/>
  <c r="I269" i="4"/>
  <c r="I715" i="4"/>
  <c r="I476" i="4"/>
  <c r="I158" i="4"/>
  <c r="I869" i="4"/>
  <c r="I624" i="4"/>
  <c r="I342" i="4"/>
  <c r="I45" i="4"/>
  <c r="I634" i="4"/>
  <c r="I433" i="4"/>
  <c r="I182" i="4"/>
  <c r="I514" i="4"/>
  <c r="I299" i="4"/>
  <c r="I53" i="4"/>
  <c r="I184" i="4"/>
  <c r="I647" i="4"/>
  <c r="I407" i="4"/>
  <c r="I183" i="4"/>
  <c r="I109" i="4"/>
  <c r="I841" i="4"/>
  <c r="I508" i="4"/>
  <c r="I100" i="4"/>
  <c r="I849" i="4"/>
  <c r="I569" i="4"/>
  <c r="I177" i="4"/>
  <c r="I667" i="4"/>
  <c r="I380" i="4"/>
  <c r="I102" i="4"/>
  <c r="I805" i="4"/>
  <c r="I603" i="4"/>
  <c r="I285" i="4"/>
  <c r="I776" i="4"/>
  <c r="I588" i="4"/>
  <c r="I369" i="4"/>
  <c r="I140" i="4"/>
  <c r="I450" i="4"/>
  <c r="I213" i="4"/>
  <c r="I312" i="4"/>
  <c r="I120" i="4"/>
  <c r="I583" i="4"/>
  <c r="I351" i="4"/>
  <c r="I119" i="4"/>
  <c r="I141" i="4"/>
  <c r="I189" i="4"/>
  <c r="I961" i="4"/>
  <c r="I419" i="4"/>
  <c r="I757" i="4"/>
  <c r="I830" i="4"/>
  <c r="I389" i="4"/>
  <c r="I889" i="4"/>
  <c r="I494" i="4"/>
  <c r="I838" i="4"/>
  <c r="I266" i="4"/>
  <c r="I802" i="4"/>
  <c r="I371" i="4"/>
  <c r="I818" i="4"/>
  <c r="I408" i="4"/>
  <c r="I740" i="4"/>
  <c r="I739" i="4"/>
  <c r="I13" i="4"/>
  <c r="I943" i="4"/>
  <c r="I678" i="4"/>
  <c r="I179" i="4"/>
  <c r="I735" i="4"/>
  <c r="I284" i="4"/>
  <c r="I908" i="4"/>
  <c r="I590" i="4"/>
  <c r="I998" i="4"/>
  <c r="I804" i="4"/>
  <c r="I492" i="4"/>
  <c r="I82" i="4"/>
  <c r="I840" i="4"/>
  <c r="I507" i="4"/>
  <c r="I99" i="4"/>
  <c r="I636" i="4"/>
  <c r="I366" i="4"/>
  <c r="I46" i="4"/>
  <c r="I778" i="4"/>
  <c r="I525" i="4"/>
  <c r="I273" i="4"/>
  <c r="I752" i="4"/>
  <c r="I579" i="4"/>
  <c r="I341" i="4"/>
  <c r="I86" i="4"/>
  <c r="I441" i="4"/>
  <c r="I203" i="4"/>
  <c r="I304" i="4"/>
  <c r="I96" i="4"/>
  <c r="I543" i="4"/>
  <c r="I319" i="4"/>
  <c r="I71" i="4"/>
  <c r="I773" i="4"/>
  <c r="I275" i="4"/>
  <c r="I14" i="4"/>
  <c r="I690" i="4"/>
  <c r="I373" i="4"/>
  <c r="I906" i="4"/>
  <c r="I587" i="4"/>
  <c r="I153" i="4"/>
  <c r="I717" i="4"/>
  <c r="I238" i="4"/>
  <c r="I872" i="4"/>
  <c r="I466" i="4"/>
  <c r="I982" i="4"/>
  <c r="I756" i="4"/>
  <c r="I444" i="4"/>
  <c r="I997" i="4"/>
  <c r="I791" i="4"/>
  <c r="I491" i="4"/>
  <c r="I81" i="4"/>
  <c r="I626" i="4"/>
  <c r="I316" i="4"/>
  <c r="I941" i="4"/>
  <c r="I750" i="4"/>
  <c r="I512" i="4"/>
  <c r="I217" i="4"/>
  <c r="I736" i="4"/>
  <c r="I515" i="4"/>
  <c r="I322" i="4"/>
  <c r="I54" i="4"/>
  <c r="I432" i="4"/>
  <c r="I161" i="4"/>
  <c r="I256" i="4"/>
  <c r="I88" i="4"/>
  <c r="I535" i="4"/>
  <c r="I287" i="4"/>
  <c r="I63" i="4"/>
  <c r="I703" i="4"/>
  <c r="I827" i="4"/>
  <c r="I294" i="4"/>
  <c r="I864" i="4"/>
  <c r="I37" i="4"/>
  <c r="I763" i="4"/>
  <c r="I198" i="4"/>
  <c r="I809" i="4"/>
  <c r="I388" i="4"/>
  <c r="I662" i="4"/>
  <c r="I114" i="4"/>
  <c r="I699" i="4"/>
  <c r="I20" i="4"/>
  <c r="I747" i="4"/>
  <c r="I221" i="4"/>
  <c r="I984" i="4"/>
  <c r="I632" i="4"/>
  <c r="I228" i="4"/>
  <c r="I892" i="4"/>
  <c r="I546" i="4"/>
  <c r="I125" i="4"/>
  <c r="I649" i="4"/>
  <c r="I84" i="4"/>
  <c r="I860" i="4"/>
  <c r="I445" i="4"/>
  <c r="I974" i="4"/>
  <c r="I719" i="4"/>
  <c r="I362" i="4"/>
  <c r="I981" i="4"/>
  <c r="I755" i="4"/>
  <c r="I443" i="4"/>
  <c r="I797" i="4"/>
  <c r="I573" i="4"/>
  <c r="I286" i="4"/>
  <c r="I933" i="4"/>
  <c r="I741" i="4"/>
  <c r="I452" i="4"/>
  <c r="I157" i="4"/>
  <c r="I712" i="4"/>
  <c r="I506" i="4"/>
  <c r="I290" i="4"/>
  <c r="I34" i="4"/>
  <c r="I368" i="4"/>
  <c r="I149" i="4"/>
  <c r="I240" i="4"/>
  <c r="I80" i="4"/>
  <c r="I511" i="4"/>
  <c r="I279" i="4"/>
  <c r="I39" i="4"/>
  <c r="I16" i="4"/>
  <c r="I575" i="4"/>
  <c r="I463" i="4"/>
  <c r="I335" i="4"/>
  <c r="I215" i="4"/>
  <c r="I103" i="4"/>
  <c r="I726" i="4"/>
  <c r="I993" i="4"/>
  <c r="I903" i="4"/>
  <c r="I618" i="4"/>
  <c r="I581" i="4"/>
  <c r="I91" i="4"/>
  <c r="I994" i="4"/>
  <c r="I70" i="4"/>
  <c r="I852" i="4"/>
  <c r="I622" i="4"/>
  <c r="I298" i="4"/>
  <c r="I927" i="4"/>
  <c r="I737" i="4"/>
  <c r="I456" i="4"/>
  <c r="I49" i="4"/>
  <c r="I633" i="4"/>
  <c r="I318" i="4"/>
  <c r="I938" i="4"/>
  <c r="I725" i="4"/>
  <c r="I448" i="4"/>
  <c r="I971" i="4"/>
  <c r="I801" i="4"/>
  <c r="I545" i="4"/>
  <c r="I169" i="4"/>
  <c r="I855" i="4"/>
  <c r="I874" i="4"/>
  <c r="I659" i="4"/>
  <c r="I165" i="4"/>
  <c r="I180" i="4"/>
  <c r="I918" i="4"/>
  <c r="I746" i="4"/>
  <c r="I528" i="4"/>
  <c r="I227" i="4"/>
  <c r="I921" i="4"/>
  <c r="I685" i="4"/>
  <c r="I382" i="4"/>
  <c r="I10" i="4"/>
  <c r="I897" i="4"/>
  <c r="I700" i="4"/>
  <c r="I381" i="4"/>
  <c r="I35" i="4"/>
  <c r="I896" i="4"/>
  <c r="I745" i="4"/>
  <c r="I556" i="4"/>
  <c r="I292" i="4"/>
  <c r="I6" i="4"/>
  <c r="I895" i="4"/>
  <c r="I743" i="4"/>
  <c r="I555" i="4"/>
  <c r="I291" i="4"/>
  <c r="I5" i="4"/>
  <c r="I687" i="4"/>
  <c r="I526" i="4"/>
  <c r="I355" i="4"/>
  <c r="I132" i="4"/>
  <c r="I901" i="4"/>
  <c r="I787" i="4"/>
  <c r="I656" i="4"/>
  <c r="I500" i="4"/>
  <c r="I301" i="4"/>
  <c r="I89" i="4"/>
  <c r="I744" i="4"/>
  <c r="I616" i="4"/>
  <c r="I497" i="4"/>
  <c r="I350" i="4"/>
  <c r="I194" i="4"/>
  <c r="I44" i="4"/>
  <c r="I468" i="4"/>
  <c r="I349" i="4"/>
  <c r="I181" i="4"/>
  <c r="I21" i="4"/>
  <c r="I232" i="4"/>
  <c r="I112" i="4"/>
  <c r="I679" i="4"/>
  <c r="I551" i="4"/>
  <c r="I439" i="4"/>
  <c r="I327" i="4"/>
  <c r="I207" i="4"/>
  <c r="I95" i="4"/>
  <c r="I960" i="4"/>
  <c r="I518" i="4"/>
  <c r="I339" i="4"/>
  <c r="I589" i="4"/>
  <c r="I865" i="4"/>
  <c r="I674" i="4"/>
  <c r="I650" i="4"/>
  <c r="I928" i="4"/>
  <c r="I738" i="4"/>
  <c r="I462" i="4"/>
  <c r="I50" i="4"/>
  <c r="I851" i="4"/>
  <c r="I620" i="4"/>
  <c r="I297" i="4"/>
  <c r="I772" i="4"/>
  <c r="I472" i="4"/>
  <c r="I68" i="4"/>
  <c r="I842" i="4"/>
  <c r="I617" i="4"/>
  <c r="I276" i="4"/>
  <c r="I899" i="4"/>
  <c r="I672" i="4"/>
  <c r="I370" i="4"/>
  <c r="I952" i="4"/>
  <c r="I969" i="4"/>
  <c r="I790" i="4"/>
  <c r="I434" i="4"/>
  <c r="I306" i="4"/>
  <c r="I995" i="4"/>
  <c r="I844" i="4"/>
  <c r="I660" i="4"/>
  <c r="I372" i="4"/>
  <c r="I27" i="4"/>
  <c r="I811" i="4"/>
  <c r="I554" i="4"/>
  <c r="I210" i="4"/>
  <c r="I977" i="4"/>
  <c r="I798" i="4"/>
  <c r="I553" i="4"/>
  <c r="I237" i="4"/>
  <c r="I966" i="4"/>
  <c r="I823" i="4"/>
  <c r="I641" i="4"/>
  <c r="I426" i="4"/>
  <c r="I156" i="4"/>
  <c r="I965" i="4"/>
  <c r="I822" i="4"/>
  <c r="I640" i="4"/>
  <c r="I425" i="4"/>
  <c r="I155" i="4"/>
  <c r="I761" i="4"/>
  <c r="I604" i="4"/>
  <c r="I428" i="4"/>
  <c r="I244" i="4"/>
  <c r="I30" i="4"/>
  <c r="I853" i="4"/>
  <c r="I714" i="4"/>
  <c r="I572" i="4"/>
  <c r="I402" i="4"/>
  <c r="I201" i="4"/>
  <c r="I3" i="4"/>
  <c r="I680" i="4"/>
  <c r="I542" i="4"/>
  <c r="I424" i="4"/>
  <c r="I278" i="4"/>
  <c r="I130" i="4"/>
  <c r="I532" i="4"/>
  <c r="I395" i="4"/>
  <c r="I267" i="4"/>
  <c r="I107" i="4"/>
  <c r="I296" i="4"/>
  <c r="I168" i="4"/>
  <c r="I48" i="4"/>
  <c r="I615" i="4"/>
  <c r="I503" i="4"/>
  <c r="I391" i="4"/>
  <c r="I263" i="4"/>
  <c r="I143" i="4"/>
  <c r="I31" i="4"/>
  <c r="I806" i="4"/>
  <c r="I384" i="4"/>
  <c r="I142" i="4"/>
  <c r="I454" i="4"/>
  <c r="I785" i="4"/>
  <c r="I557" i="4"/>
  <c r="I385" i="4"/>
  <c r="I911" i="4"/>
  <c r="I710" i="4"/>
  <c r="I430" i="4"/>
  <c r="I996" i="4"/>
  <c r="I828" i="4"/>
  <c r="I595" i="4"/>
  <c r="I197" i="4"/>
  <c r="I721" i="4"/>
  <c r="I435" i="4"/>
  <c r="I992" i="4"/>
  <c r="I820" i="4"/>
  <c r="I580" i="4"/>
  <c r="I222" i="4"/>
  <c r="I857" i="4"/>
  <c r="I637" i="4"/>
  <c r="I323" i="4"/>
  <c r="I936" i="4"/>
  <c r="I951" i="4"/>
  <c r="I771" i="4"/>
  <c r="I398" i="4"/>
  <c r="I282" i="4"/>
  <c r="I985" i="4"/>
  <c r="I819" i="4"/>
  <c r="I605" i="4"/>
  <c r="I352" i="4"/>
  <c r="I988" i="4"/>
  <c r="I783" i="4"/>
  <c r="I485" i="4"/>
  <c r="I134" i="4"/>
  <c r="I967" i="4"/>
  <c r="I782" i="4"/>
  <c r="I530" i="4"/>
  <c r="I163" i="4"/>
  <c r="I932" i="4"/>
  <c r="I814" i="4"/>
  <c r="I628" i="4"/>
  <c r="I410" i="4"/>
  <c r="I122" i="4"/>
  <c r="I931" i="4"/>
  <c r="I812" i="4"/>
  <c r="I627" i="4"/>
  <c r="I409" i="4"/>
  <c r="I121" i="4"/>
  <c r="I724" i="4"/>
  <c r="I584" i="4"/>
  <c r="I417" i="4"/>
  <c r="I230" i="4"/>
  <c r="I4" i="4"/>
  <c r="I829" i="4"/>
  <c r="I705" i="4"/>
  <c r="I548" i="4"/>
  <c r="I390" i="4"/>
  <c r="I173" i="4"/>
  <c r="I784" i="4"/>
  <c r="I670" i="4"/>
  <c r="I533" i="4"/>
  <c r="I414" i="4"/>
  <c r="I258" i="4"/>
  <c r="I98" i="4"/>
  <c r="I523" i="4"/>
  <c r="I386" i="4"/>
  <c r="I245" i="4"/>
  <c r="I75" i="4"/>
  <c r="I272" i="4"/>
  <c r="I160" i="4"/>
  <c r="I40" i="4"/>
  <c r="I607" i="4"/>
  <c r="I479" i="4"/>
  <c r="I359" i="4"/>
  <c r="I255" i="4"/>
  <c r="I135" i="4"/>
  <c r="I23" i="4"/>
  <c r="I124" i="4"/>
  <c r="I754" i="4"/>
  <c r="I729" i="4"/>
  <c r="I483" i="4"/>
  <c r="I702" i="4"/>
  <c r="I558" i="4"/>
  <c r="I412" i="4"/>
  <c r="I520" i="4"/>
  <c r="I948" i="4"/>
  <c r="I789" i="4"/>
  <c r="I565" i="4"/>
  <c r="I250" i="4"/>
  <c r="I947" i="4"/>
  <c r="I786" i="4"/>
  <c r="I564" i="4"/>
  <c r="I249" i="4"/>
  <c r="I795" i="4"/>
  <c r="I544" i="4"/>
  <c r="I220" i="4"/>
  <c r="I919" i="4"/>
  <c r="I753" i="4"/>
  <c r="I517" i="4"/>
  <c r="I170" i="4"/>
  <c r="I879" i="4"/>
  <c r="I692" i="4"/>
  <c r="I437" i="4"/>
  <c r="I19" i="4"/>
  <c r="I817" i="4"/>
  <c r="I891" i="4"/>
  <c r="I713" i="4"/>
  <c r="I470" i="4"/>
  <c r="I113" i="4"/>
  <c r="I254" i="4"/>
  <c r="I52" i="4"/>
  <c r="I929" i="4"/>
  <c r="I833" i="4"/>
  <c r="I711" i="4"/>
  <c r="I566" i="4"/>
  <c r="I397" i="4"/>
  <c r="I205" i="4"/>
  <c r="I968" i="4"/>
  <c r="I836" i="4"/>
  <c r="I701" i="4"/>
  <c r="I531" i="4"/>
  <c r="I314" i="4"/>
  <c r="I58" i="4"/>
  <c r="I987" i="4"/>
  <c r="I883" i="4"/>
  <c r="I764" i="4"/>
  <c r="I609" i="4"/>
  <c r="I420" i="4"/>
  <c r="I185" i="4"/>
  <c r="I990" i="4"/>
  <c r="I914" i="4"/>
  <c r="I832" i="4"/>
  <c r="I731" i="4"/>
  <c r="I612" i="4"/>
  <c r="I474" i="4"/>
  <c r="I308" i="4"/>
  <c r="I138" i="4"/>
  <c r="I989" i="4"/>
  <c r="I913" i="4"/>
  <c r="I831" i="4"/>
  <c r="I730" i="4"/>
  <c r="I611" i="4"/>
  <c r="I457" i="4"/>
  <c r="I307" i="4"/>
  <c r="I137" i="4"/>
  <c r="I788" i="4"/>
  <c r="I706" i="4"/>
  <c r="I614" i="4"/>
  <c r="I513" i="4"/>
  <c r="I392" i="4"/>
  <c r="I274" i="4"/>
  <c r="I146" i="4"/>
  <c r="I18" i="4"/>
  <c r="I885" i="4"/>
  <c r="I813" i="4"/>
  <c r="I732" i="4"/>
  <c r="I635" i="4"/>
  <c r="I537" i="4"/>
  <c r="I427" i="4"/>
  <c r="I315" i="4"/>
  <c r="I187" i="4"/>
  <c r="I59" i="4"/>
  <c r="I768" i="4"/>
  <c r="I688" i="4"/>
  <c r="I606" i="4"/>
  <c r="I524" i="4"/>
  <c r="I442" i="4"/>
  <c r="I360" i="4"/>
  <c r="I268" i="4"/>
  <c r="I172" i="4"/>
  <c r="I66" i="4"/>
  <c r="I541" i="4"/>
  <c r="I459" i="4"/>
  <c r="I377" i="4"/>
  <c r="I289" i="4"/>
  <c r="I193" i="4"/>
  <c r="I97" i="4"/>
  <c r="I320" i="4"/>
  <c r="I248" i="4"/>
  <c r="I176" i="4"/>
  <c r="I104" i="4"/>
  <c r="I32" i="4"/>
  <c r="I639" i="4"/>
  <c r="I567" i="4"/>
  <c r="I487" i="4"/>
  <c r="I415" i="4"/>
  <c r="I343" i="4"/>
  <c r="I271" i="4"/>
  <c r="I199" i="4"/>
  <c r="I127" i="4"/>
  <c r="I55" i="4"/>
  <c r="I601" i="4"/>
  <c r="I317" i="4"/>
  <c r="I353" i="4"/>
  <c r="I154" i="4"/>
  <c r="I975" i="4"/>
  <c r="I881" i="4"/>
  <c r="I775" i="4"/>
  <c r="I642" i="4"/>
  <c r="I482" i="4"/>
  <c r="I305" i="4"/>
  <c r="I105" i="4"/>
  <c r="I884" i="4"/>
  <c r="I765" i="4"/>
  <c r="I610" i="4"/>
  <c r="I421" i="4"/>
  <c r="I186" i="4"/>
  <c r="I978" i="4"/>
  <c r="I945" i="4"/>
  <c r="I824" i="4"/>
  <c r="I684" i="4"/>
  <c r="I509" i="4"/>
  <c r="I313" i="4"/>
  <c r="I83" i="4"/>
  <c r="I958" i="4"/>
  <c r="I878" i="4"/>
  <c r="I781" i="4"/>
  <c r="I669" i="4"/>
  <c r="I540" i="4"/>
  <c r="I394" i="4"/>
  <c r="I234" i="4"/>
  <c r="I62" i="4"/>
  <c r="I957" i="4"/>
  <c r="I867" i="4"/>
  <c r="I780" i="4"/>
  <c r="I668" i="4"/>
  <c r="I539" i="4"/>
  <c r="I393" i="4"/>
  <c r="I233" i="4"/>
  <c r="I61" i="4"/>
  <c r="I742" i="4"/>
  <c r="I657" i="4"/>
  <c r="I563" i="4"/>
  <c r="I453" i="4"/>
  <c r="I344" i="4"/>
  <c r="I218" i="4"/>
  <c r="I90" i="4"/>
  <c r="I917" i="4"/>
  <c r="I845" i="4"/>
  <c r="I769" i="4"/>
  <c r="I686" i="4"/>
  <c r="I593" i="4"/>
  <c r="I489" i="4"/>
  <c r="I379" i="4"/>
  <c r="I243" i="4"/>
  <c r="I115" i="4"/>
  <c r="I800" i="4"/>
  <c r="I728" i="4"/>
  <c r="I652" i="4"/>
  <c r="I570" i="4"/>
  <c r="I488" i="4"/>
  <c r="I396" i="4"/>
  <c r="I310" i="4"/>
  <c r="I214" i="4"/>
  <c r="I118" i="4"/>
  <c r="I22" i="4"/>
  <c r="I505" i="4"/>
  <c r="I422" i="4"/>
  <c r="I331" i="4"/>
  <c r="I235" i="4"/>
  <c r="I139" i="4"/>
  <c r="I43" i="4"/>
  <c r="I288" i="4"/>
  <c r="I216" i="4"/>
  <c r="I144" i="4"/>
  <c r="I64" i="4"/>
  <c r="I671" i="4"/>
  <c r="I599" i="4"/>
  <c r="I527" i="4"/>
  <c r="I455" i="4"/>
  <c r="I383" i="4"/>
  <c r="I311" i="4"/>
  <c r="I231" i="4"/>
  <c r="I159" i="4"/>
  <c r="I87" i="4"/>
  <c r="I15" i="4"/>
  <c r="I568" i="4"/>
  <c r="I265" i="4"/>
  <c r="I334" i="4"/>
  <c r="I126" i="4"/>
  <c r="I963" i="4"/>
  <c r="I870" i="4"/>
  <c r="I762" i="4"/>
  <c r="I621" i="4"/>
  <c r="I461" i="4"/>
  <c r="I281" i="4"/>
  <c r="I51" i="4"/>
  <c r="I873" i="4"/>
  <c r="I749" i="4"/>
  <c r="I592" i="4"/>
  <c r="I401" i="4"/>
  <c r="I164" i="4"/>
  <c r="I956" i="4"/>
  <c r="I920" i="4"/>
  <c r="I810" i="4"/>
  <c r="I664" i="4"/>
  <c r="I484" i="4"/>
  <c r="I283" i="4"/>
  <c r="I57" i="4"/>
  <c r="I950" i="4"/>
  <c r="I859" i="4"/>
  <c r="I767" i="4"/>
  <c r="I654" i="4"/>
  <c r="I522" i="4"/>
  <c r="I376" i="4"/>
  <c r="I212" i="4"/>
  <c r="I42" i="4"/>
  <c r="I940" i="4"/>
  <c r="I858" i="4"/>
  <c r="I766" i="4"/>
  <c r="I653" i="4"/>
  <c r="I521" i="4"/>
  <c r="I374" i="4"/>
  <c r="I211" i="4"/>
  <c r="I25" i="4"/>
  <c r="I733" i="4"/>
  <c r="I646" i="4"/>
  <c r="I549" i="4"/>
  <c r="I440" i="4"/>
  <c r="I330" i="4"/>
  <c r="I202" i="4"/>
  <c r="I60" i="4"/>
  <c r="I909" i="4"/>
  <c r="I837" i="4"/>
  <c r="I759" i="4"/>
  <c r="I676" i="4"/>
  <c r="I582" i="4"/>
  <c r="I475" i="4"/>
  <c r="I354" i="4"/>
  <c r="I229" i="4"/>
  <c r="I101" i="4"/>
  <c r="I792" i="4"/>
  <c r="I720" i="4"/>
  <c r="I643" i="4"/>
  <c r="I561" i="4"/>
  <c r="I469" i="4"/>
  <c r="I387" i="4"/>
  <c r="I300" i="4"/>
  <c r="I204" i="4"/>
  <c r="I108" i="4"/>
  <c r="I12" i="4"/>
  <c r="I496" i="4"/>
  <c r="I404" i="4"/>
  <c r="I321" i="4"/>
  <c r="I225" i="4"/>
  <c r="I129" i="4"/>
  <c r="I33" i="4"/>
  <c r="I280" i="4"/>
  <c r="I208" i="4"/>
  <c r="I128" i="4"/>
  <c r="I56" i="4"/>
  <c r="I663" i="4"/>
  <c r="I591" i="4"/>
  <c r="I519" i="4"/>
  <c r="I447" i="4"/>
  <c r="I375" i="4"/>
  <c r="I295" i="4"/>
  <c r="I223" i="4"/>
  <c r="I151" i="4"/>
  <c r="I79" i="4"/>
  <c r="I47" i="4"/>
  <c r="I111" i="4"/>
  <c r="I175" i="4"/>
  <c r="I239" i="4"/>
  <c r="I303" i="4"/>
  <c r="I367" i="4"/>
  <c r="I431" i="4"/>
  <c r="I495" i="4"/>
  <c r="I559" i="4"/>
  <c r="I623" i="4"/>
  <c r="I8" i="4"/>
  <c r="I72" i="4"/>
  <c r="I136" i="4"/>
  <c r="I200" i="4"/>
  <c r="I264" i="4"/>
  <c r="I328" i="4"/>
  <c r="I85" i="4"/>
  <c r="I171" i="4"/>
  <c r="I257" i="4"/>
  <c r="I340" i="4"/>
  <c r="I413" i="4"/>
  <c r="I486" i="4"/>
  <c r="I560" i="4"/>
  <c r="I76" i="4"/>
  <c r="I162" i="4"/>
  <c r="I246" i="4"/>
  <c r="I332" i="4"/>
  <c r="I405" i="4"/>
  <c r="I478" i="4"/>
  <c r="I552" i="4"/>
  <c r="I625" i="4"/>
  <c r="I696" i="4"/>
  <c r="I760" i="4"/>
  <c r="I29" i="4"/>
  <c r="I145" i="4"/>
  <c r="I259" i="4"/>
  <c r="I365" i="4"/>
  <c r="I464" i="4"/>
  <c r="I562" i="4"/>
  <c r="I645" i="4"/>
  <c r="I723" i="4"/>
  <c r="I796" i="4"/>
  <c r="I861" i="4"/>
  <c r="I925" i="4"/>
  <c r="I74" i="4"/>
  <c r="I188" i="4"/>
  <c r="I302" i="4"/>
  <c r="I403" i="4"/>
  <c r="I501" i="4"/>
  <c r="I594" i="4"/>
  <c r="I677" i="4"/>
  <c r="I751" i="4"/>
  <c r="I41" i="4"/>
  <c r="I195" i="4"/>
  <c r="I345" i="4"/>
  <c r="I473" i="4"/>
  <c r="I598" i="4"/>
  <c r="I707" i="4"/>
  <c r="I803" i="4"/>
  <c r="I876" i="4"/>
  <c r="I949" i="4"/>
  <c r="I26" i="4"/>
  <c r="I178" i="4"/>
  <c r="I326" i="4"/>
  <c r="I458" i="4"/>
  <c r="I586" i="4"/>
  <c r="I694" i="4"/>
  <c r="I793" i="4"/>
  <c r="I868" i="4"/>
  <c r="I942" i="4"/>
  <c r="I9" i="4"/>
  <c r="I209" i="4"/>
  <c r="I400" i="4"/>
  <c r="I574" i="4"/>
  <c r="I716" i="4"/>
  <c r="I835" i="4"/>
  <c r="I934" i="4"/>
  <c r="I898" i="4"/>
  <c r="I110" i="4"/>
  <c r="I337" i="4"/>
  <c r="I510" i="4"/>
  <c r="I665" i="4"/>
  <c r="I799" i="4"/>
  <c r="I910" i="4"/>
  <c r="I77" i="4"/>
  <c r="I911" i="3"/>
  <c r="I511" i="3"/>
  <c r="I87" i="3"/>
  <c r="I676" i="3"/>
  <c r="I243" i="3"/>
  <c r="I662" i="3"/>
  <c r="I725" i="3"/>
  <c r="I98" i="3"/>
  <c r="I965" i="3"/>
  <c r="I76" i="3"/>
  <c r="I599" i="3"/>
  <c r="I199" i="3"/>
  <c r="I85" i="3"/>
  <c r="I531" i="3"/>
  <c r="I774" i="3"/>
  <c r="I158" i="3"/>
  <c r="I458" i="3"/>
  <c r="I321" i="3"/>
  <c r="I860" i="3"/>
  <c r="I815" i="3"/>
  <c r="I399" i="3"/>
  <c r="I989" i="3"/>
  <c r="I196" i="3"/>
  <c r="I974" i="3"/>
  <c r="I566" i="3"/>
  <c r="I371" i="3"/>
  <c r="I28" i="3"/>
  <c r="I116" i="3"/>
  <c r="I508" i="3"/>
  <c r="I719" i="3"/>
  <c r="I319" i="3"/>
  <c r="I389" i="3"/>
  <c r="I923" i="3"/>
  <c r="I886" i="3"/>
  <c r="I462" i="3"/>
  <c r="I802" i="3"/>
  <c r="I689" i="3"/>
  <c r="I59" i="3"/>
  <c r="I404" i="3"/>
  <c r="I711" i="3"/>
  <c r="I303" i="3"/>
  <c r="I373" i="3"/>
  <c r="I899" i="3"/>
  <c r="I862" i="3"/>
  <c r="I430" i="3"/>
  <c r="I786" i="3"/>
  <c r="I681" i="3"/>
  <c r="I688" i="3"/>
  <c r="I919" i="3"/>
  <c r="I519" i="3"/>
  <c r="I111" i="3"/>
  <c r="I716" i="3"/>
  <c r="I291" i="3"/>
  <c r="I670" i="3"/>
  <c r="I733" i="3"/>
  <c r="I138" i="3"/>
  <c r="I997" i="3"/>
  <c r="I892" i="3"/>
  <c r="I831" i="3"/>
  <c r="I407" i="3"/>
  <c r="I7" i="3"/>
  <c r="I300" i="3"/>
  <c r="I982" i="3"/>
  <c r="I582" i="3"/>
  <c r="I491" i="3"/>
  <c r="I92" i="3"/>
  <c r="I245" i="3"/>
  <c r="I108" i="3"/>
  <c r="I623" i="3"/>
  <c r="I207" i="3"/>
  <c r="I133" i="3"/>
  <c r="I563" i="3"/>
  <c r="I782" i="3"/>
  <c r="I174" i="3"/>
  <c r="I466" i="3"/>
  <c r="I361" i="3"/>
  <c r="I360" i="3"/>
  <c r="I636" i="3"/>
  <c r="I252" i="3"/>
  <c r="I967" i="3"/>
  <c r="I855" i="3"/>
  <c r="I767" i="3"/>
  <c r="I655" i="3"/>
  <c r="I559" i="3"/>
  <c r="I455" i="3"/>
  <c r="I343" i="3"/>
  <c r="I255" i="3"/>
  <c r="I143" i="3"/>
  <c r="I47" i="3"/>
  <c r="I541" i="3"/>
  <c r="I213" i="3"/>
  <c r="I916" i="3"/>
  <c r="I452" i="3"/>
  <c r="I36" i="3"/>
  <c r="I707" i="3"/>
  <c r="I363" i="3"/>
  <c r="I91" i="3"/>
  <c r="I918" i="3"/>
  <c r="I822" i="3"/>
  <c r="I718" i="3"/>
  <c r="I606" i="3"/>
  <c r="I518" i="3"/>
  <c r="I302" i="3"/>
  <c r="I933" i="3"/>
  <c r="I907" i="3"/>
  <c r="I970" i="3"/>
  <c r="I610" i="3"/>
  <c r="I274" i="3"/>
  <c r="I796" i="3"/>
  <c r="I833" i="3"/>
  <c r="I497" i="3"/>
  <c r="I169" i="3"/>
  <c r="I525" i="3"/>
  <c r="I628" i="3"/>
  <c r="I547" i="3"/>
  <c r="I832" i="3"/>
  <c r="I496" i="3"/>
  <c r="I168" i="3"/>
  <c r="I604" i="3"/>
  <c r="I172" i="3"/>
  <c r="I959" i="3"/>
  <c r="I847" i="3"/>
  <c r="I751" i="3"/>
  <c r="I647" i="3"/>
  <c r="I535" i="3"/>
  <c r="I447" i="3"/>
  <c r="I335" i="3"/>
  <c r="I239" i="3"/>
  <c r="I135" i="3"/>
  <c r="I23" i="3"/>
  <c r="I501" i="3"/>
  <c r="I189" i="3"/>
  <c r="I844" i="3"/>
  <c r="I412" i="3"/>
  <c r="I971" i="3"/>
  <c r="I683" i="3"/>
  <c r="I339" i="3"/>
  <c r="I43" i="3"/>
  <c r="I910" i="3"/>
  <c r="I798" i="3"/>
  <c r="I710" i="3"/>
  <c r="I598" i="3"/>
  <c r="I502" i="3"/>
  <c r="I286" i="3"/>
  <c r="I893" i="3"/>
  <c r="I883" i="3"/>
  <c r="I930" i="3"/>
  <c r="I594" i="3"/>
  <c r="I266" i="3"/>
  <c r="I620" i="3"/>
  <c r="I817" i="3"/>
  <c r="I489" i="3"/>
  <c r="I129" i="3"/>
  <c r="I509" i="3"/>
  <c r="I596" i="3"/>
  <c r="I427" i="3"/>
  <c r="I816" i="3"/>
  <c r="I488" i="3"/>
  <c r="I128" i="3"/>
  <c r="I221" i="3"/>
  <c r="I963" i="3"/>
  <c r="I11" i="3"/>
  <c r="I680" i="3"/>
  <c r="I320" i="3"/>
  <c r="I836" i="3"/>
  <c r="I372" i="3"/>
  <c r="I12" i="3"/>
  <c r="I903" i="3"/>
  <c r="I791" i="3"/>
  <c r="I703" i="3"/>
  <c r="I591" i="3"/>
  <c r="I495" i="3"/>
  <c r="I391" i="3"/>
  <c r="I279" i="3"/>
  <c r="I191" i="3"/>
  <c r="I79" i="3"/>
  <c r="I661" i="3"/>
  <c r="I357" i="3"/>
  <c r="I13" i="3"/>
  <c r="I644" i="3"/>
  <c r="I164" i="3"/>
  <c r="I843" i="3"/>
  <c r="I507" i="3"/>
  <c r="I155" i="3"/>
  <c r="I966" i="3"/>
  <c r="I854" i="3"/>
  <c r="I758" i="3"/>
  <c r="I654" i="3"/>
  <c r="I542" i="3"/>
  <c r="I414" i="3"/>
  <c r="I150" i="3"/>
  <c r="I589" i="3"/>
  <c r="I323" i="3"/>
  <c r="I778" i="3"/>
  <c r="I418" i="3"/>
  <c r="I82" i="3"/>
  <c r="I1001" i="3"/>
  <c r="I641" i="3"/>
  <c r="I305" i="3"/>
  <c r="I957" i="3"/>
  <c r="I117" i="3"/>
  <c r="I915" i="3"/>
  <c r="I1000" i="3"/>
  <c r="I640" i="3"/>
  <c r="I304" i="3"/>
  <c r="I772" i="3"/>
  <c r="I340" i="3"/>
  <c r="I983" i="3"/>
  <c r="I895" i="3"/>
  <c r="I783" i="3"/>
  <c r="I687" i="3"/>
  <c r="I583" i="3"/>
  <c r="I471" i="3"/>
  <c r="I383" i="3"/>
  <c r="I271" i="3"/>
  <c r="I175" i="3"/>
  <c r="I71" i="3"/>
  <c r="I597" i="3"/>
  <c r="I333" i="3"/>
  <c r="I980" i="3"/>
  <c r="I580" i="3"/>
  <c r="I132" i="3"/>
  <c r="I763" i="3"/>
  <c r="I483" i="3"/>
  <c r="I131" i="3"/>
  <c r="I950" i="3"/>
  <c r="I846" i="3"/>
  <c r="I734" i="3"/>
  <c r="I646" i="3"/>
  <c r="I534" i="3"/>
  <c r="I342" i="3"/>
  <c r="I110" i="3"/>
  <c r="I325" i="3"/>
  <c r="I299" i="3"/>
  <c r="I738" i="3"/>
  <c r="I402" i="3"/>
  <c r="I74" i="3"/>
  <c r="I961" i="3"/>
  <c r="I625" i="3"/>
  <c r="I297" i="3"/>
  <c r="I885" i="3"/>
  <c r="I69" i="3"/>
  <c r="I891" i="3"/>
  <c r="I960" i="3"/>
  <c r="I624" i="3"/>
  <c r="I296" i="3"/>
  <c r="I668" i="3"/>
  <c r="I316" i="3"/>
  <c r="I975" i="3"/>
  <c r="I879" i="3"/>
  <c r="I775" i="3"/>
  <c r="I663" i="3"/>
  <c r="I575" i="3"/>
  <c r="I463" i="3"/>
  <c r="I367" i="3"/>
  <c r="I263" i="3"/>
  <c r="I151" i="3"/>
  <c r="I63" i="3"/>
  <c r="I565" i="3"/>
  <c r="I285" i="3"/>
  <c r="I948" i="3"/>
  <c r="I484" i="3"/>
  <c r="I100" i="3"/>
  <c r="I731" i="3"/>
  <c r="I435" i="3"/>
  <c r="I107" i="3"/>
  <c r="I926" i="3"/>
  <c r="I838" i="3"/>
  <c r="I726" i="3"/>
  <c r="I630" i="3"/>
  <c r="I526" i="3"/>
  <c r="I334" i="3"/>
  <c r="I22" i="3"/>
  <c r="I955" i="3"/>
  <c r="I978" i="3"/>
  <c r="I650" i="3"/>
  <c r="I290" i="3"/>
  <c r="I828" i="3"/>
  <c r="I873" i="3"/>
  <c r="I513" i="3"/>
  <c r="I177" i="3"/>
  <c r="I581" i="3"/>
  <c r="I684" i="3"/>
  <c r="I571" i="3"/>
  <c r="I872" i="3"/>
  <c r="I512" i="3"/>
  <c r="I176" i="3"/>
  <c r="I924" i="3"/>
  <c r="I572" i="3"/>
  <c r="I140" i="3"/>
  <c r="I943" i="3"/>
  <c r="I839" i="3"/>
  <c r="I727" i="3"/>
  <c r="I639" i="3"/>
  <c r="I527" i="3"/>
  <c r="I431" i="3"/>
  <c r="I327" i="3"/>
  <c r="I215" i="3"/>
  <c r="I127" i="3"/>
  <c r="I15" i="3"/>
  <c r="I461" i="3"/>
  <c r="I165" i="3"/>
  <c r="I748" i="3"/>
  <c r="I380" i="3"/>
  <c r="I947" i="3"/>
  <c r="I635" i="3"/>
  <c r="I315" i="3"/>
  <c r="I990" i="3"/>
  <c r="I902" i="3"/>
  <c r="I790" i="3"/>
  <c r="I694" i="3"/>
  <c r="I590" i="3"/>
  <c r="I470" i="3"/>
  <c r="I238" i="3"/>
  <c r="I877" i="3"/>
  <c r="I747" i="3"/>
  <c r="I914" i="3"/>
  <c r="I586" i="3"/>
  <c r="I226" i="3"/>
  <c r="I556" i="3"/>
  <c r="I809" i="3"/>
  <c r="I449" i="3"/>
  <c r="I113" i="3"/>
  <c r="I493" i="3"/>
  <c r="I444" i="3"/>
  <c r="I379" i="3"/>
  <c r="I808" i="3"/>
  <c r="I448" i="3"/>
  <c r="I112" i="3"/>
  <c r="I804" i="3"/>
  <c r="I540" i="3"/>
  <c r="I284" i="3"/>
  <c r="I44" i="3"/>
  <c r="I951" i="3"/>
  <c r="I887" i="3"/>
  <c r="I823" i="3"/>
  <c r="I759" i="3"/>
  <c r="I695" i="3"/>
  <c r="I631" i="3"/>
  <c r="I567" i="3"/>
  <c r="I503" i="3"/>
  <c r="I439" i="3"/>
  <c r="I375" i="3"/>
  <c r="I311" i="3"/>
  <c r="I247" i="3"/>
  <c r="I183" i="3"/>
  <c r="I119" i="3"/>
  <c r="I55" i="3"/>
  <c r="I693" i="3"/>
  <c r="I485" i="3"/>
  <c r="I309" i="3"/>
  <c r="I109" i="3"/>
  <c r="I884" i="3"/>
  <c r="I612" i="3"/>
  <c r="I348" i="3"/>
  <c r="I68" i="3"/>
  <c r="I875" i="3"/>
  <c r="I659" i="3"/>
  <c r="I459" i="3"/>
  <c r="I267" i="3"/>
  <c r="I67" i="3"/>
  <c r="I958" i="3"/>
  <c r="I894" i="3"/>
  <c r="I830" i="3"/>
  <c r="I766" i="3"/>
  <c r="I702" i="3"/>
  <c r="I638" i="3"/>
  <c r="I574" i="3"/>
  <c r="I510" i="3"/>
  <c r="I406" i="3"/>
  <c r="I278" i="3"/>
  <c r="I94" i="3"/>
  <c r="I821" i="3"/>
  <c r="I301" i="3"/>
  <c r="I699" i="3"/>
  <c r="I171" i="3"/>
  <c r="I906" i="3"/>
  <c r="I722" i="3"/>
  <c r="I546" i="3"/>
  <c r="I394" i="3"/>
  <c r="I210" i="3"/>
  <c r="I34" i="3"/>
  <c r="I524" i="3"/>
  <c r="I945" i="3"/>
  <c r="I769" i="3"/>
  <c r="I617" i="3"/>
  <c r="I433" i="3"/>
  <c r="I257" i="3"/>
  <c r="I105" i="3"/>
  <c r="I837" i="3"/>
  <c r="I429" i="3"/>
  <c r="I45" i="3"/>
  <c r="I396" i="3"/>
  <c r="I787" i="3"/>
  <c r="I355" i="3"/>
  <c r="I944" i="3"/>
  <c r="I768" i="3"/>
  <c r="I616" i="3"/>
  <c r="I432" i="3"/>
  <c r="I256" i="3"/>
  <c r="I104" i="3"/>
  <c r="I805" i="3"/>
  <c r="I675" i="3"/>
  <c r="I866" i="3"/>
  <c r="I530" i="3"/>
  <c r="I202" i="3"/>
  <c r="I356" i="3"/>
  <c r="I577" i="3"/>
  <c r="I241" i="3"/>
  <c r="I789" i="3"/>
  <c r="I364" i="3"/>
  <c r="I936" i="3"/>
  <c r="I424" i="3"/>
  <c r="I988" i="3"/>
  <c r="I732" i="3"/>
  <c r="I468" i="3"/>
  <c r="I228" i="3"/>
  <c r="I999" i="3"/>
  <c r="I935" i="3"/>
  <c r="I871" i="3"/>
  <c r="I807" i="3"/>
  <c r="I743" i="3"/>
  <c r="I679" i="3"/>
  <c r="I615" i="3"/>
  <c r="I551" i="3"/>
  <c r="I487" i="3"/>
  <c r="I423" i="3"/>
  <c r="I359" i="3"/>
  <c r="I295" i="3"/>
  <c r="I231" i="3"/>
  <c r="I167" i="3"/>
  <c r="I103" i="3"/>
  <c r="I39" i="3"/>
  <c r="I637" i="3"/>
  <c r="I437" i="3"/>
  <c r="I261" i="3"/>
  <c r="I61" i="3"/>
  <c r="I812" i="3"/>
  <c r="I548" i="3"/>
  <c r="I268" i="3"/>
  <c r="I4" i="3"/>
  <c r="I819" i="3"/>
  <c r="I611" i="3"/>
  <c r="I411" i="3"/>
  <c r="I211" i="3"/>
  <c r="I19" i="3"/>
  <c r="I942" i="3"/>
  <c r="I878" i="3"/>
  <c r="I814" i="3"/>
  <c r="I750" i="3"/>
  <c r="I686" i="3"/>
  <c r="I622" i="3"/>
  <c r="I558" i="3"/>
  <c r="I494" i="3"/>
  <c r="I366" i="3"/>
  <c r="I222" i="3"/>
  <c r="I46" i="3"/>
  <c r="I797" i="3"/>
  <c r="I125" i="3"/>
  <c r="I555" i="3"/>
  <c r="I99" i="3"/>
  <c r="I850" i="3"/>
  <c r="I674" i="3"/>
  <c r="I522" i="3"/>
  <c r="I338" i="3"/>
  <c r="I162" i="3"/>
  <c r="I10" i="3"/>
  <c r="I292" i="3"/>
  <c r="I897" i="3"/>
  <c r="I745" i="3"/>
  <c r="I561" i="3"/>
  <c r="I385" i="3"/>
  <c r="I233" i="3"/>
  <c r="I49" i="3"/>
  <c r="I629" i="3"/>
  <c r="I397" i="3"/>
  <c r="I852" i="3"/>
  <c r="I212" i="3"/>
  <c r="I739" i="3"/>
  <c r="I203" i="3"/>
  <c r="I896" i="3"/>
  <c r="I744" i="3"/>
  <c r="I560" i="3"/>
  <c r="I384" i="3"/>
  <c r="I232" i="3"/>
  <c r="I48" i="3"/>
  <c r="I398" i="3"/>
  <c r="I86" i="3"/>
  <c r="I173" i="3"/>
  <c r="I123" i="3"/>
  <c r="I714" i="3"/>
  <c r="I354" i="3"/>
  <c r="I18" i="3"/>
  <c r="I937" i="3"/>
  <c r="I753" i="3"/>
  <c r="I425" i="3"/>
  <c r="I65" i="3"/>
  <c r="I405" i="3"/>
  <c r="I908" i="3"/>
  <c r="I755" i="3"/>
  <c r="I235" i="3"/>
  <c r="I752" i="3"/>
  <c r="I576" i="3"/>
  <c r="I240" i="3"/>
  <c r="I64" i="3"/>
  <c r="I956" i="3"/>
  <c r="I700" i="3"/>
  <c r="I436" i="3"/>
  <c r="I204" i="3"/>
  <c r="I991" i="3"/>
  <c r="I927" i="3"/>
  <c r="I863" i="3"/>
  <c r="I799" i="3"/>
  <c r="I735" i="3"/>
  <c r="I671" i="3"/>
  <c r="I607" i="3"/>
  <c r="I543" i="3"/>
  <c r="I479" i="3"/>
  <c r="I415" i="3"/>
  <c r="I351" i="3"/>
  <c r="I287" i="3"/>
  <c r="I223" i="3"/>
  <c r="I159" i="3"/>
  <c r="I95" i="3"/>
  <c r="I31" i="3"/>
  <c r="I621" i="3"/>
  <c r="I413" i="3"/>
  <c r="I237" i="3"/>
  <c r="I37" i="3"/>
  <c r="I780" i="3"/>
  <c r="I516" i="3"/>
  <c r="I236" i="3"/>
  <c r="I995" i="3"/>
  <c r="I795" i="3"/>
  <c r="I587" i="3"/>
  <c r="I387" i="3"/>
  <c r="I187" i="3"/>
  <c r="I998" i="3"/>
  <c r="I934" i="3"/>
  <c r="I870" i="3"/>
  <c r="I806" i="3"/>
  <c r="I742" i="3"/>
  <c r="I678" i="3"/>
  <c r="I614" i="3"/>
  <c r="I550" i="3"/>
  <c r="I478" i="3"/>
  <c r="I350" i="3"/>
  <c r="I214" i="3"/>
  <c r="I30" i="3"/>
  <c r="I749" i="3"/>
  <c r="I101" i="3"/>
  <c r="I515" i="3"/>
  <c r="I994" i="3"/>
  <c r="I842" i="3"/>
  <c r="I658" i="3"/>
  <c r="I482" i="3"/>
  <c r="I330" i="3"/>
  <c r="I146" i="3"/>
  <c r="I900" i="3"/>
  <c r="I260" i="3"/>
  <c r="I881" i="3"/>
  <c r="I705" i="3"/>
  <c r="I553" i="3"/>
  <c r="I369" i="3"/>
  <c r="I193" i="3"/>
  <c r="I41" i="3"/>
  <c r="I605" i="3"/>
  <c r="I293" i="3"/>
  <c r="I820" i="3"/>
  <c r="I148" i="3"/>
  <c r="I619" i="3"/>
  <c r="I179" i="3"/>
  <c r="I880" i="3"/>
  <c r="I704" i="3"/>
  <c r="I552" i="3"/>
  <c r="I368" i="3"/>
  <c r="I192" i="3"/>
  <c r="I40" i="3"/>
  <c r="I486" i="3"/>
  <c r="I422" i="3"/>
  <c r="I358" i="3"/>
  <c r="I294" i="3"/>
  <c r="I230" i="3"/>
  <c r="I166" i="3"/>
  <c r="I102" i="3"/>
  <c r="I38" i="3"/>
  <c r="I909" i="3"/>
  <c r="I813" i="3"/>
  <c r="I741" i="3"/>
  <c r="I349" i="3"/>
  <c r="I149" i="3"/>
  <c r="I931" i="3"/>
  <c r="I723" i="3"/>
  <c r="I539" i="3"/>
  <c r="I347" i="3"/>
  <c r="I147" i="3"/>
  <c r="I986" i="3"/>
  <c r="I922" i="3"/>
  <c r="I858" i="3"/>
  <c r="I794" i="3"/>
  <c r="I730" i="3"/>
  <c r="I666" i="3"/>
  <c r="I602" i="3"/>
  <c r="I538" i="3"/>
  <c r="I474" i="3"/>
  <c r="I410" i="3"/>
  <c r="I346" i="3"/>
  <c r="I282" i="3"/>
  <c r="I218" i="3"/>
  <c r="I154" i="3"/>
  <c r="I90" i="3"/>
  <c r="I26" i="3"/>
  <c r="I868" i="3"/>
  <c r="I588" i="3"/>
  <c r="I324" i="3"/>
  <c r="I60" i="3"/>
  <c r="I953" i="3"/>
  <c r="I889" i="3"/>
  <c r="I825" i="3"/>
  <c r="I761" i="3"/>
  <c r="I697" i="3"/>
  <c r="I633" i="3"/>
  <c r="I569" i="3"/>
  <c r="I505" i="3"/>
  <c r="I441" i="3"/>
  <c r="I377" i="3"/>
  <c r="I313" i="3"/>
  <c r="I249" i="3"/>
  <c r="I185" i="3"/>
  <c r="I121" i="3"/>
  <c r="I57" i="3"/>
  <c r="I981" i="3"/>
  <c r="I869" i="3"/>
  <c r="I613" i="3"/>
  <c r="I517" i="3"/>
  <c r="I421" i="3"/>
  <c r="I269" i="3"/>
  <c r="I93" i="3"/>
  <c r="I876" i="3"/>
  <c r="I660" i="3"/>
  <c r="I420" i="3"/>
  <c r="I180" i="3"/>
  <c r="I939" i="3"/>
  <c r="I771" i="3"/>
  <c r="I595" i="3"/>
  <c r="I403" i="3"/>
  <c r="I219" i="3"/>
  <c r="I35" i="3"/>
  <c r="I952" i="3"/>
  <c r="I888" i="3"/>
  <c r="I824" i="3"/>
  <c r="I760" i="3"/>
  <c r="I696" i="3"/>
  <c r="I632" i="3"/>
  <c r="I568" i="3"/>
  <c r="I504" i="3"/>
  <c r="I440" i="3"/>
  <c r="I376" i="3"/>
  <c r="I312" i="3"/>
  <c r="I248" i="3"/>
  <c r="I184" i="3"/>
  <c r="I120" i="3"/>
  <c r="I56" i="3"/>
  <c r="I270" i="3"/>
  <c r="I206" i="3"/>
  <c r="I142" i="3"/>
  <c r="I78" i="3"/>
  <c r="I14" i="3"/>
  <c r="I861" i="3"/>
  <c r="I781" i="3"/>
  <c r="I717" i="3"/>
  <c r="I277" i="3"/>
  <c r="I77" i="3"/>
  <c r="I851" i="3"/>
  <c r="I651" i="3"/>
  <c r="I467" i="3"/>
  <c r="I275" i="3"/>
  <c r="I75" i="3"/>
  <c r="I962" i="3"/>
  <c r="I898" i="3"/>
  <c r="I834" i="3"/>
  <c r="I770" i="3"/>
  <c r="I706" i="3"/>
  <c r="I642" i="3"/>
  <c r="I578" i="3"/>
  <c r="I514" i="3"/>
  <c r="I450" i="3"/>
  <c r="I386" i="3"/>
  <c r="I322" i="3"/>
  <c r="I258" i="3"/>
  <c r="I194" i="3"/>
  <c r="I130" i="3"/>
  <c r="I66" i="3"/>
  <c r="I2" i="3"/>
  <c r="I764" i="3"/>
  <c r="I492" i="3"/>
  <c r="I220" i="3"/>
  <c r="I993" i="3"/>
  <c r="I929" i="3"/>
  <c r="I865" i="3"/>
  <c r="I801" i="3"/>
  <c r="I737" i="3"/>
  <c r="I673" i="3"/>
  <c r="I609" i="3"/>
  <c r="I545" i="3"/>
  <c r="I481" i="3"/>
  <c r="I417" i="3"/>
  <c r="I353" i="3"/>
  <c r="I289" i="3"/>
  <c r="I225" i="3"/>
  <c r="I161" i="3"/>
  <c r="I97" i="3"/>
  <c r="I33" i="3"/>
  <c r="I941" i="3"/>
  <c r="I677" i="3"/>
  <c r="I573" i="3"/>
  <c r="I477" i="3"/>
  <c r="I381" i="3"/>
  <c r="I205" i="3"/>
  <c r="I29" i="3"/>
  <c r="I788" i="3"/>
  <c r="I564" i="3"/>
  <c r="I332" i="3"/>
  <c r="I84" i="3"/>
  <c r="I867" i="3"/>
  <c r="I715" i="3"/>
  <c r="I523" i="3"/>
  <c r="I331" i="3"/>
  <c r="I163" i="3"/>
  <c r="I992" i="3"/>
  <c r="I928" i="3"/>
  <c r="I864" i="3"/>
  <c r="I800" i="3"/>
  <c r="I736" i="3"/>
  <c r="I672" i="3"/>
  <c r="I608" i="3"/>
  <c r="I544" i="3"/>
  <c r="I480" i="3"/>
  <c r="I416" i="3"/>
  <c r="I352" i="3"/>
  <c r="I288" i="3"/>
  <c r="I224" i="3"/>
  <c r="I160" i="3"/>
  <c r="I96" i="3"/>
  <c r="I32" i="3"/>
  <c r="I454" i="3"/>
  <c r="I390" i="3"/>
  <c r="I326" i="3"/>
  <c r="I262" i="3"/>
  <c r="I198" i="3"/>
  <c r="I134" i="3"/>
  <c r="I70" i="3"/>
  <c r="I6" i="3"/>
  <c r="I853" i="3"/>
  <c r="I773" i="3"/>
  <c r="I709" i="3"/>
  <c r="I253" i="3"/>
  <c r="I53" i="3"/>
  <c r="I827" i="3"/>
  <c r="I627" i="3"/>
  <c r="I443" i="3"/>
  <c r="I251" i="3"/>
  <c r="I51" i="3"/>
  <c r="I954" i="3"/>
  <c r="I890" i="3"/>
  <c r="I826" i="3"/>
  <c r="I762" i="3"/>
  <c r="I698" i="3"/>
  <c r="I634" i="3"/>
  <c r="I570" i="3"/>
  <c r="I506" i="3"/>
  <c r="I442" i="3"/>
  <c r="I378" i="3"/>
  <c r="I314" i="3"/>
  <c r="I250" i="3"/>
  <c r="I186" i="3"/>
  <c r="I122" i="3"/>
  <c r="I58" i="3"/>
  <c r="I996" i="3"/>
  <c r="I724" i="3"/>
  <c r="I460" i="3"/>
  <c r="I188" i="3"/>
  <c r="I985" i="3"/>
  <c r="I921" i="3"/>
  <c r="I857" i="3"/>
  <c r="I793" i="3"/>
  <c r="I729" i="3"/>
  <c r="I665" i="3"/>
  <c r="I601" i="3"/>
  <c r="I537" i="3"/>
  <c r="I473" i="3"/>
  <c r="I409" i="3"/>
  <c r="I345" i="3"/>
  <c r="I281" i="3"/>
  <c r="I217" i="3"/>
  <c r="I153" i="3"/>
  <c r="I89" i="3"/>
  <c r="I25" i="3"/>
  <c r="I925" i="3"/>
  <c r="I669" i="3"/>
  <c r="I557" i="3"/>
  <c r="I469" i="3"/>
  <c r="I365" i="3"/>
  <c r="I181" i="3"/>
  <c r="I5" i="3"/>
  <c r="I756" i="3"/>
  <c r="I532" i="3"/>
  <c r="I308" i="3"/>
  <c r="I52" i="3"/>
  <c r="I859" i="3"/>
  <c r="I691" i="3"/>
  <c r="I499" i="3"/>
  <c r="I307" i="3"/>
  <c r="I139" i="3"/>
  <c r="I984" i="3"/>
  <c r="I920" i="3"/>
  <c r="I856" i="3"/>
  <c r="I792" i="3"/>
  <c r="I728" i="3"/>
  <c r="I664" i="3"/>
  <c r="I600" i="3"/>
  <c r="I536" i="3"/>
  <c r="I472" i="3"/>
  <c r="I408" i="3"/>
  <c r="I344" i="3"/>
  <c r="I280" i="3"/>
  <c r="I216" i="3"/>
  <c r="I152" i="3"/>
  <c r="I88" i="3"/>
  <c r="I24" i="3"/>
  <c r="I446" i="3"/>
  <c r="I382" i="3"/>
  <c r="I318" i="3"/>
  <c r="I254" i="3"/>
  <c r="I190" i="3"/>
  <c r="I126" i="3"/>
  <c r="I62" i="3"/>
  <c r="I973" i="3"/>
  <c r="I845" i="3"/>
  <c r="I765" i="3"/>
  <c r="I701" i="3"/>
  <c r="I229" i="3"/>
  <c r="I21" i="3"/>
  <c r="I803" i="3"/>
  <c r="I603" i="3"/>
  <c r="I419" i="3"/>
  <c r="I227" i="3"/>
  <c r="I27" i="3"/>
  <c r="I946" i="3"/>
  <c r="I882" i="3"/>
  <c r="I818" i="3"/>
  <c r="I754" i="3"/>
  <c r="I690" i="3"/>
  <c r="I626" i="3"/>
  <c r="I562" i="3"/>
  <c r="I498" i="3"/>
  <c r="I434" i="3"/>
  <c r="I370" i="3"/>
  <c r="I306" i="3"/>
  <c r="I242" i="3"/>
  <c r="I178" i="3"/>
  <c r="I114" i="3"/>
  <c r="I50" i="3"/>
  <c r="I964" i="3"/>
  <c r="I692" i="3"/>
  <c r="I428" i="3"/>
  <c r="I156" i="3"/>
  <c r="I977" i="3"/>
  <c r="I913" i="3"/>
  <c r="I849" i="3"/>
  <c r="I785" i="3"/>
  <c r="I721" i="3"/>
  <c r="I657" i="3"/>
  <c r="I593" i="3"/>
  <c r="I529" i="3"/>
  <c r="I465" i="3"/>
  <c r="I401" i="3"/>
  <c r="I337" i="3"/>
  <c r="I273" i="3"/>
  <c r="I209" i="3"/>
  <c r="I145" i="3"/>
  <c r="I81" i="3"/>
  <c r="I17" i="3"/>
  <c r="I917" i="3"/>
  <c r="I653" i="3"/>
  <c r="I549" i="3"/>
  <c r="I453" i="3"/>
  <c r="I341" i="3"/>
  <c r="I157" i="3"/>
  <c r="I972" i="3"/>
  <c r="I740" i="3"/>
  <c r="I500" i="3"/>
  <c r="I276" i="3"/>
  <c r="I20" i="3"/>
  <c r="I835" i="3"/>
  <c r="I667" i="3"/>
  <c r="I475" i="3"/>
  <c r="I283" i="3"/>
  <c r="I115" i="3"/>
  <c r="I976" i="3"/>
  <c r="I912" i="3"/>
  <c r="I848" i="3"/>
  <c r="I784" i="3"/>
  <c r="I720" i="3"/>
  <c r="I656" i="3"/>
  <c r="I592" i="3"/>
  <c r="I528" i="3"/>
  <c r="I464" i="3"/>
  <c r="I400" i="3"/>
  <c r="I336" i="3"/>
  <c r="I272" i="3"/>
  <c r="I208" i="3"/>
  <c r="I144" i="3"/>
  <c r="I80" i="3"/>
  <c r="I16" i="3"/>
  <c r="I438" i="3"/>
  <c r="I374" i="3"/>
  <c r="I310" i="3"/>
  <c r="I246" i="3"/>
  <c r="I182" i="3"/>
  <c r="I118" i="3"/>
  <c r="I54" i="3"/>
  <c r="I949" i="3"/>
  <c r="I829" i="3"/>
  <c r="I757" i="3"/>
  <c r="I685" i="3"/>
  <c r="I197" i="3"/>
  <c r="I979" i="3"/>
  <c r="I779" i="3"/>
  <c r="I579" i="3"/>
  <c r="I395" i="3"/>
  <c r="I195" i="3"/>
  <c r="I3" i="3"/>
  <c r="I938" i="3"/>
  <c r="I874" i="3"/>
  <c r="I810" i="3"/>
  <c r="I746" i="3"/>
  <c r="I682" i="3"/>
  <c r="I618" i="3"/>
  <c r="I554" i="3"/>
  <c r="I490" i="3"/>
  <c r="I426" i="3"/>
  <c r="I362" i="3"/>
  <c r="I298" i="3"/>
  <c r="I234" i="3"/>
  <c r="I170" i="3"/>
  <c r="I106" i="3"/>
  <c r="I42" i="3"/>
  <c r="I932" i="3"/>
  <c r="I652" i="3"/>
  <c r="I388" i="3"/>
  <c r="I124" i="3"/>
  <c r="I969" i="3"/>
  <c r="I905" i="3"/>
  <c r="I841" i="3"/>
  <c r="I777" i="3"/>
  <c r="I713" i="3"/>
  <c r="I649" i="3"/>
  <c r="I585" i="3"/>
  <c r="I521" i="3"/>
  <c r="I457" i="3"/>
  <c r="I393" i="3"/>
  <c r="I329" i="3"/>
  <c r="I265" i="3"/>
  <c r="I201" i="3"/>
  <c r="I137" i="3"/>
  <c r="I73" i="3"/>
  <c r="I9" i="3"/>
  <c r="I901" i="3"/>
  <c r="I645" i="3"/>
  <c r="I533" i="3"/>
  <c r="I445" i="3"/>
  <c r="I317" i="3"/>
  <c r="I141" i="3"/>
  <c r="I940" i="3"/>
  <c r="I708" i="3"/>
  <c r="I476" i="3"/>
  <c r="I244" i="3"/>
  <c r="I987" i="3"/>
  <c r="I811" i="3"/>
  <c r="I643" i="3"/>
  <c r="I451" i="3"/>
  <c r="I259" i="3"/>
  <c r="I83" i="3"/>
  <c r="I968" i="3"/>
  <c r="I904" i="3"/>
  <c r="I840" i="3"/>
  <c r="I776" i="3"/>
  <c r="I712" i="3"/>
  <c r="I648" i="3"/>
  <c r="I584" i="3"/>
  <c r="I520" i="3"/>
  <c r="I456" i="3"/>
  <c r="I392" i="3"/>
  <c r="I328" i="3"/>
  <c r="I264" i="3"/>
  <c r="I200" i="3"/>
  <c r="I136" i="3"/>
  <c r="I72" i="3"/>
  <c r="K9" i="3"/>
  <c r="K17" i="3"/>
  <c r="K25" i="3"/>
  <c r="K33" i="3"/>
  <c r="K41" i="3"/>
  <c r="K49" i="3"/>
  <c r="K57" i="3"/>
  <c r="K65" i="3"/>
  <c r="K73" i="3"/>
  <c r="K81" i="3"/>
  <c r="K89" i="3"/>
  <c r="K97" i="3"/>
  <c r="K105" i="3"/>
  <c r="K113" i="3"/>
  <c r="K121" i="3"/>
  <c r="K129" i="3"/>
  <c r="K137" i="3"/>
  <c r="K145" i="3"/>
  <c r="K153" i="3"/>
  <c r="K161" i="3"/>
  <c r="K169" i="3"/>
  <c r="K177" i="3"/>
  <c r="K185" i="3"/>
  <c r="K193" i="3"/>
  <c r="K201" i="3"/>
  <c r="K209" i="3"/>
  <c r="K217" i="3"/>
  <c r="K225" i="3"/>
  <c r="K233" i="3"/>
  <c r="K241" i="3"/>
  <c r="K249" i="3"/>
  <c r="K257" i="3"/>
  <c r="K265" i="3"/>
  <c r="K273" i="3"/>
  <c r="K281" i="3"/>
  <c r="K289" i="3"/>
  <c r="K297" i="3"/>
  <c r="K305" i="3"/>
  <c r="K313" i="3"/>
  <c r="K321" i="3"/>
  <c r="K329" i="3"/>
  <c r="K337" i="3"/>
  <c r="K345" i="3"/>
  <c r="K353" i="3"/>
  <c r="K361" i="3"/>
  <c r="K369" i="3"/>
  <c r="K377" i="3"/>
  <c r="K385" i="3"/>
  <c r="K393" i="3"/>
  <c r="K401" i="3"/>
  <c r="K409" i="3"/>
  <c r="K417" i="3"/>
  <c r="K425" i="3"/>
  <c r="K433" i="3"/>
  <c r="K441" i="3"/>
  <c r="K449" i="3"/>
  <c r="K457" i="3"/>
  <c r="K465" i="3"/>
  <c r="K473" i="3"/>
  <c r="K481" i="3"/>
  <c r="K489" i="3"/>
  <c r="K497" i="3"/>
  <c r="K505" i="3"/>
  <c r="K513" i="3"/>
  <c r="K521" i="3"/>
  <c r="K529" i="3"/>
  <c r="K537" i="3"/>
  <c r="K545" i="3"/>
  <c r="K553" i="3"/>
  <c r="K561" i="3"/>
  <c r="K569" i="3"/>
  <c r="K577" i="3"/>
  <c r="K585" i="3"/>
  <c r="K593" i="3"/>
  <c r="K601" i="3"/>
  <c r="K609" i="3"/>
  <c r="K617" i="3"/>
  <c r="K625" i="3"/>
  <c r="K633" i="3"/>
  <c r="K641" i="3"/>
  <c r="K649" i="3"/>
  <c r="K657" i="3"/>
  <c r="K665" i="3"/>
  <c r="K673" i="3"/>
  <c r="K681" i="3"/>
  <c r="K689" i="3"/>
  <c r="K697" i="3"/>
  <c r="K705" i="3"/>
  <c r="K713" i="3"/>
  <c r="K721" i="3"/>
  <c r="K729" i="3"/>
  <c r="K737" i="3"/>
  <c r="K745" i="3"/>
  <c r="K753" i="3"/>
  <c r="K761" i="3"/>
  <c r="K769" i="3"/>
  <c r="K777" i="3"/>
  <c r="K785" i="3"/>
  <c r="K793" i="3"/>
  <c r="K801" i="3"/>
  <c r="K809" i="3"/>
  <c r="K817" i="3"/>
  <c r="K825" i="3"/>
  <c r="K833" i="3"/>
  <c r="K841" i="3"/>
  <c r="K849" i="3"/>
  <c r="K857" i="3"/>
  <c r="K865" i="3"/>
  <c r="K873" i="3"/>
  <c r="K881" i="3"/>
  <c r="K889" i="3"/>
  <c r="K897" i="3"/>
  <c r="K905" i="3"/>
  <c r="K913" i="3"/>
  <c r="K921" i="3"/>
  <c r="K929" i="3"/>
  <c r="K937" i="3"/>
  <c r="K945" i="3"/>
  <c r="K953" i="3"/>
  <c r="K961" i="3"/>
  <c r="K969" i="3"/>
  <c r="K977" i="3"/>
  <c r="K985" i="3"/>
  <c r="K993" i="3"/>
  <c r="K1001" i="3"/>
  <c r="K20" i="3"/>
  <c r="K28" i="3"/>
  <c r="K44" i="3"/>
  <c r="K60" i="3"/>
  <c r="K76" i="3"/>
  <c r="K92" i="3"/>
  <c r="K116" i="3"/>
  <c r="K140" i="3"/>
  <c r="K164" i="3"/>
  <c r="K188" i="3"/>
  <c r="K212" i="3"/>
  <c r="K228" i="3"/>
  <c r="K244" i="3"/>
  <c r="K260" i="3"/>
  <c r="K284" i="3"/>
  <c r="K308" i="3"/>
  <c r="K316" i="3"/>
  <c r="K340" i="3"/>
  <c r="K364" i="3"/>
  <c r="K388" i="3"/>
  <c r="K412" i="3"/>
  <c r="K436" i="3"/>
  <c r="K460" i="3"/>
  <c r="K476" i="3"/>
  <c r="K492" i="3"/>
  <c r="K508" i="3"/>
  <c r="K532" i="3"/>
  <c r="K548" i="3"/>
  <c r="K572" i="3"/>
  <c r="K596" i="3"/>
  <c r="K620" i="3"/>
  <c r="K644" i="3"/>
  <c r="K668" i="3"/>
  <c r="K692" i="3"/>
  <c r="K708" i="3"/>
  <c r="K732" i="3"/>
  <c r="K756" i="3"/>
  <c r="K780" i="3"/>
  <c r="K796" i="3"/>
  <c r="K820" i="3"/>
  <c r="K844" i="3"/>
  <c r="K868" i="3"/>
  <c r="K892" i="3"/>
  <c r="K916" i="3"/>
  <c r="K932" i="3"/>
  <c r="K956" i="3"/>
  <c r="K964" i="3"/>
  <c r="K988" i="3"/>
  <c r="K13" i="3"/>
  <c r="K37" i="3"/>
  <c r="K69" i="3"/>
  <c r="K101" i="3"/>
  <c r="K133" i="3"/>
  <c r="K165" i="3"/>
  <c r="K189" i="3"/>
  <c r="K221" i="3"/>
  <c r="K253" i="3"/>
  <c r="K277" i="3"/>
  <c r="K309" i="3"/>
  <c r="K333" i="3"/>
  <c r="K365" i="3"/>
  <c r="K397" i="3"/>
  <c r="K429" i="3"/>
  <c r="K461" i="3"/>
  <c r="K493" i="3"/>
  <c r="K525" i="3"/>
  <c r="K549" i="3"/>
  <c r="K581" i="3"/>
  <c r="K613" i="3"/>
  <c r="K645" i="3"/>
  <c r="K677" i="3"/>
  <c r="K709" i="3"/>
  <c r="K741" i="3"/>
  <c r="K773" i="3"/>
  <c r="K797" i="3"/>
  <c r="K821" i="3"/>
  <c r="K845" i="3"/>
  <c r="K877" i="3"/>
  <c r="K909" i="3"/>
  <c r="K941" i="3"/>
  <c r="K965" i="3"/>
  <c r="K997" i="3"/>
  <c r="K30" i="3"/>
  <c r="K38" i="3"/>
  <c r="K70" i="3"/>
  <c r="K78" i="3"/>
  <c r="K94" i="3"/>
  <c r="K118" i="3"/>
  <c r="K134" i="3"/>
  <c r="K166" i="3"/>
  <c r="K190" i="3"/>
  <c r="K206" i="3"/>
  <c r="K230" i="3"/>
  <c r="K270" i="3"/>
  <c r="K302" i="3"/>
  <c r="K350" i="3"/>
  <c r="K382" i="3"/>
  <c r="K406" i="3"/>
  <c r="K438" i="3"/>
  <c r="K470" i="3"/>
  <c r="K502" i="3"/>
  <c r="K534" i="3"/>
  <c r="K566" i="3"/>
  <c r="K606" i="3"/>
  <c r="K638" i="3"/>
  <c r="K662" i="3"/>
  <c r="K686" i="3"/>
  <c r="K702" i="3"/>
  <c r="K726" i="3"/>
  <c r="K750" i="3"/>
  <c r="K774" i="3"/>
  <c r="K798" i="3"/>
  <c r="K822" i="3"/>
  <c r="K846" i="3"/>
  <c r="K862" i="3"/>
  <c r="K878" i="3"/>
  <c r="K894" i="3"/>
  <c r="K918" i="3"/>
  <c r="K942" i="3"/>
  <c r="K958" i="3"/>
  <c r="K982" i="3"/>
  <c r="K2" i="3"/>
  <c r="K10" i="3"/>
  <c r="K18" i="3"/>
  <c r="K26" i="3"/>
  <c r="K34" i="3"/>
  <c r="K42" i="3"/>
  <c r="K50" i="3"/>
  <c r="K58" i="3"/>
  <c r="K66" i="3"/>
  <c r="K74" i="3"/>
  <c r="K82" i="3"/>
  <c r="K90" i="3"/>
  <c r="K98" i="3"/>
  <c r="K106" i="3"/>
  <c r="K114" i="3"/>
  <c r="K122" i="3"/>
  <c r="K130" i="3"/>
  <c r="K138" i="3"/>
  <c r="K146" i="3"/>
  <c r="K154" i="3"/>
  <c r="K162" i="3"/>
  <c r="K170" i="3"/>
  <c r="K178" i="3"/>
  <c r="K186" i="3"/>
  <c r="K194" i="3"/>
  <c r="K202" i="3"/>
  <c r="K210" i="3"/>
  <c r="K218" i="3"/>
  <c r="K226" i="3"/>
  <c r="K234" i="3"/>
  <c r="K242" i="3"/>
  <c r="K250" i="3"/>
  <c r="K258" i="3"/>
  <c r="K266" i="3"/>
  <c r="K274" i="3"/>
  <c r="K282" i="3"/>
  <c r="K290" i="3"/>
  <c r="K298" i="3"/>
  <c r="K306" i="3"/>
  <c r="K314" i="3"/>
  <c r="K322" i="3"/>
  <c r="K330" i="3"/>
  <c r="K338" i="3"/>
  <c r="K346" i="3"/>
  <c r="K354" i="3"/>
  <c r="K362" i="3"/>
  <c r="K370" i="3"/>
  <c r="K378" i="3"/>
  <c r="K386" i="3"/>
  <c r="K394" i="3"/>
  <c r="K402" i="3"/>
  <c r="K410" i="3"/>
  <c r="K418" i="3"/>
  <c r="K426" i="3"/>
  <c r="K434" i="3"/>
  <c r="K442" i="3"/>
  <c r="K450" i="3"/>
  <c r="K458" i="3"/>
  <c r="K466" i="3"/>
  <c r="K474" i="3"/>
  <c r="K482" i="3"/>
  <c r="K490" i="3"/>
  <c r="K498" i="3"/>
  <c r="K506" i="3"/>
  <c r="K514" i="3"/>
  <c r="K522" i="3"/>
  <c r="K530" i="3"/>
  <c r="K538" i="3"/>
  <c r="K546" i="3"/>
  <c r="K554" i="3"/>
  <c r="K562" i="3"/>
  <c r="K570" i="3"/>
  <c r="K578" i="3"/>
  <c r="K586" i="3"/>
  <c r="K594" i="3"/>
  <c r="K602" i="3"/>
  <c r="K610" i="3"/>
  <c r="K618" i="3"/>
  <c r="K626" i="3"/>
  <c r="K634" i="3"/>
  <c r="K642" i="3"/>
  <c r="K650" i="3"/>
  <c r="K658" i="3"/>
  <c r="K666" i="3"/>
  <c r="K674" i="3"/>
  <c r="K682" i="3"/>
  <c r="K690" i="3"/>
  <c r="K698" i="3"/>
  <c r="K706" i="3"/>
  <c r="K714" i="3"/>
  <c r="K722" i="3"/>
  <c r="K730" i="3"/>
  <c r="K738" i="3"/>
  <c r="K746" i="3"/>
  <c r="K754" i="3"/>
  <c r="K762" i="3"/>
  <c r="K770" i="3"/>
  <c r="K778" i="3"/>
  <c r="K786" i="3"/>
  <c r="K794" i="3"/>
  <c r="K802" i="3"/>
  <c r="K810" i="3"/>
  <c r="K818" i="3"/>
  <c r="K826" i="3"/>
  <c r="K834" i="3"/>
  <c r="K842" i="3"/>
  <c r="K850" i="3"/>
  <c r="K858" i="3"/>
  <c r="K866" i="3"/>
  <c r="K874" i="3"/>
  <c r="K882" i="3"/>
  <c r="K890" i="3"/>
  <c r="K898" i="3"/>
  <c r="K906" i="3"/>
  <c r="K914" i="3"/>
  <c r="K922" i="3"/>
  <c r="K930" i="3"/>
  <c r="K938" i="3"/>
  <c r="K946" i="3"/>
  <c r="K954" i="3"/>
  <c r="K962" i="3"/>
  <c r="K970" i="3"/>
  <c r="K978" i="3"/>
  <c r="K986" i="3"/>
  <c r="K994" i="3"/>
  <c r="K924" i="3"/>
  <c r="K21" i="3"/>
  <c r="K45" i="3"/>
  <c r="K77" i="3"/>
  <c r="K109" i="3"/>
  <c r="K141" i="3"/>
  <c r="K173" i="3"/>
  <c r="K205" i="3"/>
  <c r="K245" i="3"/>
  <c r="K285" i="3"/>
  <c r="K317" i="3"/>
  <c r="K349" i="3"/>
  <c r="K381" i="3"/>
  <c r="K413" i="3"/>
  <c r="K445" i="3"/>
  <c r="K469" i="3"/>
  <c r="K501" i="3"/>
  <c r="K541" i="3"/>
  <c r="K573" i="3"/>
  <c r="K605" i="3"/>
  <c r="K637" i="3"/>
  <c r="K669" i="3"/>
  <c r="K701" i="3"/>
  <c r="K733" i="3"/>
  <c r="K757" i="3"/>
  <c r="K789" i="3"/>
  <c r="K829" i="3"/>
  <c r="K861" i="3"/>
  <c r="K893" i="3"/>
  <c r="K925" i="3"/>
  <c r="K957" i="3"/>
  <c r="K989" i="3"/>
  <c r="K6" i="3"/>
  <c r="K62" i="3"/>
  <c r="K110" i="3"/>
  <c r="K150" i="3"/>
  <c r="K174" i="3"/>
  <c r="K214" i="3"/>
  <c r="K254" i="3"/>
  <c r="K286" i="3"/>
  <c r="K326" i="3"/>
  <c r="K358" i="3"/>
  <c r="K390" i="3"/>
  <c r="K422" i="3"/>
  <c r="K454" i="3"/>
  <c r="K486" i="3"/>
  <c r="K526" i="3"/>
  <c r="K558" i="3"/>
  <c r="K590" i="3"/>
  <c r="K3" i="3"/>
  <c r="K11" i="3"/>
  <c r="K19" i="3"/>
  <c r="K27" i="3"/>
  <c r="K35" i="3"/>
  <c r="K43" i="3"/>
  <c r="K51" i="3"/>
  <c r="K59" i="3"/>
  <c r="K67" i="3"/>
  <c r="K75" i="3"/>
  <c r="K83" i="3"/>
  <c r="K91" i="3"/>
  <c r="K99" i="3"/>
  <c r="K107" i="3"/>
  <c r="K115" i="3"/>
  <c r="K123" i="3"/>
  <c r="K131" i="3"/>
  <c r="K139" i="3"/>
  <c r="K147" i="3"/>
  <c r="K155" i="3"/>
  <c r="K163" i="3"/>
  <c r="K171" i="3"/>
  <c r="K179" i="3"/>
  <c r="K187" i="3"/>
  <c r="K195" i="3"/>
  <c r="K203" i="3"/>
  <c r="K211" i="3"/>
  <c r="K219" i="3"/>
  <c r="K227" i="3"/>
  <c r="K235" i="3"/>
  <c r="K243" i="3"/>
  <c r="K251" i="3"/>
  <c r="K259" i="3"/>
  <c r="K267" i="3"/>
  <c r="K275" i="3"/>
  <c r="K283" i="3"/>
  <c r="K291" i="3"/>
  <c r="K299" i="3"/>
  <c r="K307" i="3"/>
  <c r="K315" i="3"/>
  <c r="K323" i="3"/>
  <c r="K331" i="3"/>
  <c r="K339" i="3"/>
  <c r="K347" i="3"/>
  <c r="K355" i="3"/>
  <c r="K363" i="3"/>
  <c r="K371" i="3"/>
  <c r="K379" i="3"/>
  <c r="K387" i="3"/>
  <c r="K395" i="3"/>
  <c r="K403" i="3"/>
  <c r="K411" i="3"/>
  <c r="K419" i="3"/>
  <c r="K427" i="3"/>
  <c r="K435" i="3"/>
  <c r="K443" i="3"/>
  <c r="K451" i="3"/>
  <c r="K459" i="3"/>
  <c r="K467" i="3"/>
  <c r="K475" i="3"/>
  <c r="K483" i="3"/>
  <c r="K491" i="3"/>
  <c r="K499" i="3"/>
  <c r="K507" i="3"/>
  <c r="K515" i="3"/>
  <c r="K523" i="3"/>
  <c r="K531" i="3"/>
  <c r="K539" i="3"/>
  <c r="K547" i="3"/>
  <c r="K555" i="3"/>
  <c r="K563" i="3"/>
  <c r="K571" i="3"/>
  <c r="K579" i="3"/>
  <c r="K587" i="3"/>
  <c r="K595" i="3"/>
  <c r="K603" i="3"/>
  <c r="K611" i="3"/>
  <c r="K619" i="3"/>
  <c r="K627" i="3"/>
  <c r="K635" i="3"/>
  <c r="K643" i="3"/>
  <c r="K651" i="3"/>
  <c r="K659" i="3"/>
  <c r="K667" i="3"/>
  <c r="K675" i="3"/>
  <c r="K683" i="3"/>
  <c r="K691" i="3"/>
  <c r="K699" i="3"/>
  <c r="K707" i="3"/>
  <c r="K715" i="3"/>
  <c r="K723" i="3"/>
  <c r="K731" i="3"/>
  <c r="K739" i="3"/>
  <c r="K747" i="3"/>
  <c r="K755" i="3"/>
  <c r="K763" i="3"/>
  <c r="K771" i="3"/>
  <c r="K779" i="3"/>
  <c r="K787" i="3"/>
  <c r="K795" i="3"/>
  <c r="K803" i="3"/>
  <c r="K811" i="3"/>
  <c r="K819" i="3"/>
  <c r="K827" i="3"/>
  <c r="K835" i="3"/>
  <c r="K843" i="3"/>
  <c r="K851" i="3"/>
  <c r="K859" i="3"/>
  <c r="K867" i="3"/>
  <c r="K875" i="3"/>
  <c r="K883" i="3"/>
  <c r="K891" i="3"/>
  <c r="K899" i="3"/>
  <c r="K907" i="3"/>
  <c r="K915" i="3"/>
  <c r="K923" i="3"/>
  <c r="K931" i="3"/>
  <c r="K939" i="3"/>
  <c r="K947" i="3"/>
  <c r="K955" i="3"/>
  <c r="K963" i="3"/>
  <c r="K971" i="3"/>
  <c r="K979" i="3"/>
  <c r="K987" i="3"/>
  <c r="K995" i="3"/>
  <c r="K4" i="3"/>
  <c r="K52" i="3"/>
  <c r="K84" i="3"/>
  <c r="K108" i="3"/>
  <c r="K132" i="3"/>
  <c r="K156" i="3"/>
  <c r="K180" i="3"/>
  <c r="K204" i="3"/>
  <c r="K236" i="3"/>
  <c r="K268" i="3"/>
  <c r="K292" i="3"/>
  <c r="K324" i="3"/>
  <c r="K348" i="3"/>
  <c r="K372" i="3"/>
  <c r="K396" i="3"/>
  <c r="K420" i="3"/>
  <c r="K444" i="3"/>
  <c r="K468" i="3"/>
  <c r="K500" i="3"/>
  <c r="K524" i="3"/>
  <c r="K556" i="3"/>
  <c r="K580" i="3"/>
  <c r="K604" i="3"/>
  <c r="K628" i="3"/>
  <c r="K652" i="3"/>
  <c r="K676" i="3"/>
  <c r="K700" i="3"/>
  <c r="K724" i="3"/>
  <c r="K748" i="3"/>
  <c r="K772" i="3"/>
  <c r="K804" i="3"/>
  <c r="K828" i="3"/>
  <c r="K852" i="3"/>
  <c r="K876" i="3"/>
  <c r="K900" i="3"/>
  <c r="K948" i="3"/>
  <c r="K980" i="3"/>
  <c r="K14" i="3"/>
  <c r="K54" i="3"/>
  <c r="K102" i="3"/>
  <c r="K142" i="3"/>
  <c r="K182" i="3"/>
  <c r="K222" i="3"/>
  <c r="K246" i="3"/>
  <c r="K278" i="3"/>
  <c r="K310" i="3"/>
  <c r="K334" i="3"/>
  <c r="K366" i="3"/>
  <c r="K414" i="3"/>
  <c r="K446" i="3"/>
  <c r="K478" i="3"/>
  <c r="K510" i="3"/>
  <c r="K542" i="3"/>
  <c r="K574" i="3"/>
  <c r="K598" i="3"/>
  <c r="K622" i="3"/>
  <c r="K646" i="3"/>
  <c r="K670" i="3"/>
  <c r="K694" i="3"/>
  <c r="K718" i="3"/>
  <c r="K742" i="3"/>
  <c r="K766" i="3"/>
  <c r="K790" i="3"/>
  <c r="K814" i="3"/>
  <c r="K838" i="3"/>
  <c r="K870" i="3"/>
  <c r="K902" i="3"/>
  <c r="K926" i="3"/>
  <c r="K950" i="3"/>
  <c r="K974" i="3"/>
  <c r="K998" i="3"/>
  <c r="K7" i="3"/>
  <c r="K15" i="3"/>
  <c r="K23" i="3"/>
  <c r="K31" i="3"/>
  <c r="K39" i="3"/>
  <c r="K47" i="3"/>
  <c r="K55" i="3"/>
  <c r="K63" i="3"/>
  <c r="K71" i="3"/>
  <c r="K79" i="3"/>
  <c r="K87" i="3"/>
  <c r="K95" i="3"/>
  <c r="K103" i="3"/>
  <c r="K111" i="3"/>
  <c r="K119" i="3"/>
  <c r="K127" i="3"/>
  <c r="K135" i="3"/>
  <c r="K143" i="3"/>
  <c r="K151" i="3"/>
  <c r="K159" i="3"/>
  <c r="K167" i="3"/>
  <c r="K175" i="3"/>
  <c r="K183" i="3"/>
  <c r="K191" i="3"/>
  <c r="K199" i="3"/>
  <c r="K207" i="3"/>
  <c r="K215" i="3"/>
  <c r="K223" i="3"/>
  <c r="K231" i="3"/>
  <c r="K239" i="3"/>
  <c r="K247" i="3"/>
  <c r="K255" i="3"/>
  <c r="K263" i="3"/>
  <c r="K271" i="3"/>
  <c r="K279" i="3"/>
  <c r="K287" i="3"/>
  <c r="K295" i="3"/>
  <c r="K303" i="3"/>
  <c r="K311" i="3"/>
  <c r="K319" i="3"/>
  <c r="K327" i="3"/>
  <c r="K335" i="3"/>
  <c r="K343" i="3"/>
  <c r="K351" i="3"/>
  <c r="K359" i="3"/>
  <c r="K367" i="3"/>
  <c r="K375" i="3"/>
  <c r="K383" i="3"/>
  <c r="K391" i="3"/>
  <c r="K399" i="3"/>
  <c r="K407" i="3"/>
  <c r="K415" i="3"/>
  <c r="K423" i="3"/>
  <c r="K431" i="3"/>
  <c r="K439" i="3"/>
  <c r="K447" i="3"/>
  <c r="K455" i="3"/>
  <c r="K463" i="3"/>
  <c r="K471" i="3"/>
  <c r="K479" i="3"/>
  <c r="K487" i="3"/>
  <c r="K495" i="3"/>
  <c r="K503" i="3"/>
  <c r="K511" i="3"/>
  <c r="K519" i="3"/>
  <c r="K527" i="3"/>
  <c r="K535" i="3"/>
  <c r="K543" i="3"/>
  <c r="K551" i="3"/>
  <c r="K559" i="3"/>
  <c r="K567" i="3"/>
  <c r="K575" i="3"/>
  <c r="K583" i="3"/>
  <c r="K591" i="3"/>
  <c r="K599" i="3"/>
  <c r="K607" i="3"/>
  <c r="K615" i="3"/>
  <c r="K623" i="3"/>
  <c r="K631" i="3"/>
  <c r="K639" i="3"/>
  <c r="K647" i="3"/>
  <c r="K655" i="3"/>
  <c r="K663" i="3"/>
  <c r="K671" i="3"/>
  <c r="K679" i="3"/>
  <c r="K687" i="3"/>
  <c r="K695" i="3"/>
  <c r="K703" i="3"/>
  <c r="K711" i="3"/>
  <c r="K719" i="3"/>
  <c r="K727" i="3"/>
  <c r="K735" i="3"/>
  <c r="K743" i="3"/>
  <c r="K751" i="3"/>
  <c r="K759" i="3"/>
  <c r="K767" i="3"/>
  <c r="K775" i="3"/>
  <c r="K783" i="3"/>
  <c r="K791" i="3"/>
  <c r="K799" i="3"/>
  <c r="K807" i="3"/>
  <c r="K815" i="3"/>
  <c r="K823" i="3"/>
  <c r="K831" i="3"/>
  <c r="K839" i="3"/>
  <c r="K847" i="3"/>
  <c r="K855" i="3"/>
  <c r="K863" i="3"/>
  <c r="K871" i="3"/>
  <c r="K879" i="3"/>
  <c r="K887" i="3"/>
  <c r="K895" i="3"/>
  <c r="K903" i="3"/>
  <c r="K911" i="3"/>
  <c r="K919" i="3"/>
  <c r="K927" i="3"/>
  <c r="K935" i="3"/>
  <c r="K943" i="3"/>
  <c r="K951" i="3"/>
  <c r="K959" i="3"/>
  <c r="K967" i="3"/>
  <c r="K975" i="3"/>
  <c r="K983" i="3"/>
  <c r="K991" i="3"/>
  <c r="K999" i="3"/>
  <c r="K12" i="3"/>
  <c r="K36" i="3"/>
  <c r="K68" i="3"/>
  <c r="K100" i="3"/>
  <c r="K124" i="3"/>
  <c r="K148" i="3"/>
  <c r="K172" i="3"/>
  <c r="K196" i="3"/>
  <c r="K220" i="3"/>
  <c r="K252" i="3"/>
  <c r="K276" i="3"/>
  <c r="K300" i="3"/>
  <c r="K332" i="3"/>
  <c r="K356" i="3"/>
  <c r="K380" i="3"/>
  <c r="K404" i="3"/>
  <c r="K428" i="3"/>
  <c r="K452" i="3"/>
  <c r="K484" i="3"/>
  <c r="K516" i="3"/>
  <c r="K540" i="3"/>
  <c r="K564" i="3"/>
  <c r="K588" i="3"/>
  <c r="K612" i="3"/>
  <c r="K636" i="3"/>
  <c r="K660" i="3"/>
  <c r="K684" i="3"/>
  <c r="K716" i="3"/>
  <c r="K740" i="3"/>
  <c r="K764" i="3"/>
  <c r="K788" i="3"/>
  <c r="K812" i="3"/>
  <c r="K836" i="3"/>
  <c r="K860" i="3"/>
  <c r="K884" i="3"/>
  <c r="K908" i="3"/>
  <c r="K940" i="3"/>
  <c r="K972" i="3"/>
  <c r="K996" i="3"/>
  <c r="K5" i="3"/>
  <c r="K53" i="3"/>
  <c r="K93" i="3"/>
  <c r="K125" i="3"/>
  <c r="K157" i="3"/>
  <c r="K197" i="3"/>
  <c r="K229" i="3"/>
  <c r="K269" i="3"/>
  <c r="K301" i="3"/>
  <c r="K341" i="3"/>
  <c r="K373" i="3"/>
  <c r="K405" i="3"/>
  <c r="K437" i="3"/>
  <c r="K477" i="3"/>
  <c r="K517" i="3"/>
  <c r="K557" i="3"/>
  <c r="K597" i="3"/>
  <c r="K629" i="3"/>
  <c r="K661" i="3"/>
  <c r="K693" i="3"/>
  <c r="K725" i="3"/>
  <c r="K765" i="3"/>
  <c r="K805" i="3"/>
  <c r="K837" i="3"/>
  <c r="K869" i="3"/>
  <c r="K901" i="3"/>
  <c r="K933" i="3"/>
  <c r="K973" i="3"/>
  <c r="K22" i="3"/>
  <c r="K46" i="3"/>
  <c r="K86" i="3"/>
  <c r="K126" i="3"/>
  <c r="K158" i="3"/>
  <c r="K198" i="3"/>
  <c r="K238" i="3"/>
  <c r="K262" i="3"/>
  <c r="K294" i="3"/>
  <c r="K318" i="3"/>
  <c r="K342" i="3"/>
  <c r="K374" i="3"/>
  <c r="K398" i="3"/>
  <c r="K430" i="3"/>
  <c r="K462" i="3"/>
  <c r="K494" i="3"/>
  <c r="K518" i="3"/>
  <c r="K550" i="3"/>
  <c r="K582" i="3"/>
  <c r="K614" i="3"/>
  <c r="K630" i="3"/>
  <c r="K654" i="3"/>
  <c r="K678" i="3"/>
  <c r="K710" i="3"/>
  <c r="K734" i="3"/>
  <c r="K758" i="3"/>
  <c r="K782" i="3"/>
  <c r="K806" i="3"/>
  <c r="K830" i="3"/>
  <c r="K854" i="3"/>
  <c r="K886" i="3"/>
  <c r="K910" i="3"/>
  <c r="K934" i="3"/>
  <c r="K966" i="3"/>
  <c r="K990" i="3"/>
  <c r="K8" i="3"/>
  <c r="K16" i="3"/>
  <c r="K24" i="3"/>
  <c r="K32" i="3"/>
  <c r="K40" i="3"/>
  <c r="K48" i="3"/>
  <c r="K56" i="3"/>
  <c r="K64" i="3"/>
  <c r="K72" i="3"/>
  <c r="K80" i="3"/>
  <c r="K88" i="3"/>
  <c r="K96" i="3"/>
  <c r="K104" i="3"/>
  <c r="K112" i="3"/>
  <c r="K120" i="3"/>
  <c r="K128" i="3"/>
  <c r="K136" i="3"/>
  <c r="K144" i="3"/>
  <c r="K152" i="3"/>
  <c r="K160" i="3"/>
  <c r="K168" i="3"/>
  <c r="K176" i="3"/>
  <c r="K184" i="3"/>
  <c r="K192" i="3"/>
  <c r="K200" i="3"/>
  <c r="K208" i="3"/>
  <c r="K216" i="3"/>
  <c r="K224" i="3"/>
  <c r="K232" i="3"/>
  <c r="K240" i="3"/>
  <c r="K248" i="3"/>
  <c r="K256" i="3"/>
  <c r="K264" i="3"/>
  <c r="K272" i="3"/>
  <c r="K280" i="3"/>
  <c r="K288" i="3"/>
  <c r="K296" i="3"/>
  <c r="K304" i="3"/>
  <c r="K312" i="3"/>
  <c r="K320" i="3"/>
  <c r="K328" i="3"/>
  <c r="K336" i="3"/>
  <c r="K344" i="3"/>
  <c r="K352" i="3"/>
  <c r="K360" i="3"/>
  <c r="K368" i="3"/>
  <c r="K376" i="3"/>
  <c r="K384" i="3"/>
  <c r="K392" i="3"/>
  <c r="K400" i="3"/>
  <c r="K408" i="3"/>
  <c r="K416" i="3"/>
  <c r="K424" i="3"/>
  <c r="K432" i="3"/>
  <c r="K440" i="3"/>
  <c r="K448" i="3"/>
  <c r="K456" i="3"/>
  <c r="K464" i="3"/>
  <c r="K472" i="3"/>
  <c r="K480" i="3"/>
  <c r="K488" i="3"/>
  <c r="K496" i="3"/>
  <c r="K504" i="3"/>
  <c r="K512" i="3"/>
  <c r="K520" i="3"/>
  <c r="K528" i="3"/>
  <c r="K536" i="3"/>
  <c r="K544" i="3"/>
  <c r="K552" i="3"/>
  <c r="K560" i="3"/>
  <c r="K568" i="3"/>
  <c r="K576" i="3"/>
  <c r="K584" i="3"/>
  <c r="K592" i="3"/>
  <c r="K600" i="3"/>
  <c r="K608" i="3"/>
  <c r="K616" i="3"/>
  <c r="K624" i="3"/>
  <c r="K632" i="3"/>
  <c r="K640" i="3"/>
  <c r="K648" i="3"/>
  <c r="K656" i="3"/>
  <c r="K664" i="3"/>
  <c r="K672" i="3"/>
  <c r="K680" i="3"/>
  <c r="K688" i="3"/>
  <c r="K696" i="3"/>
  <c r="K704" i="3"/>
  <c r="K712" i="3"/>
  <c r="K720" i="3"/>
  <c r="K728" i="3"/>
  <c r="K736" i="3"/>
  <c r="K744" i="3"/>
  <c r="K752" i="3"/>
  <c r="K760" i="3"/>
  <c r="K768" i="3"/>
  <c r="K776" i="3"/>
  <c r="K784" i="3"/>
  <c r="K792" i="3"/>
  <c r="K800" i="3"/>
  <c r="K808" i="3"/>
  <c r="K816" i="3"/>
  <c r="K824" i="3"/>
  <c r="K832" i="3"/>
  <c r="K840" i="3"/>
  <c r="K848" i="3"/>
  <c r="K856" i="3"/>
  <c r="K864" i="3"/>
  <c r="K872" i="3"/>
  <c r="K880" i="3"/>
  <c r="K888" i="3"/>
  <c r="K896" i="3"/>
  <c r="K904" i="3"/>
  <c r="K912" i="3"/>
  <c r="K920" i="3"/>
  <c r="K928" i="3"/>
  <c r="K936" i="3"/>
  <c r="K944" i="3"/>
  <c r="K952" i="3"/>
  <c r="K960" i="3"/>
  <c r="K968" i="3"/>
  <c r="K976" i="3"/>
  <c r="K984" i="3"/>
  <c r="K992" i="3"/>
  <c r="K1000" i="3"/>
  <c r="K29" i="3"/>
  <c r="K61" i="3"/>
  <c r="K85" i="3"/>
  <c r="K117" i="3"/>
  <c r="K149" i="3"/>
  <c r="K181" i="3"/>
  <c r="K213" i="3"/>
  <c r="K237" i="3"/>
  <c r="K261" i="3"/>
  <c r="K293" i="3"/>
  <c r="K325" i="3"/>
  <c r="K357" i="3"/>
  <c r="K389" i="3"/>
  <c r="K421" i="3"/>
  <c r="K453" i="3"/>
  <c r="K485" i="3"/>
  <c r="K509" i="3"/>
  <c r="K533" i="3"/>
  <c r="K565" i="3"/>
  <c r="K589" i="3"/>
  <c r="K621" i="3"/>
  <c r="K653" i="3"/>
  <c r="K685" i="3"/>
  <c r="K717" i="3"/>
  <c r="K749" i="3"/>
  <c r="K781" i="3"/>
  <c r="K813" i="3"/>
  <c r="K853" i="3"/>
  <c r="K885" i="3"/>
  <c r="K917" i="3"/>
  <c r="K949" i="3"/>
  <c r="K981" i="3"/>
  <c r="K5" i="4"/>
  <c r="K13" i="4"/>
  <c r="K21" i="4"/>
  <c r="K29" i="4"/>
  <c r="K37" i="4"/>
  <c r="K45" i="4"/>
  <c r="K53" i="4"/>
  <c r="K61" i="4"/>
  <c r="K69" i="4"/>
  <c r="K77" i="4"/>
  <c r="K85" i="4"/>
  <c r="K93" i="4"/>
  <c r="K101" i="4"/>
  <c r="K109" i="4"/>
  <c r="K117" i="4"/>
  <c r="K125" i="4"/>
  <c r="K133" i="4"/>
  <c r="K141" i="4"/>
  <c r="K149" i="4"/>
  <c r="K157" i="4"/>
  <c r="K165" i="4"/>
  <c r="K173" i="4"/>
  <c r="K181" i="4"/>
  <c r="K189" i="4"/>
  <c r="K197" i="4"/>
  <c r="K205" i="4"/>
  <c r="K213" i="4"/>
  <c r="K221" i="4"/>
  <c r="K229" i="4"/>
  <c r="K237" i="4"/>
  <c r="K245" i="4"/>
  <c r="K253" i="4"/>
  <c r="K261" i="4"/>
  <c r="K269" i="4"/>
  <c r="K277" i="4"/>
  <c r="K285" i="4"/>
  <c r="K293" i="4"/>
  <c r="K301" i="4"/>
  <c r="K309" i="4"/>
  <c r="K317" i="4"/>
  <c r="K325" i="4"/>
  <c r="K333" i="4"/>
  <c r="K341" i="4"/>
  <c r="K349" i="4"/>
  <c r="K357" i="4"/>
  <c r="K365" i="4"/>
  <c r="K373" i="4"/>
  <c r="K381" i="4"/>
  <c r="K389" i="4"/>
  <c r="K397" i="4"/>
  <c r="K405" i="4"/>
  <c r="K413" i="4"/>
  <c r="K421" i="4"/>
  <c r="K429" i="4"/>
  <c r="K437" i="4"/>
  <c r="K445" i="4"/>
  <c r="K453" i="4"/>
  <c r="K461" i="4"/>
  <c r="K469" i="4"/>
  <c r="K477" i="4"/>
  <c r="K485" i="4"/>
  <c r="K493" i="4"/>
  <c r="K501" i="4"/>
  <c r="K509" i="4"/>
  <c r="K517" i="4"/>
  <c r="K525" i="4"/>
  <c r="K533" i="4"/>
  <c r="K541" i="4"/>
  <c r="K549" i="4"/>
  <c r="K557" i="4"/>
  <c r="K565" i="4"/>
  <c r="K573" i="4"/>
  <c r="K581" i="4"/>
  <c r="K589" i="4"/>
  <c r="K597" i="4"/>
  <c r="K605" i="4"/>
  <c r="K613" i="4"/>
  <c r="K621" i="4"/>
  <c r="K629" i="4"/>
  <c r="K637" i="4"/>
  <c r="K645" i="4"/>
  <c r="K653" i="4"/>
  <c r="K2" i="4"/>
  <c r="K10" i="4"/>
  <c r="K18" i="4"/>
  <c r="K26" i="4"/>
  <c r="K34" i="4"/>
  <c r="K42" i="4"/>
  <c r="K50" i="4"/>
  <c r="K58" i="4"/>
  <c r="K66" i="4"/>
  <c r="K74" i="4"/>
  <c r="K82" i="4"/>
  <c r="K90" i="4"/>
  <c r="K98" i="4"/>
  <c r="K106" i="4"/>
  <c r="K114" i="4"/>
  <c r="K122" i="4"/>
  <c r="K130" i="4"/>
  <c r="K138" i="4"/>
  <c r="K146" i="4"/>
  <c r="K154" i="4"/>
  <c r="K162" i="4"/>
  <c r="K170" i="4"/>
  <c r="K178" i="4"/>
  <c r="K186" i="4"/>
  <c r="K194" i="4"/>
  <c r="K202" i="4"/>
  <c r="K210" i="4"/>
  <c r="K218" i="4"/>
  <c r="K226" i="4"/>
  <c r="K234" i="4"/>
  <c r="K242" i="4"/>
  <c r="K250" i="4"/>
  <c r="K258" i="4"/>
  <c r="K266" i="4"/>
  <c r="K274" i="4"/>
  <c r="K282" i="4"/>
  <c r="K290" i="4"/>
  <c r="K298" i="4"/>
  <c r="K306" i="4"/>
  <c r="K314" i="4"/>
  <c r="K322" i="4"/>
  <c r="K330" i="4"/>
  <c r="K338" i="4"/>
  <c r="K346" i="4"/>
  <c r="K354" i="4"/>
  <c r="K362" i="4"/>
  <c r="K370" i="4"/>
  <c r="K3" i="4"/>
  <c r="K11" i="4"/>
  <c r="K19" i="4"/>
  <c r="K27" i="4"/>
  <c r="K35" i="4"/>
  <c r="K43" i="4"/>
  <c r="K51" i="4"/>
  <c r="K59" i="4"/>
  <c r="K67" i="4"/>
  <c r="K75" i="4"/>
  <c r="K83" i="4"/>
  <c r="K91" i="4"/>
  <c r="K99" i="4"/>
  <c r="K107" i="4"/>
  <c r="K115" i="4"/>
  <c r="K123" i="4"/>
  <c r="K131" i="4"/>
  <c r="K139" i="4"/>
  <c r="K147" i="4"/>
  <c r="K155" i="4"/>
  <c r="K163" i="4"/>
  <c r="K171" i="4"/>
  <c r="K179" i="4"/>
  <c r="K187" i="4"/>
  <c r="K195" i="4"/>
  <c r="K203" i="4"/>
  <c r="K211" i="4"/>
  <c r="K219" i="4"/>
  <c r="K227" i="4"/>
  <c r="K235" i="4"/>
  <c r="K243" i="4"/>
  <c r="K251" i="4"/>
  <c r="K259" i="4"/>
  <c r="K267" i="4"/>
  <c r="K275" i="4"/>
  <c r="K283" i="4"/>
  <c r="K291" i="4"/>
  <c r="K299" i="4"/>
  <c r="K307" i="4"/>
  <c r="K315" i="4"/>
  <c r="K7" i="4"/>
  <c r="K20" i="4"/>
  <c r="K32" i="4"/>
  <c r="K46" i="4"/>
  <c r="K57" i="4"/>
  <c r="K71" i="4"/>
  <c r="K84" i="4"/>
  <c r="K96" i="4"/>
  <c r="K110" i="4"/>
  <c r="K121" i="4"/>
  <c r="K135" i="4"/>
  <c r="K148" i="4"/>
  <c r="K160" i="4"/>
  <c r="K174" i="4"/>
  <c r="K185" i="4"/>
  <c r="K199" i="4"/>
  <c r="K212" i="4"/>
  <c r="K224" i="4"/>
  <c r="K238" i="4"/>
  <c r="K249" i="4"/>
  <c r="K263" i="4"/>
  <c r="K276" i="4"/>
  <c r="K288" i="4"/>
  <c r="K302" i="4"/>
  <c r="K313" i="4"/>
  <c r="K326" i="4"/>
  <c r="K336" i="4"/>
  <c r="K347" i="4"/>
  <c r="K358" i="4"/>
  <c r="K368" i="4"/>
  <c r="K378" i="4"/>
  <c r="K387" i="4"/>
  <c r="K396" i="4"/>
  <c r="K406" i="4"/>
  <c r="K415" i="4"/>
  <c r="K424" i="4"/>
  <c r="K433" i="4"/>
  <c r="K442" i="4"/>
  <c r="K451" i="4"/>
  <c r="K460" i="4"/>
  <c r="K470" i="4"/>
  <c r="K479" i="4"/>
  <c r="K488" i="4"/>
  <c r="K497" i="4"/>
  <c r="K506" i="4"/>
  <c r="K515" i="4"/>
  <c r="K524" i="4"/>
  <c r="K534" i="4"/>
  <c r="K543" i="4"/>
  <c r="K552" i="4"/>
  <c r="K561" i="4"/>
  <c r="K570" i="4"/>
  <c r="K579" i="4"/>
  <c r="K588" i="4"/>
  <c r="K598" i="4"/>
  <c r="K607" i="4"/>
  <c r="K616" i="4"/>
  <c r="K625" i="4"/>
  <c r="K634" i="4"/>
  <c r="K643" i="4"/>
  <c r="K652" i="4"/>
  <c r="K661" i="4"/>
  <c r="K669" i="4"/>
  <c r="K677" i="4"/>
  <c r="K685" i="4"/>
  <c r="K693" i="4"/>
  <c r="K701" i="4"/>
  <c r="K709" i="4"/>
  <c r="K717" i="4"/>
  <c r="K725" i="4"/>
  <c r="K733" i="4"/>
  <c r="K741" i="4"/>
  <c r="K749" i="4"/>
  <c r="K757" i="4"/>
  <c r="K765" i="4"/>
  <c r="K773" i="4"/>
  <c r="K781" i="4"/>
  <c r="K789" i="4"/>
  <c r="K797" i="4"/>
  <c r="K805" i="4"/>
  <c r="K813" i="4"/>
  <c r="K821" i="4"/>
  <c r="K829" i="4"/>
  <c r="K837" i="4"/>
  <c r="K845" i="4"/>
  <c r="K8" i="4"/>
  <c r="K22" i="4"/>
  <c r="K33" i="4"/>
  <c r="K47" i="4"/>
  <c r="K60" i="4"/>
  <c r="K72" i="4"/>
  <c r="K86" i="4"/>
  <c r="K97" i="4"/>
  <c r="K111" i="4"/>
  <c r="K124" i="4"/>
  <c r="K136" i="4"/>
  <c r="K150" i="4"/>
  <c r="K161" i="4"/>
  <c r="K175" i="4"/>
  <c r="K188" i="4"/>
  <c r="K200" i="4"/>
  <c r="K214" i="4"/>
  <c r="K225" i="4"/>
  <c r="K239" i="4"/>
  <c r="K252" i="4"/>
  <c r="K264" i="4"/>
  <c r="K278" i="4"/>
  <c r="K289" i="4"/>
  <c r="K303" i="4"/>
  <c r="K316" i="4"/>
  <c r="K327" i="4"/>
  <c r="K337" i="4"/>
  <c r="K348" i="4"/>
  <c r="K359" i="4"/>
  <c r="K369" i="4"/>
  <c r="K379" i="4"/>
  <c r="K388" i="4"/>
  <c r="K398" i="4"/>
  <c r="K407" i="4"/>
  <c r="K416" i="4"/>
  <c r="K425" i="4"/>
  <c r="K434" i="4"/>
  <c r="K443" i="4"/>
  <c r="K452" i="4"/>
  <c r="K462" i="4"/>
  <c r="K471" i="4"/>
  <c r="K480" i="4"/>
  <c r="K489" i="4"/>
  <c r="K498" i="4"/>
  <c r="K507" i="4"/>
  <c r="K516" i="4"/>
  <c r="K526" i="4"/>
  <c r="K535" i="4"/>
  <c r="K544" i="4"/>
  <c r="K553" i="4"/>
  <c r="K562" i="4"/>
  <c r="K571" i="4"/>
  <c r="K580" i="4"/>
  <c r="K590" i="4"/>
  <c r="K599" i="4"/>
  <c r="K608" i="4"/>
  <c r="K617" i="4"/>
  <c r="K626" i="4"/>
  <c r="K635" i="4"/>
  <c r="K644" i="4"/>
  <c r="K654" i="4"/>
  <c r="K662" i="4"/>
  <c r="K670" i="4"/>
  <c r="K678" i="4"/>
  <c r="K686" i="4"/>
  <c r="K694" i="4"/>
  <c r="K702" i="4"/>
  <c r="K710" i="4"/>
  <c r="K718" i="4"/>
  <c r="K726" i="4"/>
  <c r="K734" i="4"/>
  <c r="K742" i="4"/>
  <c r="K750" i="4"/>
  <c r="K758" i="4"/>
  <c r="K766" i="4"/>
  <c r="K774" i="4"/>
  <c r="K782" i="4"/>
  <c r="K790" i="4"/>
  <c r="K798" i="4"/>
  <c r="K806" i="4"/>
  <c r="K814" i="4"/>
  <c r="K822" i="4"/>
  <c r="K9" i="4"/>
  <c r="K23" i="4"/>
  <c r="K36" i="4"/>
  <c r="K48" i="4"/>
  <c r="K62" i="4"/>
  <c r="K73" i="4"/>
  <c r="K87" i="4"/>
  <c r="K100" i="4"/>
  <c r="K112" i="4"/>
  <c r="K126" i="4"/>
  <c r="K137" i="4"/>
  <c r="K151" i="4"/>
  <c r="K164" i="4"/>
  <c r="K176" i="4"/>
  <c r="K190" i="4"/>
  <c r="K201" i="4"/>
  <c r="K215" i="4"/>
  <c r="K228" i="4"/>
  <c r="K240" i="4"/>
  <c r="K254" i="4"/>
  <c r="K265" i="4"/>
  <c r="K279" i="4"/>
  <c r="K292" i="4"/>
  <c r="K304" i="4"/>
  <c r="K318" i="4"/>
  <c r="K328" i="4"/>
  <c r="K339" i="4"/>
  <c r="K350" i="4"/>
  <c r="K360" i="4"/>
  <c r="K371" i="4"/>
  <c r="K380" i="4"/>
  <c r="K390" i="4"/>
  <c r="K399" i="4"/>
  <c r="K408" i="4"/>
  <c r="K417" i="4"/>
  <c r="K426" i="4"/>
  <c r="K435" i="4"/>
  <c r="K444" i="4"/>
  <c r="K454" i="4"/>
  <c r="K463" i="4"/>
  <c r="K472" i="4"/>
  <c r="K481" i="4"/>
  <c r="K490" i="4"/>
  <c r="K499" i="4"/>
  <c r="K508" i="4"/>
  <c r="K518" i="4"/>
  <c r="K527" i="4"/>
  <c r="K536" i="4"/>
  <c r="K545" i="4"/>
  <c r="K554" i="4"/>
  <c r="K563" i="4"/>
  <c r="K572" i="4"/>
  <c r="K582" i="4"/>
  <c r="K591" i="4"/>
  <c r="K600" i="4"/>
  <c r="K609" i="4"/>
  <c r="K618" i="4"/>
  <c r="K627" i="4"/>
  <c r="K636" i="4"/>
  <c r="K646" i="4"/>
  <c r="K655" i="4"/>
  <c r="K663" i="4"/>
  <c r="K671" i="4"/>
  <c r="K679" i="4"/>
  <c r="K687" i="4"/>
  <c r="K695" i="4"/>
  <c r="K703" i="4"/>
  <c r="K711" i="4"/>
  <c r="K719" i="4"/>
  <c r="K727" i="4"/>
  <c r="K735" i="4"/>
  <c r="K743" i="4"/>
  <c r="K751" i="4"/>
  <c r="K759" i="4"/>
  <c r="K767" i="4"/>
  <c r="K775" i="4"/>
  <c r="K783" i="4"/>
  <c r="K791" i="4"/>
  <c r="K799" i="4"/>
  <c r="K807" i="4"/>
  <c r="K815" i="4"/>
  <c r="K823" i="4"/>
  <c r="K831" i="4"/>
  <c r="K12" i="4"/>
  <c r="K24" i="4"/>
  <c r="K38" i="4"/>
  <c r="K49" i="4"/>
  <c r="K63" i="4"/>
  <c r="K76" i="4"/>
  <c r="K88" i="4"/>
  <c r="K102" i="4"/>
  <c r="K113" i="4"/>
  <c r="K127" i="4"/>
  <c r="K140" i="4"/>
  <c r="K152" i="4"/>
  <c r="K166" i="4"/>
  <c r="K177" i="4"/>
  <c r="K191" i="4"/>
  <c r="K204" i="4"/>
  <c r="K216" i="4"/>
  <c r="K230" i="4"/>
  <c r="K241" i="4"/>
  <c r="K255" i="4"/>
  <c r="K14" i="4"/>
  <c r="K39" i="4"/>
  <c r="K64" i="4"/>
  <c r="K89" i="4"/>
  <c r="K116" i="4"/>
  <c r="K142" i="4"/>
  <c r="K167" i="4"/>
  <c r="K192" i="4"/>
  <c r="K217" i="4"/>
  <c r="K244" i="4"/>
  <c r="K268" i="4"/>
  <c r="K286" i="4"/>
  <c r="K308" i="4"/>
  <c r="K324" i="4"/>
  <c r="K343" i="4"/>
  <c r="K361" i="4"/>
  <c r="K376" i="4"/>
  <c r="K392" i="4"/>
  <c r="K404" i="4"/>
  <c r="K420" i="4"/>
  <c r="K436" i="4"/>
  <c r="K449" i="4"/>
  <c r="K465" i="4"/>
  <c r="K478" i="4"/>
  <c r="K494" i="4"/>
  <c r="K510" i="4"/>
  <c r="K522" i="4"/>
  <c r="K538" i="4"/>
  <c r="K551" i="4"/>
  <c r="K567" i="4"/>
  <c r="K583" i="4"/>
  <c r="K595" i="4"/>
  <c r="K611" i="4"/>
  <c r="K624" i="4"/>
  <c r="K640" i="4"/>
  <c r="K656" i="4"/>
  <c r="K667" i="4"/>
  <c r="K681" i="4"/>
  <c r="K692" i="4"/>
  <c r="K706" i="4"/>
  <c r="K720" i="4"/>
  <c r="K731" i="4"/>
  <c r="K745" i="4"/>
  <c r="K756" i="4"/>
  <c r="K770" i="4"/>
  <c r="K784" i="4"/>
  <c r="K795" i="4"/>
  <c r="K809" i="4"/>
  <c r="K820" i="4"/>
  <c r="K833" i="4"/>
  <c r="K842" i="4"/>
  <c r="K851" i="4"/>
  <c r="K859" i="4"/>
  <c r="K867" i="4"/>
  <c r="K875" i="4"/>
  <c r="K883" i="4"/>
  <c r="K891" i="4"/>
  <c r="K899" i="4"/>
  <c r="K907" i="4"/>
  <c r="K915" i="4"/>
  <c r="K923" i="4"/>
  <c r="K931" i="4"/>
  <c r="K939" i="4"/>
  <c r="K947" i="4"/>
  <c r="K955" i="4"/>
  <c r="K963" i="4"/>
  <c r="K971" i="4"/>
  <c r="K979" i="4"/>
  <c r="K987" i="4"/>
  <c r="K995" i="4"/>
  <c r="K15" i="4"/>
  <c r="K40" i="4"/>
  <c r="K65" i="4"/>
  <c r="K92" i="4"/>
  <c r="K118" i="4"/>
  <c r="K143" i="4"/>
  <c r="K168" i="4"/>
  <c r="K193" i="4"/>
  <c r="K220" i="4"/>
  <c r="K246" i="4"/>
  <c r="K270" i="4"/>
  <c r="K287" i="4"/>
  <c r="K310" i="4"/>
  <c r="K329" i="4"/>
  <c r="K344" i="4"/>
  <c r="K363" i="4"/>
  <c r="K377" i="4"/>
  <c r="K393" i="4"/>
  <c r="K409" i="4"/>
  <c r="K422" i="4"/>
  <c r="K438" i="4"/>
  <c r="K450" i="4"/>
  <c r="K466" i="4"/>
  <c r="K482" i="4"/>
  <c r="K495" i="4"/>
  <c r="K511" i="4"/>
  <c r="K523" i="4"/>
  <c r="K539" i="4"/>
  <c r="K555" i="4"/>
  <c r="K568" i="4"/>
  <c r="K584" i="4"/>
  <c r="K596" i="4"/>
  <c r="K612" i="4"/>
  <c r="K628" i="4"/>
  <c r="K641" i="4"/>
  <c r="K657" i="4"/>
  <c r="K668" i="4"/>
  <c r="K682" i="4"/>
  <c r="K696" i="4"/>
  <c r="K707" i="4"/>
  <c r="K721" i="4"/>
  <c r="K732" i="4"/>
  <c r="K746" i="4"/>
  <c r="K760" i="4"/>
  <c r="K771" i="4"/>
  <c r="K785" i="4"/>
  <c r="K796" i="4"/>
  <c r="K810" i="4"/>
  <c r="K824" i="4"/>
  <c r="K834" i="4"/>
  <c r="K843" i="4"/>
  <c r="K852" i="4"/>
  <c r="K860" i="4"/>
  <c r="K868" i="4"/>
  <c r="K876" i="4"/>
  <c r="K884" i="4"/>
  <c r="K892" i="4"/>
  <c r="K900" i="4"/>
  <c r="K908" i="4"/>
  <c r="K916" i="4"/>
  <c r="K924" i="4"/>
  <c r="K932" i="4"/>
  <c r="K940" i="4"/>
  <c r="K948" i="4"/>
  <c r="K956" i="4"/>
  <c r="K964" i="4"/>
  <c r="K972" i="4"/>
  <c r="K980" i="4"/>
  <c r="K988" i="4"/>
  <c r="K996" i="4"/>
  <c r="K16" i="4"/>
  <c r="K41" i="4"/>
  <c r="K68" i="4"/>
  <c r="K94" i="4"/>
  <c r="K119" i="4"/>
  <c r="K144" i="4"/>
  <c r="K169" i="4"/>
  <c r="K196" i="4"/>
  <c r="K222" i="4"/>
  <c r="K247" i="4"/>
  <c r="K271" i="4"/>
  <c r="K294" i="4"/>
  <c r="K311" i="4"/>
  <c r="K331" i="4"/>
  <c r="K345" i="4"/>
  <c r="K364" i="4"/>
  <c r="K382" i="4"/>
  <c r="K394" i="4"/>
  <c r="K410" i="4"/>
  <c r="K423" i="4"/>
  <c r="K439" i="4"/>
  <c r="K455" i="4"/>
  <c r="K467" i="4"/>
  <c r="K483" i="4"/>
  <c r="K496" i="4"/>
  <c r="K512" i="4"/>
  <c r="K528" i="4"/>
  <c r="K540" i="4"/>
  <c r="K556" i="4"/>
  <c r="K569" i="4"/>
  <c r="K585" i="4"/>
  <c r="K601" i="4"/>
  <c r="K614" i="4"/>
  <c r="K630" i="4"/>
  <c r="K642" i="4"/>
  <c r="K658" i="4"/>
  <c r="K672" i="4"/>
  <c r="K683" i="4"/>
  <c r="K697" i="4"/>
  <c r="K708" i="4"/>
  <c r="K722" i="4"/>
  <c r="K736" i="4"/>
  <c r="K747" i="4"/>
  <c r="K761" i="4"/>
  <c r="K772" i="4"/>
  <c r="K786" i="4"/>
  <c r="K800" i="4"/>
  <c r="K811" i="4"/>
  <c r="K825" i="4"/>
  <c r="K835" i="4"/>
  <c r="K844" i="4"/>
  <c r="K853" i="4"/>
  <c r="K861" i="4"/>
  <c r="K869" i="4"/>
  <c r="K877" i="4"/>
  <c r="K885" i="4"/>
  <c r="K893" i="4"/>
  <c r="K901" i="4"/>
  <c r="K909" i="4"/>
  <c r="K917" i="4"/>
  <c r="K925" i="4"/>
  <c r="K933" i="4"/>
  <c r="K17" i="4"/>
  <c r="K44" i="4"/>
  <c r="K70" i="4"/>
  <c r="K95" i="4"/>
  <c r="K120" i="4"/>
  <c r="K145" i="4"/>
  <c r="K172" i="4"/>
  <c r="K198" i="4"/>
  <c r="K223" i="4"/>
  <c r="K248" i="4"/>
  <c r="K272" i="4"/>
  <c r="K295" i="4"/>
  <c r="K312" i="4"/>
  <c r="K332" i="4"/>
  <c r="K351" i="4"/>
  <c r="K366" i="4"/>
  <c r="K383" i="4"/>
  <c r="K395" i="4"/>
  <c r="K411" i="4"/>
  <c r="K427" i="4"/>
  <c r="K440" i="4"/>
  <c r="K456" i="4"/>
  <c r="K468" i="4"/>
  <c r="K484" i="4"/>
  <c r="K500" i="4"/>
  <c r="K513" i="4"/>
  <c r="K529" i="4"/>
  <c r="K542" i="4"/>
  <c r="K558" i="4"/>
  <c r="K574" i="4"/>
  <c r="K586" i="4"/>
  <c r="K602" i="4"/>
  <c r="K615" i="4"/>
  <c r="K631" i="4"/>
  <c r="K647" i="4"/>
  <c r="K659" i="4"/>
  <c r="K673" i="4"/>
  <c r="K684" i="4"/>
  <c r="K698" i="4"/>
  <c r="K712" i="4"/>
  <c r="K723" i="4"/>
  <c r="K737" i="4"/>
  <c r="K748" i="4"/>
  <c r="K762" i="4"/>
  <c r="K776" i="4"/>
  <c r="K787" i="4"/>
  <c r="K801" i="4"/>
  <c r="K812" i="4"/>
  <c r="K826" i="4"/>
  <c r="K836" i="4"/>
  <c r="K846" i="4"/>
  <c r="K854" i="4"/>
  <c r="K862" i="4"/>
  <c r="K870" i="4"/>
  <c r="K878" i="4"/>
  <c r="K886" i="4"/>
  <c r="K894" i="4"/>
  <c r="K902" i="4"/>
  <c r="K910" i="4"/>
  <c r="K918" i="4"/>
  <c r="K926" i="4"/>
  <c r="K934" i="4"/>
  <c r="K942" i="4"/>
  <c r="K950" i="4"/>
  <c r="K958" i="4"/>
  <c r="K966" i="4"/>
  <c r="K974" i="4"/>
  <c r="K982" i="4"/>
  <c r="K990" i="4"/>
  <c r="K998" i="4"/>
  <c r="K52" i="4"/>
  <c r="K103" i="4"/>
  <c r="K153" i="4"/>
  <c r="K206" i="4"/>
  <c r="K256" i="4"/>
  <c r="K296" i="4"/>
  <c r="K334" i="4"/>
  <c r="K367" i="4"/>
  <c r="K400" i="4"/>
  <c r="K428" i="4"/>
  <c r="K457" i="4"/>
  <c r="K486" i="4"/>
  <c r="K514" i="4"/>
  <c r="K546" i="4"/>
  <c r="K575" i="4"/>
  <c r="K603" i="4"/>
  <c r="K632" i="4"/>
  <c r="K660" i="4"/>
  <c r="K688" i="4"/>
  <c r="K713" i="4"/>
  <c r="K738" i="4"/>
  <c r="K763" i="4"/>
  <c r="K788" i="4"/>
  <c r="K816" i="4"/>
  <c r="K838" i="4"/>
  <c r="K855" i="4"/>
  <c r="K871" i="4"/>
  <c r="K887" i="4"/>
  <c r="K903" i="4"/>
  <c r="K919" i="4"/>
  <c r="K935" i="4"/>
  <c r="K946" i="4"/>
  <c r="K960" i="4"/>
  <c r="K973" i="4"/>
  <c r="K985" i="4"/>
  <c r="K999" i="4"/>
  <c r="K54" i="4"/>
  <c r="K104" i="4"/>
  <c r="K156" i="4"/>
  <c r="K207" i="4"/>
  <c r="K257" i="4"/>
  <c r="K297" i="4"/>
  <c r="K335" i="4"/>
  <c r="K372" i="4"/>
  <c r="K401" i="4"/>
  <c r="K430" i="4"/>
  <c r="K458" i="4"/>
  <c r="K487" i="4"/>
  <c r="K519" i="4"/>
  <c r="K547" i="4"/>
  <c r="K576" i="4"/>
  <c r="K604" i="4"/>
  <c r="K633" i="4"/>
  <c r="K664" i="4"/>
  <c r="K689" i="4"/>
  <c r="K714" i="4"/>
  <c r="K739" i="4"/>
  <c r="K764" i="4"/>
  <c r="K792" i="4"/>
  <c r="K817" i="4"/>
  <c r="K839" i="4"/>
  <c r="K856" i="4"/>
  <c r="K872" i="4"/>
  <c r="K888" i="4"/>
  <c r="K904" i="4"/>
  <c r="K920" i="4"/>
  <c r="K936" i="4"/>
  <c r="K949" i="4"/>
  <c r="K961" i="4"/>
  <c r="K975" i="4"/>
  <c r="K986" i="4"/>
  <c r="K1000" i="4"/>
  <c r="K4" i="4"/>
  <c r="K55" i="4"/>
  <c r="K105" i="4"/>
  <c r="K158" i="4"/>
  <c r="K208" i="4"/>
  <c r="K260" i="4"/>
  <c r="K300" i="4"/>
  <c r="K340" i="4"/>
  <c r="K374" i="4"/>
  <c r="K402" i="4"/>
  <c r="K431" i="4"/>
  <c r="K459" i="4"/>
  <c r="K491" i="4"/>
  <c r="K520" i="4"/>
  <c r="K548" i="4"/>
  <c r="K577" i="4"/>
  <c r="K606" i="4"/>
  <c r="K638" i="4"/>
  <c r="K665" i="4"/>
  <c r="K690" i="4"/>
  <c r="K715" i="4"/>
  <c r="K740" i="4"/>
  <c r="K768" i="4"/>
  <c r="K793" i="4"/>
  <c r="K818" i="4"/>
  <c r="K840" i="4"/>
  <c r="K857" i="4"/>
  <c r="K873" i="4"/>
  <c r="K889" i="4"/>
  <c r="K905" i="4"/>
  <c r="K921" i="4"/>
  <c r="K937" i="4"/>
  <c r="K951" i="4"/>
  <c r="K962" i="4"/>
  <c r="K976" i="4"/>
  <c r="K989" i="4"/>
  <c r="K1001" i="4"/>
  <c r="K6" i="4"/>
  <c r="K56" i="4"/>
  <c r="K108" i="4"/>
  <c r="K159" i="4"/>
  <c r="K209" i="4"/>
  <c r="K262" i="4"/>
  <c r="K305" i="4"/>
  <c r="K342" i="4"/>
  <c r="K375" i="4"/>
  <c r="K403" i="4"/>
  <c r="K432" i="4"/>
  <c r="K464" i="4"/>
  <c r="K492" i="4"/>
  <c r="K521" i="4"/>
  <c r="K550" i="4"/>
  <c r="K578" i="4"/>
  <c r="K610" i="4"/>
  <c r="K639" i="4"/>
  <c r="K666" i="4"/>
  <c r="K691" i="4"/>
  <c r="K716" i="4"/>
  <c r="K744" i="4"/>
  <c r="K769" i="4"/>
  <c r="K794" i="4"/>
  <c r="K819" i="4"/>
  <c r="K841" i="4"/>
  <c r="K858" i="4"/>
  <c r="K874" i="4"/>
  <c r="K890" i="4"/>
  <c r="K906" i="4"/>
  <c r="K922" i="4"/>
  <c r="K938" i="4"/>
  <c r="K952" i="4"/>
  <c r="K965" i="4"/>
  <c r="K977" i="4"/>
  <c r="K991" i="4"/>
  <c r="K25" i="4"/>
  <c r="K128" i="4"/>
  <c r="K231" i="4"/>
  <c r="K319" i="4"/>
  <c r="K384" i="4"/>
  <c r="K441" i="4"/>
  <c r="K502" i="4"/>
  <c r="K559" i="4"/>
  <c r="K619" i="4"/>
  <c r="K674" i="4"/>
  <c r="K724" i="4"/>
  <c r="K777" i="4"/>
  <c r="K827" i="4"/>
  <c r="K863" i="4"/>
  <c r="K895" i="4"/>
  <c r="K927" i="4"/>
  <c r="K953" i="4"/>
  <c r="K978" i="4"/>
  <c r="K28" i="4"/>
  <c r="K129" i="4"/>
  <c r="K232" i="4"/>
  <c r="K320" i="4"/>
  <c r="K385" i="4"/>
  <c r="K446" i="4"/>
  <c r="K503" i="4"/>
  <c r="K560" i="4"/>
  <c r="K620" i="4"/>
  <c r="K675" i="4"/>
  <c r="K728" i="4"/>
  <c r="K778" i="4"/>
  <c r="K828" i="4"/>
  <c r="K864" i="4"/>
  <c r="K896" i="4"/>
  <c r="K928" i="4"/>
  <c r="K954" i="4"/>
  <c r="K981" i="4"/>
  <c r="K30" i="4"/>
  <c r="K132" i="4"/>
  <c r="K233" i="4"/>
  <c r="K321" i="4"/>
  <c r="K386" i="4"/>
  <c r="K447" i="4"/>
  <c r="K504" i="4"/>
  <c r="K564" i="4"/>
  <c r="K622" i="4"/>
  <c r="K676" i="4"/>
  <c r="K729" i="4"/>
  <c r="K779" i="4"/>
  <c r="K830" i="4"/>
  <c r="K865" i="4"/>
  <c r="K897" i="4"/>
  <c r="K929" i="4"/>
  <c r="K957" i="4"/>
  <c r="K983" i="4"/>
  <c r="K31" i="4"/>
  <c r="K134" i="4"/>
  <c r="K236" i="4"/>
  <c r="K323" i="4"/>
  <c r="K391" i="4"/>
  <c r="K448" i="4"/>
  <c r="K505" i="4"/>
  <c r="K566" i="4"/>
  <c r="K623" i="4"/>
  <c r="K680" i="4"/>
  <c r="K730" i="4"/>
  <c r="K780" i="4"/>
  <c r="K832" i="4"/>
  <c r="K866" i="4"/>
  <c r="K898" i="4"/>
  <c r="K930" i="4"/>
  <c r="K959" i="4"/>
  <c r="K984" i="4"/>
  <c r="K78" i="4"/>
  <c r="K273" i="4"/>
  <c r="K412" i="4"/>
  <c r="K530" i="4"/>
  <c r="K648" i="4"/>
  <c r="K752" i="4"/>
  <c r="K847" i="4"/>
  <c r="K911" i="4"/>
  <c r="K967" i="4"/>
  <c r="K79" i="4"/>
  <c r="K280" i="4"/>
  <c r="K414" i="4"/>
  <c r="K531" i="4"/>
  <c r="K649" i="4"/>
  <c r="K753" i="4"/>
  <c r="K848" i="4"/>
  <c r="K912" i="4"/>
  <c r="K968" i="4"/>
  <c r="K80" i="4"/>
  <c r="K281" i="4"/>
  <c r="K418" i="4"/>
  <c r="K532" i="4"/>
  <c r="K650" i="4"/>
  <c r="K754" i="4"/>
  <c r="K849" i="4"/>
  <c r="K913" i="4"/>
  <c r="K969" i="4"/>
  <c r="K81" i="4"/>
  <c r="K355" i="4"/>
  <c r="K587" i="4"/>
  <c r="K705" i="4"/>
  <c r="K880" i="4"/>
  <c r="K970" i="4"/>
  <c r="K180" i="4"/>
  <c r="K356" i="4"/>
  <c r="K592" i="4"/>
  <c r="K755" i="4"/>
  <c r="K881" i="4"/>
  <c r="K992" i="4"/>
  <c r="K182" i="4"/>
  <c r="K419" i="4"/>
  <c r="K593" i="4"/>
  <c r="K802" i="4"/>
  <c r="K882" i="4"/>
  <c r="K993" i="4"/>
  <c r="K184" i="4"/>
  <c r="K474" i="4"/>
  <c r="K651" i="4"/>
  <c r="K804" i="4"/>
  <c r="K941" i="4"/>
  <c r="K997" i="4"/>
  <c r="K183" i="4"/>
  <c r="K594" i="4"/>
  <c r="K914" i="4"/>
  <c r="K284" i="4"/>
  <c r="K699" i="4"/>
  <c r="K943" i="4"/>
  <c r="K352" i="4"/>
  <c r="K700" i="4"/>
  <c r="K944" i="4"/>
  <c r="K473" i="4"/>
  <c r="K803" i="4"/>
  <c r="K994" i="4"/>
  <c r="K353" i="4"/>
  <c r="K945" i="4"/>
  <c r="K476" i="4"/>
  <c r="K537" i="4"/>
  <c r="K704" i="4"/>
  <c r="K475" i="4"/>
  <c r="K808" i="4"/>
  <c r="K850" i="4"/>
  <c r="K879" i="4"/>
  <c r="B22" i="3"/>
  <c r="B28" i="3"/>
  <c r="B22" i="4"/>
  <c r="B28" i="4"/>
</calcChain>
</file>

<file path=xl/sharedStrings.xml><?xml version="1.0" encoding="utf-8"?>
<sst xmlns="http://schemas.openxmlformats.org/spreadsheetml/2006/main" count="203" uniqueCount="141">
  <si>
    <t>Data (A)</t>
  </si>
  <si>
    <t>ẋ(A)</t>
  </si>
  <si>
    <t>(xi-µ)^2*F(x)</t>
  </si>
  <si>
    <t>((xi-µ)^2)*(f(x)*(n/n-1))</t>
  </si>
  <si>
    <t>(xi)*F(x)</t>
  </si>
  <si>
    <t>(xi)/n</t>
  </si>
  <si>
    <t>n(B)</t>
  </si>
  <si>
    <t>σ(B)</t>
  </si>
  <si>
    <t>σ^2(B)</t>
  </si>
  <si>
    <t>σẊ(B)</t>
  </si>
  <si>
    <t>F(x)</t>
  </si>
  <si>
    <t>n/(n-1)</t>
  </si>
  <si>
    <t>F(x)*(n/n-1)</t>
  </si>
  <si>
    <t>Error in Variance without (n/n-1) Coefficient</t>
  </si>
  <si>
    <t>SQRT(Σ((xi-Ẋ)^2)*(f(x)*(n/n-1)))</t>
  </si>
  <si>
    <t>Σ((xi)*F(x))</t>
  </si>
  <si>
    <t>Σ((xi)/n)</t>
  </si>
  <si>
    <t>Error Between Σ((xi)*F(x)) and Σ((xi)/n)</t>
  </si>
  <si>
    <t>MAX</t>
  </si>
  <si>
    <t>MIN</t>
  </si>
  <si>
    <t>Mode</t>
  </si>
  <si>
    <t>Median</t>
  </si>
  <si>
    <t>InterQuartile Range</t>
  </si>
  <si>
    <t>BIN Width</t>
  </si>
  <si>
    <t>Bin Width UnRounded</t>
  </si>
  <si>
    <t>Number of Calculated BINS</t>
  </si>
  <si>
    <t>Σ(xi-Ẋ)^2)*F(x)</t>
  </si>
  <si>
    <t>Σ(xi-Ẋ)^2*F(x)*(n/n-1)</t>
  </si>
  <si>
    <t>SQRT(Σ((xi-Ẋ)^2)*(f(x))</t>
  </si>
  <si>
    <t>Data (B)</t>
  </si>
  <si>
    <r>
      <rPr>
        <sz val="11"/>
        <color theme="1"/>
        <rFont val="Calibri"/>
        <family val="2"/>
      </rPr>
      <t>Ẋ</t>
    </r>
    <r>
      <rPr>
        <sz val="11"/>
        <color theme="1"/>
        <rFont val="Calibri"/>
        <family val="2"/>
        <scheme val="minor"/>
      </rPr>
      <t>(B)</t>
    </r>
  </si>
  <si>
    <t>F(x) of (B)</t>
  </si>
  <si>
    <t>Error in Standard Deviation without (n/n-1) Coefficient</t>
  </si>
  <si>
    <r>
      <t xml:space="preserve">Error in Σ((xi)*F(x)) and Σ((xi)/n) compared to </t>
    </r>
    <r>
      <rPr>
        <sz val="12"/>
        <color theme="0"/>
        <rFont val="Calibri"/>
        <family val="2"/>
      </rPr>
      <t>Ẋ</t>
    </r>
  </si>
  <si>
    <t xml:space="preserve">Count (N) </t>
  </si>
  <si>
    <t>Count for (A)</t>
  </si>
  <si>
    <t>Count for (B)</t>
  </si>
  <si>
    <t>Counts</t>
  </si>
  <si>
    <t xml:space="preserve"> I  n  s  t  r  u  c  t  I  o  n  s</t>
  </si>
  <si>
    <t>DATA (A)</t>
  </si>
  <si>
    <t>DATA (B)</t>
  </si>
  <si>
    <t>vurstp@gmail.com for support and development</t>
  </si>
  <si>
    <t>INFO</t>
  </si>
  <si>
    <t>Condition</t>
  </si>
  <si>
    <t>Null Hypothesis:</t>
  </si>
  <si>
    <t>µ(A) = µ(B)</t>
  </si>
  <si>
    <t>Alternative Hypothesis:</t>
  </si>
  <si>
    <r>
      <t xml:space="preserve">µ(A) </t>
    </r>
    <r>
      <rPr>
        <sz val="11"/>
        <color theme="1"/>
        <rFont val="Arial"/>
        <family val="2"/>
      </rPr>
      <t>≠</t>
    </r>
    <r>
      <rPr>
        <sz val="11"/>
        <color theme="1"/>
        <rFont val="Calibri"/>
        <family val="2"/>
        <scheme val="minor"/>
      </rPr>
      <t xml:space="preserve"> µ(B)</t>
    </r>
  </si>
  <si>
    <t>Alternative Hypothesis(2):</t>
  </si>
  <si>
    <t>µ(A) &gt; µ(B)</t>
  </si>
  <si>
    <t>Alternative Hypothesis(3):</t>
  </si>
  <si>
    <t>µ(A) &lt; µ(B)</t>
  </si>
  <si>
    <t>Level of Alpha</t>
  </si>
  <si>
    <t>Level of Confidence</t>
  </si>
  <si>
    <t>Degrees of Freedom</t>
  </si>
  <si>
    <t>Decimal Places of MOE</t>
  </si>
  <si>
    <t>Decimal Places of µ</t>
  </si>
  <si>
    <t>Level of Power</t>
  </si>
  <si>
    <t>N Size for A</t>
  </si>
  <si>
    <t>N Size for B</t>
  </si>
  <si>
    <t>Desired MOE</t>
  </si>
  <si>
    <t>Decimal Places for MOE to N</t>
  </si>
  <si>
    <t>c</t>
  </si>
  <si>
    <t>Confidence Levels</t>
  </si>
  <si>
    <t>Probability Values</t>
  </si>
  <si>
    <t>Critacal Z* Values from Table C (pg.679)</t>
  </si>
  <si>
    <t>T.INV.1t(((1-P)/2),DF)*-1 Rounded to 3dp.</t>
  </si>
  <si>
    <t>T.INV.T2((1-p),10 Rounded to 3dp.</t>
  </si>
  <si>
    <t>Decimal Places</t>
  </si>
  <si>
    <t>Margin of Error (A)</t>
  </si>
  <si>
    <t>(P) of (B)ẋ* in (A)Distribution</t>
  </si>
  <si>
    <t>(P) of (B)ẋ in (A)Distribution 2-Tail</t>
  </si>
  <si>
    <t>Margin of Error (B)</t>
  </si>
  <si>
    <r>
      <rPr>
        <sz val="11"/>
        <color rgb="FF3F3F76"/>
        <rFont val="Calibri"/>
        <family val="2"/>
      </rPr>
      <t xml:space="preserve">Ẋ of </t>
    </r>
    <r>
      <rPr>
        <sz val="11"/>
        <color rgb="FF3F3F76"/>
        <rFont val="Calibri"/>
        <family val="2"/>
        <scheme val="minor"/>
      </rPr>
      <t>(A)</t>
    </r>
  </si>
  <si>
    <t>(P) of (B)ẋ in (A)Distribution 1-Tail</t>
  </si>
  <si>
    <t>(P) of (A)ẋ in (B)Distribution 2-Tail</t>
  </si>
  <si>
    <t>(P) of (A)ẋ in (B)Distribution 1-Tail</t>
  </si>
  <si>
    <t>(P) of (A)ẋ* in (B)Distribution</t>
  </si>
  <si>
    <t xml:space="preserve">       Ẋ of (B)</t>
  </si>
  <si>
    <t>Interval of (B) Smallest-Largest</t>
  </si>
  <si>
    <t>(B)Samp.Dist Z-Score(xi)</t>
  </si>
  <si>
    <t>(P) of (B)Samp.Dist Z-Scores(xi)</t>
  </si>
  <si>
    <t>(B).Dist Z-Score(xi)</t>
  </si>
  <si>
    <t>(P) of (B).Dist (xi)</t>
  </si>
  <si>
    <t>(P) of (A)Samp.Dist Z-Scores(xi)</t>
  </si>
  <si>
    <t>(A)Samp.Dist Z-Score(xi)</t>
  </si>
  <si>
    <t>(P) of (A).Dist  Z-Score(xi)</t>
  </si>
  <si>
    <t>(A).Dist Z-Score(xi)</t>
  </si>
  <si>
    <t>(P) of (A).Dist (xi)</t>
  </si>
  <si>
    <t>ẋ*values of (A) Distribution</t>
  </si>
  <si>
    <t>ẋ*values of (B) Distribution</t>
  </si>
  <si>
    <t>IMPORTANT! You can only enter 1000 data points in each column.</t>
  </si>
  <si>
    <t>If you're using a Mac with Excel 2011, click "Recalculate All" or press CMD+</t>
  </si>
  <si>
    <t>or "Settings" if you're using a Mac with Excel2011. Make sure "Manual" is selected. Otherwise, this might take a while.</t>
  </si>
  <si>
    <t xml:space="preserve">Remember to recalculate whenever you make changes. </t>
  </si>
  <si>
    <r>
      <t xml:space="preserve">IMPORTANT! </t>
    </r>
    <r>
      <rPr>
        <i/>
        <sz val="12"/>
        <color rgb="FF7F7F7F"/>
        <rFont val="Calibri"/>
        <family val="2"/>
        <scheme val="minor"/>
      </rPr>
      <t>Recalculate on each sheet to make sure the data was sorted and calculated correctly.</t>
    </r>
  </si>
  <si>
    <r>
      <t>Made by Paul Stuart V</t>
    </r>
    <r>
      <rPr>
        <b/>
        <sz val="12"/>
        <color theme="1"/>
        <rFont val="Calibri"/>
        <family val="2"/>
      </rPr>
      <t>ürst</t>
    </r>
  </si>
  <si>
    <t>(P) of (A).Dist Z-Score(xi)</t>
  </si>
  <si>
    <t>WIKI</t>
  </si>
  <si>
    <t>"Norm.Dist.Analysis" Sheet: What does it do?</t>
  </si>
  <si>
    <t>"Samp.Dist.Analysis" Sheet: What does it do?</t>
  </si>
  <si>
    <t>"A" &amp; "B" Sheets: What do they do?</t>
  </si>
  <si>
    <t>"Entry" Sheet: What does it do?</t>
  </si>
  <si>
    <r>
      <t>This page is for entering two sets of data you wish to compare. The two sets of data you wish to compare are entered into the columns "</t>
    </r>
    <r>
      <rPr>
        <sz val="11"/>
        <color rgb="FF7F7F7F"/>
        <rFont val="Calibri"/>
        <family val="2"/>
        <scheme val="minor"/>
      </rPr>
      <t>DATA (A)" and "DATA (B)" respectively.</t>
    </r>
  </si>
  <si>
    <t>By default the two columns are already filled with normal distributions (0,1,N=100) for "DATA (A)" and (3.5,1,N=100) for "DATA (B)," just in case you don't have data but what to see what the program does.</t>
  </si>
  <si>
    <t>the variance in 3 different ways, and the standard deviation in 3 different ways and then compares them. Information like this is somewhat irrelevant for the intentions of most</t>
  </si>
  <si>
    <t>Each of these sheets, "A" &amp; "B", analyzes each set of data "DATA (A)" &amp; "DATA (B)" individually, so you may not even need to look at them if your interested in comparison only.</t>
  </si>
  <si>
    <t xml:space="preserve">There are a tremendous amount of calculations that are done on each of these sheets. For example, each sheet calculates the mean in 3 different ways, </t>
  </si>
  <si>
    <t>of the data, a standardized normal distribution of the data, and a standardized sampling distribution of your data.</t>
  </si>
  <si>
    <t>statistical endeavours, but simply provide an insight into the calculations and the internal validity of the analysis. Each sheet includes 4 graphs: A normal quantile plot, a probability distribution</t>
  </si>
  <si>
    <r>
      <t xml:space="preserve">This sheet does a compartive analysis of the </t>
    </r>
    <r>
      <rPr>
        <i/>
        <u/>
        <sz val="12"/>
        <color rgb="FF7F7F7F"/>
        <rFont val="Calibri"/>
        <family val="2"/>
        <scheme val="minor"/>
      </rPr>
      <t>standardized distributions</t>
    </r>
    <r>
      <rPr>
        <i/>
        <sz val="12"/>
        <color rgb="FF7F7F7F"/>
        <rFont val="Calibri"/>
        <family val="2"/>
        <scheme val="minor"/>
      </rPr>
      <t xml:space="preserve"> of your data sets, "DATA (A)" &amp; "DATA (B)." </t>
    </r>
  </si>
  <si>
    <t>Low Orbit BRMS Ion Cannon Version N1000 for Excel2007</t>
  </si>
  <si>
    <t>On this page, you can manipulate confidence interval, level of power, and level of alpha to your desire.</t>
  </si>
  <si>
    <t>You can change how many decimal places you wish your mean and MOE to display.</t>
  </si>
  <si>
    <t>Changing the degrees of freedom can alter your MOE size, by changing the critical Z* value for your set level of confidence.</t>
  </si>
  <si>
    <t>Changing the default value is not necessary, as the 10^10 degrees of freedom will yield the absolute critical Z* value  (which is more accurate than the values from the book) for your</t>
  </si>
  <si>
    <t>This sheet does the exact same thing as the "Norm.Dist.Analysis" sheet, with one exception, it compares the Sampling Distributions of your data sets, "DATA (A)" and "DATA (B.)"</t>
  </si>
  <si>
    <t>Difference C&amp;D</t>
  </si>
  <si>
    <t>Difference C&amp;E</t>
  </si>
  <si>
    <t>"Z Values" Sheet: What does it do?</t>
  </si>
  <si>
    <t>This sheet allows you to view the true Z* critical values, by adjusting the decimal places. By default it is set to 3 as that is what the PSLS text book shows, and one can immediately oberve</t>
  </si>
  <si>
    <t>the peculiar rounding the authors used in evaluating the critical values. Of course the differences are extremely marginal, but none the less peculiar.</t>
  </si>
  <si>
    <t>Rounding up and rounding down results in more comparative errors, and the best fit at 3 decimal places was to round to the nearest figure, which makes the errors that do appear…</t>
  </si>
  <si>
    <t>…peculiar….</t>
  </si>
  <si>
    <t>Where do I start?</t>
  </si>
  <si>
    <t>First you should read the wiki so you have an adequate understanding of the program, then read the procedures for analyzing your own data.</t>
  </si>
  <si>
    <t>Procedure for Analysis of Your Data</t>
  </si>
  <si>
    <t>Step 1.</t>
  </si>
  <si>
    <t>You should be prompted to enable macro content. Enable it.</t>
  </si>
  <si>
    <t>Step 2.</t>
  </si>
  <si>
    <t>Navigate to the "Formulas" tab, and click on "Calculation Options" if you're using a PC with Excel2010</t>
  </si>
  <si>
    <t>Step 3.</t>
  </si>
  <si>
    <t>Remove the two sets of data in the columns A and B, with your own data.</t>
  </si>
  <si>
    <t>Step 4.</t>
  </si>
  <si>
    <t>Navigate to the "Formulas" tab. If you're using a PC with Excel 2010, click "Calculate Now" or press F9</t>
  </si>
  <si>
    <t>Step 5.</t>
  </si>
  <si>
    <t>Review the analysis of each set of data, from each of the respective analysis sheets (Sheet "A" and Sheet "B").</t>
  </si>
  <si>
    <t>Step 6.</t>
  </si>
  <si>
    <t>Review the comparative analysis sheets. Change values in yellow boxes to alter analysis.</t>
  </si>
  <si>
    <t xml:space="preserve">desired level of confidence. </t>
  </si>
  <si>
    <t>Interval of (A) Smallest-Largest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</si>
</sst>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0">
    <numFmt numFmtId="164" formatCode="0.0000000000000"/>
    <numFmt numFmtId="165" formatCode="0.000%"/>
    <numFmt numFmtId="166" formatCode="0.000000000000000000000000000000"/>
    <numFmt numFmtId="167" formatCode="0.00000"/>
    <numFmt numFmtId="168" formatCode="0.0"/>
    <numFmt numFmtId="169" formatCode="0.000"/>
    <numFmt numFmtId="170" formatCode="0.0%"/>
    <numFmt numFmtId="171" formatCode="0.000000000000000"/>
    <numFmt numFmtId="172" formatCode="0.000000"/>
    <numFmt numFmtId="173" formatCode="0.00000000000000000"/>
  </numFmts>
  <fonts count="3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3F3F76"/>
      <name val="Calibri"/>
      <family val="2"/>
      <scheme val="minor"/>
    </font>
    <font>
      <sz val="12"/>
      <color rgb="FF3F3F76"/>
      <name val="Calibri"/>
      <family val="2"/>
      <scheme val="minor"/>
    </font>
    <font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1"/>
      <name val="Calibri"/>
      <family val="2"/>
    </font>
    <font>
      <sz val="12"/>
      <color theme="0"/>
      <name val="Calibri"/>
      <family val="2"/>
    </font>
    <font>
      <u/>
      <sz val="11"/>
      <color theme="1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theme="1"/>
      <name val="Arial"/>
      <family val="2"/>
    </font>
    <font>
      <b/>
      <sz val="11"/>
      <color rgb="FF3F3F3F"/>
      <name val="Calibri"/>
      <family val="2"/>
      <scheme val="minor"/>
    </font>
    <font>
      <sz val="11"/>
      <color rgb="FF3F3F76"/>
      <name val="Calibri"/>
      <family val="2"/>
    </font>
    <font>
      <b/>
      <sz val="18"/>
      <color theme="3"/>
      <name val="Cambria"/>
      <family val="2"/>
      <scheme val="maj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i/>
      <sz val="12"/>
      <color rgb="FF7F7F7F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3"/>
      <name val="Cambria"/>
      <family val="2"/>
      <scheme val="major"/>
    </font>
    <font>
      <u/>
      <sz val="12"/>
      <color theme="1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theme="1"/>
      <name val="Calibri"/>
      <family val="2"/>
    </font>
    <font>
      <b/>
      <sz val="12"/>
      <color theme="3"/>
      <name val="Calibri"/>
      <family val="2"/>
      <scheme val="minor"/>
    </font>
    <font>
      <sz val="11"/>
      <color rgb="FF7F7F7F"/>
      <name val="Calibri"/>
      <family val="2"/>
      <scheme val="minor"/>
    </font>
    <font>
      <i/>
      <u/>
      <sz val="12"/>
      <color rgb="FF7F7F7F"/>
      <name val="Calibri"/>
      <family val="2"/>
      <scheme val="minor"/>
    </font>
    <font>
      <sz val="11"/>
      <color theme="9" tint="-0.249977111117893"/>
      <name val="Calibri"/>
      <family val="2"/>
      <scheme val="minor"/>
    </font>
    <font>
      <b/>
      <u/>
      <sz val="16"/>
      <color theme="3"/>
      <name val="Cambria"/>
      <family val="2"/>
      <scheme val="major"/>
    </font>
    <font>
      <b/>
      <u/>
      <sz val="18"/>
      <color theme="3"/>
      <name val="Cambria"/>
      <family val="2"/>
      <scheme val="major"/>
    </font>
  </fonts>
  <fills count="1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A5A5A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rgb="FFF2F2F2"/>
      </patternFill>
    </fill>
    <fill>
      <patternFill patternType="solid">
        <fgColor rgb="FF92D050"/>
        <bgColor indexed="64"/>
      </patternFill>
    </fill>
    <fill>
      <patternFill patternType="solid">
        <fgColor rgb="FFFFFFCC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8" tint="0.79998168889431442"/>
        <bgColor indexed="65"/>
      </patternFill>
    </fill>
  </fills>
  <borders count="20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ck">
        <color auto="1"/>
      </left>
      <right/>
      <top/>
      <bottom/>
      <diagonal/>
    </border>
    <border>
      <left style="thick">
        <color auto="1"/>
      </left>
      <right style="thick">
        <color auto="1"/>
      </right>
      <top/>
      <bottom style="thick">
        <color auto="1"/>
      </bottom>
      <diagonal/>
    </border>
    <border>
      <left style="thin">
        <color rgb="FF7F7F7F"/>
      </left>
      <right/>
      <top style="thin">
        <color rgb="FF7F7F7F"/>
      </top>
      <bottom style="thin">
        <color rgb="FF7F7F7F"/>
      </bottom>
      <diagonal/>
    </border>
    <border>
      <left style="thick">
        <color auto="1"/>
      </left>
      <right style="thick">
        <color auto="1"/>
      </right>
      <top/>
      <bottom style="thin">
        <color auto="1"/>
      </bottom>
      <diagonal/>
    </border>
    <border>
      <left/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ck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ck">
        <color auto="1"/>
      </right>
      <top/>
      <bottom/>
      <diagonal/>
    </border>
    <border>
      <left style="thick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/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double">
        <color rgb="FF3F3F3F"/>
      </left>
      <right style="thick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thick">
        <color theme="4" tint="0.499984740745262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/>
      <right style="thick">
        <color auto="1"/>
      </right>
      <top/>
      <bottom/>
      <diagonal/>
    </border>
    <border>
      <left/>
      <right style="thick">
        <color auto="1"/>
      </right>
      <top/>
      <bottom style="thick">
        <color auto="1"/>
      </bottom>
      <diagonal/>
    </border>
  </borders>
  <cellStyleXfs count="21">
    <xf numFmtId="0" fontId="0" fillId="0" borderId="0"/>
    <xf numFmtId="0" fontId="2" fillId="2" borderId="0" applyNumberFormat="0" applyBorder="0" applyAlignment="0" applyProtection="0"/>
    <xf numFmtId="0" fontId="3" fillId="3" borderId="0" applyNumberFormat="0" applyBorder="0" applyAlignment="0" applyProtection="0"/>
    <xf numFmtId="0" fontId="4" fillId="4" borderId="0" applyNumberFormat="0" applyBorder="0" applyAlignment="0" applyProtection="0"/>
    <xf numFmtId="0" fontId="5" fillId="5" borderId="1" applyNumberFormat="0" applyAlignment="0" applyProtection="0"/>
    <xf numFmtId="0" fontId="6" fillId="6" borderId="2" applyNumberFormat="0" applyAlignment="0" applyProtection="0"/>
    <xf numFmtId="0" fontId="7" fillId="0" borderId="0" applyNumberFormat="0" applyFill="0" applyBorder="0" applyAlignment="0" applyProtection="0"/>
    <xf numFmtId="0" fontId="1" fillId="7" borderId="0" applyNumberFormat="0" applyBorder="0" applyAlignment="0" applyProtection="0"/>
    <xf numFmtId="0" fontId="1" fillId="8" borderId="0" applyNumberFormat="0" applyBorder="0" applyAlignment="0" applyProtection="0"/>
    <xf numFmtId="0" fontId="1" fillId="9" borderId="0" applyNumberFormat="0" applyBorder="0" applyAlignment="0" applyProtection="0"/>
    <xf numFmtId="0" fontId="12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13" applyNumberFormat="0" applyFill="0" applyAlignment="0" applyProtection="0"/>
    <xf numFmtId="0" fontId="2" fillId="11" borderId="1" applyAlignment="0">
      <alignment horizontal="center"/>
    </xf>
    <xf numFmtId="0" fontId="18" fillId="10" borderId="14" applyNumberFormat="0" applyAlignment="0" applyProtection="0"/>
    <xf numFmtId="0" fontId="1" fillId="12" borderId="15" applyNumberFormat="0" applyFont="0" applyAlignment="0" applyProtection="0"/>
    <xf numFmtId="0" fontId="20" fillId="0" borderId="0" applyNumberFormat="0" applyFill="0" applyBorder="0" applyAlignment="0" applyProtection="0"/>
    <xf numFmtId="0" fontId="21" fillId="0" borderId="16" applyNumberFormat="0" applyFill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22" fillId="0" borderId="0" applyNumberFormat="0" applyFill="0" applyBorder="0" applyAlignment="0" applyProtection="0"/>
  </cellStyleXfs>
  <cellXfs count="109">
    <xf numFmtId="0" fontId="0" fillId="0" borderId="0" xfId="0"/>
    <xf numFmtId="0" fontId="10" fillId="5" borderId="6" xfId="4" applyNumberFormat="1" applyFont="1" applyBorder="1" applyAlignment="1">
      <alignment horizontal="center"/>
    </xf>
    <xf numFmtId="0" fontId="0" fillId="0" borderId="0" xfId="0" applyAlignment="1">
      <alignment horizontal="left"/>
    </xf>
    <xf numFmtId="0" fontId="1" fillId="0" borderId="8" xfId="0" applyNumberFormat="1" applyFont="1" applyBorder="1"/>
    <xf numFmtId="0" fontId="10" fillId="5" borderId="8" xfId="4" applyNumberFormat="1" applyFont="1" applyBorder="1" applyAlignment="1">
      <alignment horizontal="center"/>
    </xf>
    <xf numFmtId="0" fontId="5" fillId="5" borderId="8" xfId="4" applyNumberFormat="1" applyFont="1" applyBorder="1" applyAlignment="1">
      <alignment horizontal="center"/>
    </xf>
    <xf numFmtId="0" fontId="11" fillId="6" borderId="8" xfId="5" applyFont="1" applyBorder="1" applyAlignment="1">
      <alignment horizontal="center"/>
    </xf>
    <xf numFmtId="165" fontId="4" fillId="4" borderId="8" xfId="3" applyNumberFormat="1" applyFont="1" applyBorder="1" applyAlignment="1">
      <alignment horizontal="center"/>
    </xf>
    <xf numFmtId="0" fontId="11" fillId="6" borderId="8" xfId="5" applyNumberFormat="1" applyFont="1" applyBorder="1" applyAlignment="1">
      <alignment horizontal="center"/>
    </xf>
    <xf numFmtId="0" fontId="1" fillId="0" borderId="8" xfId="0" applyNumberFormat="1" applyFont="1" applyBorder="1" applyAlignment="1">
      <alignment horizontal="center"/>
    </xf>
    <xf numFmtId="0" fontId="1" fillId="0" borderId="9" xfId="0" applyNumberFormat="1" applyFont="1" applyBorder="1"/>
    <xf numFmtId="0" fontId="5" fillId="5" borderId="9" xfId="4" applyNumberFormat="1" applyFont="1" applyBorder="1"/>
    <xf numFmtId="0" fontId="1" fillId="7" borderId="4" xfId="7" applyBorder="1"/>
    <xf numFmtId="0" fontId="1" fillId="7" borderId="9" xfId="7" applyBorder="1"/>
    <xf numFmtId="0" fontId="1" fillId="7" borderId="5" xfId="7" applyBorder="1" applyAlignment="1">
      <alignment horizontal="left"/>
    </xf>
    <xf numFmtId="0" fontId="1" fillId="7" borderId="7" xfId="7" applyBorder="1" applyAlignment="1">
      <alignment horizontal="center"/>
    </xf>
    <xf numFmtId="0" fontId="1" fillId="7" borderId="1" xfId="7" applyBorder="1" applyAlignment="1">
      <alignment horizontal="center"/>
    </xf>
    <xf numFmtId="0" fontId="1" fillId="8" borderId="8" xfId="8" applyNumberFormat="1" applyBorder="1" applyAlignment="1">
      <alignment horizontal="center"/>
    </xf>
    <xf numFmtId="0" fontId="1" fillId="0" borderId="10" xfId="0" applyNumberFormat="1" applyFont="1" applyBorder="1"/>
    <xf numFmtId="0" fontId="1" fillId="0" borderId="4" xfId="0" applyNumberFormat="1" applyFont="1" applyBorder="1"/>
    <xf numFmtId="0" fontId="1" fillId="8" borderId="9" xfId="8" applyNumberFormat="1" applyBorder="1"/>
    <xf numFmtId="0" fontId="1" fillId="9" borderId="7" xfId="9" applyBorder="1" applyAlignment="1">
      <alignment horizontal="center"/>
    </xf>
    <xf numFmtId="0" fontId="1" fillId="9" borderId="1" xfId="9" applyBorder="1" applyAlignment="1">
      <alignment horizontal="center"/>
    </xf>
    <xf numFmtId="0" fontId="0" fillId="0" borderId="3" xfId="0" applyBorder="1"/>
    <xf numFmtId="0" fontId="1" fillId="9" borderId="9" xfId="9" applyNumberFormat="1" applyBorder="1"/>
    <xf numFmtId="0" fontId="1" fillId="9" borderId="9" xfId="9" applyBorder="1"/>
    <xf numFmtId="0" fontId="0" fillId="8" borderId="6" xfId="8" applyNumberFormat="1" applyFont="1" applyBorder="1" applyAlignment="1">
      <alignment horizontal="center"/>
    </xf>
    <xf numFmtId="0" fontId="0" fillId="8" borderId="8" xfId="8" applyNumberFormat="1" applyFont="1" applyBorder="1" applyAlignment="1">
      <alignment horizontal="center"/>
    </xf>
    <xf numFmtId="0" fontId="6" fillId="6" borderId="11" xfId="5" applyBorder="1" applyProtection="1"/>
    <xf numFmtId="164" fontId="6" fillId="6" borderId="12" xfId="5" applyNumberFormat="1" applyBorder="1" applyAlignment="1" applyProtection="1">
      <alignment horizontal="center"/>
    </xf>
    <xf numFmtId="0" fontId="0" fillId="0" borderId="0" xfId="0" applyProtection="1"/>
    <xf numFmtId="0" fontId="8" fillId="0" borderId="9" xfId="0" applyFont="1" applyBorder="1" applyAlignment="1" applyProtection="1">
      <alignment horizontal="center"/>
    </xf>
    <xf numFmtId="164" fontId="0" fillId="0" borderId="0" xfId="0" applyNumberFormat="1" applyProtection="1"/>
    <xf numFmtId="0" fontId="16" fillId="4" borderId="13" xfId="12" applyFill="1" applyAlignment="1">
      <alignment horizontal="center"/>
    </xf>
    <xf numFmtId="0" fontId="4" fillId="4" borderId="0" xfId="3" applyAlignment="1">
      <alignment horizontal="center"/>
    </xf>
    <xf numFmtId="0" fontId="5" fillId="5" borderId="1" xfId="4"/>
    <xf numFmtId="166" fontId="0" fillId="0" borderId="0" xfId="0" applyNumberFormat="1"/>
    <xf numFmtId="167" fontId="5" fillId="5" borderId="1" xfId="4" applyNumberFormat="1" applyAlignment="1">
      <alignment horizontal="center"/>
    </xf>
    <xf numFmtId="0" fontId="6" fillId="6" borderId="2" xfId="5" applyAlignment="1">
      <alignment horizontal="right"/>
    </xf>
    <xf numFmtId="0" fontId="13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6" fillId="6" borderId="0" xfId="5" applyBorder="1" applyAlignment="1">
      <alignment horizontal="right"/>
    </xf>
    <xf numFmtId="0" fontId="2" fillId="2" borderId="0" xfId="1" applyAlignment="1">
      <alignment horizontal="center"/>
    </xf>
    <xf numFmtId="0" fontId="5" fillId="5" borderId="1" xfId="4" applyAlignment="1">
      <alignment horizontal="center"/>
    </xf>
    <xf numFmtId="0" fontId="3" fillId="3" borderId="0" xfId="2" applyAlignment="1">
      <alignment horizontal="center"/>
    </xf>
    <xf numFmtId="0" fontId="12" fillId="0" borderId="0" xfId="10" applyAlignment="1">
      <alignment horizontal="center"/>
    </xf>
    <xf numFmtId="9" fontId="0" fillId="0" borderId="0" xfId="0" applyNumberFormat="1"/>
    <xf numFmtId="168" fontId="0" fillId="0" borderId="0" xfId="0" applyNumberFormat="1"/>
    <xf numFmtId="2" fontId="0" fillId="0" borderId="0" xfId="0" applyNumberFormat="1"/>
    <xf numFmtId="169" fontId="0" fillId="0" borderId="0" xfId="0" applyNumberFormat="1"/>
    <xf numFmtId="170" fontId="0" fillId="0" borderId="0" xfId="0" applyNumberFormat="1"/>
    <xf numFmtId="0" fontId="6" fillId="6" borderId="2" xfId="5"/>
    <xf numFmtId="0" fontId="7" fillId="0" borderId="0" xfId="6"/>
    <xf numFmtId="0" fontId="0" fillId="9" borderId="5" xfId="9" applyFont="1" applyBorder="1" applyAlignment="1">
      <alignment horizontal="left"/>
    </xf>
    <xf numFmtId="0" fontId="6" fillId="6" borderId="0" xfId="5" applyBorder="1" applyProtection="1"/>
    <xf numFmtId="0" fontId="7" fillId="0" borderId="0" xfId="6" applyBorder="1" applyProtection="1"/>
    <xf numFmtId="0" fontId="0" fillId="0" borderId="0" xfId="0" applyBorder="1" applyProtection="1"/>
    <xf numFmtId="0" fontId="2" fillId="2" borderId="1" xfId="1" applyBorder="1" applyAlignment="1">
      <alignment horizontal="center"/>
    </xf>
    <xf numFmtId="167" fontId="2" fillId="2" borderId="1" xfId="1" applyNumberFormat="1" applyBorder="1" applyAlignment="1">
      <alignment horizontal="center"/>
    </xf>
    <xf numFmtId="167" fontId="19" fillId="5" borderId="1" xfId="4" applyNumberFormat="1" applyFont="1" applyAlignment="1">
      <alignment horizontal="center"/>
    </xf>
    <xf numFmtId="164" fontId="9" fillId="5" borderId="4" xfId="4" applyNumberFormat="1" applyFont="1" applyBorder="1" applyAlignment="1" applyProtection="1">
      <alignment horizontal="center"/>
    </xf>
    <xf numFmtId="0" fontId="7" fillId="0" borderId="9" xfId="6" applyFont="1" applyBorder="1" applyAlignment="1" applyProtection="1">
      <alignment horizontal="center"/>
    </xf>
    <xf numFmtId="0" fontId="18" fillId="12" borderId="15" xfId="15" applyFont="1" applyAlignment="1" applyProtection="1">
      <alignment horizontal="center"/>
      <protection locked="0"/>
    </xf>
    <xf numFmtId="0" fontId="0" fillId="7" borderId="1" xfId="7" applyFont="1" applyBorder="1" applyAlignment="1">
      <alignment horizontal="center"/>
    </xf>
    <xf numFmtId="0" fontId="0" fillId="7" borderId="5" xfId="7" applyFont="1" applyBorder="1" applyAlignment="1">
      <alignment horizontal="center"/>
    </xf>
    <xf numFmtId="0" fontId="0" fillId="9" borderId="5" xfId="9" applyFont="1" applyBorder="1" applyAlignment="1">
      <alignment horizontal="center"/>
    </xf>
    <xf numFmtId="0" fontId="0" fillId="9" borderId="1" xfId="9" applyFont="1" applyBorder="1" applyAlignment="1">
      <alignment horizontal="center"/>
    </xf>
    <xf numFmtId="171" fontId="0" fillId="0" borderId="0" xfId="0" applyNumberFormat="1"/>
    <xf numFmtId="0" fontId="1" fillId="9" borderId="17" xfId="9" applyBorder="1"/>
    <xf numFmtId="169" fontId="0" fillId="9" borderId="5" xfId="9" applyNumberFormat="1" applyFont="1" applyBorder="1" applyAlignment="1">
      <alignment horizontal="center"/>
    </xf>
    <xf numFmtId="167" fontId="0" fillId="0" borderId="0" xfId="0" applyNumberFormat="1"/>
    <xf numFmtId="167" fontId="18" fillId="10" borderId="14" xfId="14" applyNumberFormat="1" applyAlignment="1">
      <alignment horizontal="left"/>
    </xf>
    <xf numFmtId="167" fontId="7" fillId="10" borderId="14" xfId="6" applyNumberFormat="1" applyFill="1" applyBorder="1"/>
    <xf numFmtId="167" fontId="7" fillId="10" borderId="14" xfId="6" applyNumberFormat="1" applyFill="1" applyBorder="1" applyAlignment="1">
      <alignment horizontal="right"/>
    </xf>
    <xf numFmtId="172" fontId="0" fillId="0" borderId="0" xfId="0" applyNumberFormat="1"/>
    <xf numFmtId="172" fontId="7" fillId="10" borderId="14" xfId="6" applyNumberFormat="1" applyFill="1" applyBorder="1" applyAlignment="1">
      <alignment horizontal="left"/>
    </xf>
    <xf numFmtId="172" fontId="18" fillId="10" borderId="14" xfId="14" applyNumberFormat="1" applyAlignment="1">
      <alignment horizontal="center"/>
    </xf>
    <xf numFmtId="172" fontId="18" fillId="10" borderId="14" xfId="14" applyNumberFormat="1"/>
    <xf numFmtId="173" fontId="0" fillId="0" borderId="0" xfId="0" applyNumberFormat="1"/>
    <xf numFmtId="0" fontId="1" fillId="14" borderId="0" xfId="19"/>
    <xf numFmtId="0" fontId="1" fillId="14" borderId="0" xfId="19" applyAlignment="1">
      <alignment horizontal="left"/>
    </xf>
    <xf numFmtId="167" fontId="1" fillId="14" borderId="0" xfId="19" applyNumberFormat="1"/>
    <xf numFmtId="172" fontId="1" fillId="14" borderId="0" xfId="19" applyNumberFormat="1"/>
    <xf numFmtId="167" fontId="1" fillId="14" borderId="0" xfId="19" applyNumberFormat="1" applyAlignment="1">
      <alignment horizontal="left"/>
    </xf>
    <xf numFmtId="0" fontId="1" fillId="13" borderId="0" xfId="18"/>
    <xf numFmtId="0" fontId="1" fillId="13" borderId="0" xfId="18" applyAlignment="1">
      <alignment horizontal="left"/>
    </xf>
    <xf numFmtId="167" fontId="1" fillId="13" borderId="0" xfId="18" applyNumberFormat="1" applyAlignment="1">
      <alignment horizontal="left"/>
    </xf>
    <xf numFmtId="172" fontId="1" fillId="13" borderId="0" xfId="18" applyNumberFormat="1"/>
    <xf numFmtId="0" fontId="3" fillId="3" borderId="0" xfId="2"/>
    <xf numFmtId="0" fontId="21" fillId="3" borderId="4" xfId="17" applyFill="1" applyBorder="1" applyAlignment="1" applyProtection="1">
      <alignment horizontal="center"/>
    </xf>
    <xf numFmtId="0" fontId="20" fillId="3" borderId="17" xfId="16" applyFill="1" applyBorder="1" applyAlignment="1" applyProtection="1">
      <alignment horizontal="center"/>
    </xf>
    <xf numFmtId="0" fontId="3" fillId="3" borderId="0" xfId="2" applyAlignment="1">
      <alignment horizontal="left"/>
    </xf>
    <xf numFmtId="0" fontId="3" fillId="3" borderId="9" xfId="2" applyBorder="1"/>
    <xf numFmtId="169" fontId="3" fillId="3" borderId="0" xfId="2" applyNumberFormat="1"/>
    <xf numFmtId="0" fontId="23" fillId="0" borderId="9" xfId="6" applyFont="1" applyBorder="1" applyAlignment="1" applyProtection="1">
      <alignment horizontal="center"/>
    </xf>
    <xf numFmtId="0" fontId="24" fillId="0" borderId="9" xfId="6" applyFont="1" applyBorder="1" applyAlignment="1" applyProtection="1">
      <alignment horizontal="center"/>
    </xf>
    <xf numFmtId="0" fontId="25" fillId="0" borderId="9" xfId="16" applyFont="1" applyBorder="1" applyAlignment="1" applyProtection="1">
      <alignment horizontal="center"/>
    </xf>
    <xf numFmtId="0" fontId="26" fillId="0" borderId="9" xfId="11" applyFont="1" applyBorder="1" applyAlignment="1" applyProtection="1">
      <alignment horizontal="center"/>
    </xf>
    <xf numFmtId="0" fontId="27" fillId="0" borderId="9" xfId="0" applyFont="1" applyBorder="1" applyAlignment="1" applyProtection="1">
      <alignment horizontal="center"/>
    </xf>
    <xf numFmtId="164" fontId="8" fillId="8" borderId="19" xfId="8" applyNumberFormat="1" applyFont="1" applyBorder="1" applyAlignment="1" applyProtection="1">
      <alignment horizontal="center"/>
    </xf>
    <xf numFmtId="0" fontId="0" fillId="0" borderId="18" xfId="0" applyBorder="1" applyProtection="1"/>
    <xf numFmtId="0" fontId="3" fillId="3" borderId="18" xfId="2" applyBorder="1" applyProtection="1"/>
    <xf numFmtId="0" fontId="3" fillId="3" borderId="0" xfId="2" applyProtection="1"/>
    <xf numFmtId="0" fontId="0" fillId="0" borderId="18" xfId="0" applyBorder="1" applyProtection="1">
      <protection locked="0"/>
    </xf>
    <xf numFmtId="0" fontId="0" fillId="0" borderId="0" xfId="0" applyProtection="1">
      <protection locked="0"/>
    </xf>
    <xf numFmtId="0" fontId="29" fillId="0" borderId="9" xfId="20" applyFont="1" applyBorder="1" applyAlignment="1" applyProtection="1">
      <alignment horizontal="center"/>
    </xf>
    <xf numFmtId="0" fontId="32" fillId="10" borderId="13" xfId="12" applyFont="1" applyFill="1" applyAlignment="1">
      <alignment horizontal="center"/>
    </xf>
    <xf numFmtId="0" fontId="33" fillId="0" borderId="9" xfId="16" applyFont="1" applyBorder="1" applyAlignment="1" applyProtection="1">
      <alignment horizontal="center"/>
    </xf>
    <xf numFmtId="0" fontId="34" fillId="0" borderId="9" xfId="16" applyFont="1" applyBorder="1" applyAlignment="1" applyProtection="1">
      <alignment horizontal="center"/>
    </xf>
  </cellXfs>
  <cellStyles count="21">
    <cellStyle name="20% - Accent1" xfId="18" builtinId="30"/>
    <cellStyle name="20% - Accent3" xfId="7" builtinId="38"/>
    <cellStyle name="20% - Accent5" xfId="19" builtinId="46"/>
    <cellStyle name="20% - Accent6" xfId="9" builtinId="50"/>
    <cellStyle name="40% - Accent3" xfId="8" builtinId="39"/>
    <cellStyle name="Bad" xfId="2" builtinId="27"/>
    <cellStyle name="Check Cell" xfId="5" builtinId="23"/>
    <cellStyle name="Explanatory Text" xfId="6" builtinId="53"/>
    <cellStyle name="Good" xfId="1" builtinId="26"/>
    <cellStyle name="Heading 2" xfId="17" builtinId="17"/>
    <cellStyle name="Heading 4" xfId="20" builtinId="19"/>
    <cellStyle name="Hyperlink" xfId="11" builtinId="8"/>
    <cellStyle name="Input" xfId="4" builtinId="20"/>
    <cellStyle name="Linked Cell" xfId="12" builtinId="24"/>
    <cellStyle name="Neutral" xfId="3" builtinId="28"/>
    <cellStyle name="Normal" xfId="0" builtinId="0"/>
    <cellStyle name="Note" xfId="15" builtinId="10"/>
    <cellStyle name="Output" xfId="14" builtinId="21"/>
    <cellStyle name="Style 1" xfId="13"/>
    <cellStyle name="Title" xfId="16" builtinId="15"/>
    <cellStyle name="Warning Text" xfId="10" builtinId="11"/>
  </cellStyles>
  <dxfs count="5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6"/>
    </mc:Choice>
    <mc:Fallback>
      <c:style val="16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"(A) Distribution of (xi)B-Zscore"</c:v>
          </c:tx>
          <c:spPr>
            <a:ln w="47625">
              <a:noFill/>
            </a:ln>
          </c:spPr>
          <c:marker>
            <c:symbol val="circle"/>
            <c:size val="3"/>
          </c:marker>
          <c:xVal>
            <c:numRef>
              <c:f>[0]!Adistz</c:f>
              <c:numCache>
                <c:formatCode>General</c:formatCode>
                <c:ptCount val="100"/>
                <c:pt idx="0">
                  <c:v>-2.0650155521034406</c:v>
                </c:pt>
                <c:pt idx="1">
                  <c:v>-1.9308211020988919</c:v>
                </c:pt>
                <c:pt idx="2">
                  <c:v>-1.9132707383916128</c:v>
                </c:pt>
                <c:pt idx="3">
                  <c:v>-1.8684061109656993</c:v>
                </c:pt>
                <c:pt idx="4">
                  <c:v>-1.7605396721533852</c:v>
                </c:pt>
                <c:pt idx="5">
                  <c:v>-1.7013004141551991</c:v>
                </c:pt>
                <c:pt idx="6">
                  <c:v>-1.5950021168598603</c:v>
                </c:pt>
                <c:pt idx="7">
                  <c:v>-1.5295149491069333</c:v>
                </c:pt>
                <c:pt idx="8">
                  <c:v>-1.4217594637038393</c:v>
                </c:pt>
                <c:pt idx="9">
                  <c:v>-1.4211800403445796</c:v>
                </c:pt>
                <c:pt idx="10">
                  <c:v>-1.3390350674207647</c:v>
                </c:pt>
                <c:pt idx="11">
                  <c:v>-1.3090973719819079</c:v>
                </c:pt>
                <c:pt idx="12">
                  <c:v>-1.306730365918549</c:v>
                </c:pt>
                <c:pt idx="13">
                  <c:v>-1.2923286134018002</c:v>
                </c:pt>
                <c:pt idx="14">
                  <c:v>-1.1202300131764025</c:v>
                </c:pt>
                <c:pt idx="15">
                  <c:v>-1.0868428995264634</c:v>
                </c:pt>
                <c:pt idx="16">
                  <c:v>-1.0611658150016523</c:v>
                </c:pt>
                <c:pt idx="17">
                  <c:v>-0.94570523173606214</c:v>
                </c:pt>
                <c:pt idx="18">
                  <c:v>-0.9232310022907334</c:v>
                </c:pt>
                <c:pt idx="19">
                  <c:v>-0.8854686258705543</c:v>
                </c:pt>
                <c:pt idx="20">
                  <c:v>-0.85634089031900296</c:v>
                </c:pt>
                <c:pt idx="21">
                  <c:v>-0.81336986774377651</c:v>
                </c:pt>
                <c:pt idx="22">
                  <c:v>-0.66011362203524138</c:v>
                </c:pt>
                <c:pt idx="23">
                  <c:v>-0.6044840482836773</c:v>
                </c:pt>
                <c:pt idx="24">
                  <c:v>-0.56645661649702839</c:v>
                </c:pt>
                <c:pt idx="25">
                  <c:v>-0.55374628706305473</c:v>
                </c:pt>
                <c:pt idx="26">
                  <c:v>-0.53542048230689399</c:v>
                </c:pt>
                <c:pt idx="27">
                  <c:v>-0.48731601533175811</c:v>
                </c:pt>
                <c:pt idx="28">
                  <c:v>-0.48066497485685145</c:v>
                </c:pt>
                <c:pt idx="29">
                  <c:v>-0.47022179341793868</c:v>
                </c:pt>
                <c:pt idx="30">
                  <c:v>-0.4544109326040966</c:v>
                </c:pt>
                <c:pt idx="31">
                  <c:v>-0.44182881599855489</c:v>
                </c:pt>
                <c:pt idx="32">
                  <c:v>-0.42154899842446508</c:v>
                </c:pt>
                <c:pt idx="33">
                  <c:v>-0.42110395197192729</c:v>
                </c:pt>
                <c:pt idx="34">
                  <c:v>-0.41479070298731247</c:v>
                </c:pt>
                <c:pt idx="35">
                  <c:v>-0.41177277025652997</c:v>
                </c:pt>
                <c:pt idx="36">
                  <c:v>-0.37561182137609211</c:v>
                </c:pt>
                <c:pt idx="37">
                  <c:v>-0.31977020333135214</c:v>
                </c:pt>
                <c:pt idx="38">
                  <c:v>-0.31364804077372721</c:v>
                </c:pt>
                <c:pt idx="39">
                  <c:v>-0.30727561663752845</c:v>
                </c:pt>
                <c:pt idx="40">
                  <c:v>-0.26200292722881713</c:v>
                </c:pt>
                <c:pt idx="41">
                  <c:v>-0.21859302227934291</c:v>
                </c:pt>
                <c:pt idx="42">
                  <c:v>-0.19491309912049079</c:v>
                </c:pt>
                <c:pt idx="43">
                  <c:v>-0.15632596902511015</c:v>
                </c:pt>
                <c:pt idx="44">
                  <c:v>-0.12458836272557408</c:v>
                </c:pt>
                <c:pt idx="45">
                  <c:v>-0.12142002648451566</c:v>
                </c:pt>
                <c:pt idx="46">
                  <c:v>-0.11042084518384518</c:v>
                </c:pt>
                <c:pt idx="47">
                  <c:v>-0.10584216783003549</c:v>
                </c:pt>
                <c:pt idx="48">
                  <c:v>-3.7545413192527743E-2</c:v>
                </c:pt>
                <c:pt idx="49">
                  <c:v>-3.1239561101860908E-2</c:v>
                </c:pt>
                <c:pt idx="50">
                  <c:v>-6.2874831373626455E-4</c:v>
                </c:pt>
                <c:pt idx="51">
                  <c:v>6.8384161267659891E-3</c:v>
                </c:pt>
                <c:pt idx="52">
                  <c:v>5.4248807886448203E-2</c:v>
                </c:pt>
                <c:pt idx="53">
                  <c:v>9.7203803858120649E-2</c:v>
                </c:pt>
                <c:pt idx="54">
                  <c:v>0.12727217775672556</c:v>
                </c:pt>
                <c:pt idx="55">
                  <c:v>0.14066918551220484</c:v>
                </c:pt>
                <c:pt idx="56">
                  <c:v>0.16627599954451</c:v>
                </c:pt>
                <c:pt idx="57">
                  <c:v>0.17031470364011597</c:v>
                </c:pt>
                <c:pt idx="58">
                  <c:v>0.19773005824270623</c:v>
                </c:pt>
                <c:pt idx="59">
                  <c:v>0.21424362398160793</c:v>
                </c:pt>
                <c:pt idx="60">
                  <c:v>0.25623825655569887</c:v>
                </c:pt>
                <c:pt idx="61">
                  <c:v>0.26437607271415281</c:v>
                </c:pt>
                <c:pt idx="62">
                  <c:v>0.36949209979347003</c:v>
                </c:pt>
                <c:pt idx="63">
                  <c:v>0.38676261434638337</c:v>
                </c:pt>
                <c:pt idx="64">
                  <c:v>0.39271957960583642</c:v>
                </c:pt>
                <c:pt idx="65">
                  <c:v>0.39833258929670756</c:v>
                </c:pt>
                <c:pt idx="66">
                  <c:v>0.43767173694346784</c:v>
                </c:pt>
                <c:pt idx="67">
                  <c:v>0.45237183084945248</c:v>
                </c:pt>
                <c:pt idx="68">
                  <c:v>0.45838427281351546</c:v>
                </c:pt>
                <c:pt idx="69">
                  <c:v>0.45911409968305106</c:v>
                </c:pt>
                <c:pt idx="70">
                  <c:v>0.47394117360180965</c:v>
                </c:pt>
                <c:pt idx="71">
                  <c:v>0.50554686862593978</c:v>
                </c:pt>
                <c:pt idx="72">
                  <c:v>0.53024879596527341</c:v>
                </c:pt>
                <c:pt idx="73">
                  <c:v>0.57629199516023433</c:v>
                </c:pt>
                <c:pt idx="74">
                  <c:v>0.61496542235167484</c:v>
                </c:pt>
                <c:pt idx="75">
                  <c:v>0.67139386064962259</c:v>
                </c:pt>
                <c:pt idx="76">
                  <c:v>0.69495789913662276</c:v>
                </c:pt>
                <c:pt idx="77">
                  <c:v>0.72188875718561929</c:v>
                </c:pt>
                <c:pt idx="78">
                  <c:v>0.72324732004073455</c:v>
                </c:pt>
                <c:pt idx="79">
                  <c:v>0.76735006739000444</c:v>
                </c:pt>
                <c:pt idx="80">
                  <c:v>0.82448367624432783</c:v>
                </c:pt>
                <c:pt idx="81">
                  <c:v>0.87205926530218192</c:v>
                </c:pt>
                <c:pt idx="82">
                  <c:v>0.90181943528628694</c:v>
                </c:pt>
                <c:pt idx="83">
                  <c:v>0.93083005335032842</c:v>
                </c:pt>
                <c:pt idx="84">
                  <c:v>0.99584135425926779</c:v>
                </c:pt>
                <c:pt idx="85">
                  <c:v>1.0111751154134641</c:v>
                </c:pt>
                <c:pt idx="86">
                  <c:v>1.1040579127184535</c:v>
                </c:pt>
                <c:pt idx="87">
                  <c:v>1.1104291040389944</c:v>
                </c:pt>
                <c:pt idx="88">
                  <c:v>1.3009065200938468</c:v>
                </c:pt>
                <c:pt idx="89">
                  <c:v>1.4116824038590392</c:v>
                </c:pt>
                <c:pt idx="90">
                  <c:v>1.4399286762151211</c:v>
                </c:pt>
                <c:pt idx="91">
                  <c:v>1.446068098191958</c:v>
                </c:pt>
                <c:pt idx="92">
                  <c:v>1.4616213005332781</c:v>
                </c:pt>
                <c:pt idx="93">
                  <c:v>1.643491197663979</c:v>
                </c:pt>
                <c:pt idx="94">
                  <c:v>1.7168585231028382</c:v>
                </c:pt>
                <c:pt idx="95">
                  <c:v>1.7231162953828429</c:v>
                </c:pt>
                <c:pt idx="96">
                  <c:v>1.8906855308807509</c:v>
                </c:pt>
                <c:pt idx="97">
                  <c:v>1.9099963553476531</c:v>
                </c:pt>
                <c:pt idx="98">
                  <c:v>2.2290786352136851</c:v>
                </c:pt>
                <c:pt idx="99">
                  <c:v>2.4958402185542234</c:v>
                </c:pt>
              </c:numCache>
            </c:numRef>
          </c:xVal>
          <c:yVal>
            <c:numRef>
              <c:f>[0]!Adata</c:f>
              <c:numCache>
                <c:formatCode>General</c:formatCode>
                <c:ptCount val="100"/>
                <c:pt idx="0">
                  <c:v>-1.8912123778136447</c:v>
                </c:pt>
                <c:pt idx="1">
                  <c:v>-1.7674619812169112</c:v>
                </c:pt>
                <c:pt idx="2">
                  <c:v>-1.751277522998862</c:v>
                </c:pt>
                <c:pt idx="3">
                  <c:v>-1.7099046090152115</c:v>
                </c:pt>
                <c:pt idx="4">
                  <c:v>-1.6104331734823063</c:v>
                </c:pt>
                <c:pt idx="5">
                  <c:v>-1.5558043742203154</c:v>
                </c:pt>
                <c:pt idx="6">
                  <c:v>-1.4577790352632292</c:v>
                </c:pt>
                <c:pt idx="7">
                  <c:v>-1.3973885870655067</c:v>
                </c:pt>
                <c:pt idx="8">
                  <c:v>-1.298019469686551</c:v>
                </c:pt>
                <c:pt idx="9">
                  <c:v>-1.2974851415492594</c:v>
                </c:pt>
                <c:pt idx="10">
                  <c:v>-1.2217333278385922</c:v>
                </c:pt>
                <c:pt idx="11">
                  <c:v>-1.194125616166275</c:v>
                </c:pt>
                <c:pt idx="12">
                  <c:v>-1.19194282888202</c:v>
                </c:pt>
                <c:pt idx="13">
                  <c:v>-1.1786619324993808</c:v>
                </c:pt>
                <c:pt idx="14">
                  <c:v>-1.0199573807767592</c:v>
                </c:pt>
                <c:pt idx="15">
                  <c:v>-0.98916871138499118</c:v>
                </c:pt>
                <c:pt idx="16">
                  <c:v>-0.965490016824333</c:v>
                </c:pt>
                <c:pt idx="17">
                  <c:v>-0.85901547208777629</c:v>
                </c:pt>
                <c:pt idx="18">
                  <c:v>-0.83829036157112569</c:v>
                </c:pt>
                <c:pt idx="19">
                  <c:v>-0.80346694630861748</c:v>
                </c:pt>
                <c:pt idx="20">
                  <c:v>-0.77660615716013126</c:v>
                </c:pt>
                <c:pt idx="21">
                  <c:v>-0.73697947300388478</c:v>
                </c:pt>
                <c:pt idx="22">
                  <c:v>-0.59565081755863503</c:v>
                </c:pt>
                <c:pt idx="23">
                  <c:v>-0.54435076890513301</c:v>
                </c:pt>
                <c:pt idx="24">
                  <c:v>-0.50928292694152333</c:v>
                </c:pt>
                <c:pt idx="25">
                  <c:v>-0.49756181397242472</c:v>
                </c:pt>
                <c:pt idx="26">
                  <c:v>-0.48066226554510649</c:v>
                </c:pt>
                <c:pt idx="27">
                  <c:v>-0.43630166146613192</c:v>
                </c:pt>
                <c:pt idx="28">
                  <c:v>-0.43016825657105073</c:v>
                </c:pt>
                <c:pt idx="29">
                  <c:v>-0.42053784454765264</c:v>
                </c:pt>
                <c:pt idx="30">
                  <c:v>-0.40595750760985538</c:v>
                </c:pt>
                <c:pt idx="31">
                  <c:v>-0.39435462895198725</c:v>
                </c:pt>
                <c:pt idx="32">
                  <c:v>-0.37565314414678141</c:v>
                </c:pt>
                <c:pt idx="33">
                  <c:v>-0.37524273466260638</c:v>
                </c:pt>
                <c:pt idx="34">
                  <c:v>-0.36942083170288242</c:v>
                </c:pt>
                <c:pt idx="35">
                  <c:v>-0.36663777791545726</c:v>
                </c:pt>
                <c:pt idx="36">
                  <c:v>-0.33329115467495285</c:v>
                </c:pt>
                <c:pt idx="37">
                  <c:v>-0.28179556466056965</c:v>
                </c:pt>
                <c:pt idx="38">
                  <c:v>-0.2761498762993142</c:v>
                </c:pt>
                <c:pt idx="39">
                  <c:v>-0.27027340365748387</c:v>
                </c:pt>
                <c:pt idx="40">
                  <c:v>-0.22852418624097481</c:v>
                </c:pt>
                <c:pt idx="41">
                  <c:v>-0.18849277694243938</c:v>
                </c:pt>
                <c:pt idx="42">
                  <c:v>-0.16665580915287137</c:v>
                </c:pt>
                <c:pt idx="43">
                  <c:v>-0.13107182894600555</c:v>
                </c:pt>
                <c:pt idx="44">
                  <c:v>-0.10180428944295272</c:v>
                </c:pt>
                <c:pt idx="45">
                  <c:v>-9.888253771350719E-2</c:v>
                </c:pt>
                <c:pt idx="46">
                  <c:v>-8.8739398051984608E-2</c:v>
                </c:pt>
                <c:pt idx="47">
                  <c:v>-8.4517068899003789E-2</c:v>
                </c:pt>
                <c:pt idx="48">
                  <c:v>-2.1535697669605725E-2</c:v>
                </c:pt>
                <c:pt idx="49">
                  <c:v>-1.5720615920145065E-2</c:v>
                </c:pt>
                <c:pt idx="50">
                  <c:v>1.2507825886132196E-2</c:v>
                </c:pt>
                <c:pt idx="51">
                  <c:v>1.9393837646930479E-2</c:v>
                </c:pt>
                <c:pt idx="52">
                  <c:v>6.3114384829532355E-2</c:v>
                </c:pt>
                <c:pt idx="53">
                  <c:v>0.10272628969687503</c:v>
                </c:pt>
                <c:pt idx="54">
                  <c:v>0.13045450941717718</c:v>
                </c:pt>
                <c:pt idx="55">
                  <c:v>0.14280885807238519</c:v>
                </c:pt>
                <c:pt idx="56">
                  <c:v>0.16642275113554206</c:v>
                </c:pt>
                <c:pt idx="57">
                  <c:v>0.1701471319393022</c:v>
                </c:pt>
                <c:pt idx="58">
                  <c:v>0.19542881091183517</c:v>
                </c:pt>
                <c:pt idx="59">
                  <c:v>0.21065716282464564</c:v>
                </c:pt>
                <c:pt idx="60">
                  <c:v>0.24938344722613692</c:v>
                </c:pt>
                <c:pt idx="61">
                  <c:v>0.2568879153841408</c:v>
                </c:pt>
                <c:pt idx="62">
                  <c:v>0.3538229975674767</c:v>
                </c:pt>
                <c:pt idx="63">
                  <c:v>0.36974938666389789</c:v>
                </c:pt>
                <c:pt idx="64">
                  <c:v>0.37524273466260638</c:v>
                </c:pt>
                <c:pt idx="65">
                  <c:v>0.38041889638407156</c:v>
                </c:pt>
                <c:pt idx="66">
                  <c:v>0.41669636630103923</c:v>
                </c:pt>
                <c:pt idx="67">
                  <c:v>0.43025238483096473</c:v>
                </c:pt>
                <c:pt idx="68">
                  <c:v>0.43579689190664794</c:v>
                </c:pt>
                <c:pt idx="69">
                  <c:v>0.43646991798595991</c:v>
                </c:pt>
                <c:pt idx="70">
                  <c:v>0.45014303395873867</c:v>
                </c:pt>
                <c:pt idx="71">
                  <c:v>0.47928892854542937</c:v>
                </c:pt>
                <c:pt idx="72">
                  <c:v>0.50206836021970958</c:v>
                </c:pt>
                <c:pt idx="73">
                  <c:v>0.54452812037197873</c:v>
                </c:pt>
                <c:pt idx="74">
                  <c:v>0.58019168136524968</c:v>
                </c:pt>
                <c:pt idx="75">
                  <c:v>0.63222842072718777</c:v>
                </c:pt>
                <c:pt idx="76">
                  <c:v>0.65395852288929746</c:v>
                </c:pt>
                <c:pt idx="77">
                  <c:v>0.67879341258958448</c:v>
                </c:pt>
                <c:pt idx="78">
                  <c:v>0.68004624154127669</c:v>
                </c:pt>
                <c:pt idx="79">
                  <c:v>0.7207165708678076</c:v>
                </c:pt>
                <c:pt idx="80">
                  <c:v>0.77340359894151334</c:v>
                </c:pt>
                <c:pt idx="81">
                  <c:v>0.81727648648666218</c:v>
                </c:pt>
                <c:pt idx="82">
                  <c:v>0.84472048911266029</c:v>
                </c:pt>
                <c:pt idx="83">
                  <c:v>0.87147327576531097</c:v>
                </c:pt>
                <c:pt idx="84">
                  <c:v>0.93142489276942797</c:v>
                </c:pt>
                <c:pt idx="85">
                  <c:v>0.94556526164524257</c:v>
                </c:pt>
                <c:pt idx="86">
                  <c:v>1.0312191989214625</c:v>
                </c:pt>
                <c:pt idx="87">
                  <c:v>1.0370945346949156</c:v>
                </c:pt>
                <c:pt idx="88">
                  <c:v>1.2127475201850757</c:v>
                </c:pt>
                <c:pt idx="89">
                  <c:v>1.314901965088211</c:v>
                </c:pt>
                <c:pt idx="90">
                  <c:v>1.3409498933469877</c:v>
                </c:pt>
                <c:pt idx="91">
                  <c:v>1.3466114978655241</c:v>
                </c:pt>
                <c:pt idx="92">
                  <c:v>1.3609542293124832</c:v>
                </c:pt>
                <c:pt idx="93">
                  <c:v>1.5286695997929201</c:v>
                </c:pt>
                <c:pt idx="94">
                  <c:v>1.5963269106578082</c:v>
                </c:pt>
                <c:pt idx="95">
                  <c:v>1.6020976545405574</c:v>
                </c:pt>
                <c:pt idx="96">
                  <c:v>1.7566253518452868</c:v>
                </c:pt>
                <c:pt idx="97">
                  <c:v>1.7744332581060007</c:v>
                </c:pt>
                <c:pt idx="98">
                  <c:v>2.0686820789705962</c:v>
                </c:pt>
                <c:pt idx="99">
                  <c:v>2.3146822059061378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4475648"/>
        <c:axId val="317799744"/>
      </c:scatterChart>
      <c:valAx>
        <c:axId val="3144756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crossAx val="317799744"/>
        <c:crosses val="autoZero"/>
        <c:crossBetween val="midCat"/>
      </c:valAx>
      <c:valAx>
        <c:axId val="31779974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crossAx val="314475648"/>
        <c:crosses val="autoZero"/>
        <c:crossBetween val="midCat"/>
      </c:valAx>
    </c:plotArea>
    <c:legend>
      <c:legendPos val="b"/>
      <c:overlay val="0"/>
    </c:legend>
    <c:plotVisOnly val="1"/>
    <c:dispBlanksAs val="span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24"/>
    </mc:Choice>
    <mc:Fallback>
      <c:style val="24"/>
    </mc:Fallback>
  </mc:AlternateContent>
  <c:chart>
    <c:autoTitleDeleted val="1"/>
    <c:plotArea>
      <c:layout>
        <c:manualLayout>
          <c:layoutTarget val="inner"/>
          <c:xMode val="edge"/>
          <c:yMode val="edge"/>
          <c:x val="5.8485777359610698E-2"/>
          <c:y val="6.9306930693069299E-2"/>
          <c:w val="0.91093880796440396"/>
          <c:h val="0.67114095267794505"/>
        </c:manualLayout>
      </c:layout>
      <c:scatterChart>
        <c:scatterStyle val="lineMarker"/>
        <c:varyColors val="0"/>
        <c:ser>
          <c:idx val="0"/>
          <c:order val="0"/>
          <c:tx>
            <c:v>Standardized Distribution of (A))</c:v>
          </c:tx>
          <c:spPr>
            <a:ln w="47625">
              <a:noFill/>
            </a:ln>
          </c:spPr>
          <c:marker>
            <c:symbol val="circle"/>
            <c:size val="3"/>
          </c:marker>
          <c:xVal>
            <c:numRef>
              <c:f>[0]!Adistz</c:f>
              <c:numCache>
                <c:formatCode>General</c:formatCode>
                <c:ptCount val="100"/>
                <c:pt idx="0">
                  <c:v>-2.0650155521034406</c:v>
                </c:pt>
                <c:pt idx="1">
                  <c:v>-1.9308211020988919</c:v>
                </c:pt>
                <c:pt idx="2">
                  <c:v>-1.9132707383916128</c:v>
                </c:pt>
                <c:pt idx="3">
                  <c:v>-1.8684061109656993</c:v>
                </c:pt>
                <c:pt idx="4">
                  <c:v>-1.7605396721533852</c:v>
                </c:pt>
                <c:pt idx="5">
                  <c:v>-1.7013004141551991</c:v>
                </c:pt>
                <c:pt idx="6">
                  <c:v>-1.5950021168598603</c:v>
                </c:pt>
                <c:pt idx="7">
                  <c:v>-1.5295149491069333</c:v>
                </c:pt>
                <c:pt idx="8">
                  <c:v>-1.4217594637038393</c:v>
                </c:pt>
                <c:pt idx="9">
                  <c:v>-1.4211800403445796</c:v>
                </c:pt>
                <c:pt idx="10">
                  <c:v>-1.3390350674207647</c:v>
                </c:pt>
                <c:pt idx="11">
                  <c:v>-1.3090973719819079</c:v>
                </c:pt>
                <c:pt idx="12">
                  <c:v>-1.306730365918549</c:v>
                </c:pt>
                <c:pt idx="13">
                  <c:v>-1.2923286134018002</c:v>
                </c:pt>
                <c:pt idx="14">
                  <c:v>-1.1202300131764025</c:v>
                </c:pt>
                <c:pt idx="15">
                  <c:v>-1.0868428995264634</c:v>
                </c:pt>
                <c:pt idx="16">
                  <c:v>-1.0611658150016523</c:v>
                </c:pt>
                <c:pt idx="17">
                  <c:v>-0.94570523173606214</c:v>
                </c:pt>
                <c:pt idx="18">
                  <c:v>-0.9232310022907334</c:v>
                </c:pt>
                <c:pt idx="19">
                  <c:v>-0.8854686258705543</c:v>
                </c:pt>
                <c:pt idx="20">
                  <c:v>-0.85634089031900296</c:v>
                </c:pt>
                <c:pt idx="21">
                  <c:v>-0.81336986774377651</c:v>
                </c:pt>
                <c:pt idx="22">
                  <c:v>-0.66011362203524138</c:v>
                </c:pt>
                <c:pt idx="23">
                  <c:v>-0.6044840482836773</c:v>
                </c:pt>
                <c:pt idx="24">
                  <c:v>-0.56645661649702839</c:v>
                </c:pt>
                <c:pt idx="25">
                  <c:v>-0.55374628706305473</c:v>
                </c:pt>
                <c:pt idx="26">
                  <c:v>-0.53542048230689399</c:v>
                </c:pt>
                <c:pt idx="27">
                  <c:v>-0.48731601533175811</c:v>
                </c:pt>
                <c:pt idx="28">
                  <c:v>-0.48066497485685145</c:v>
                </c:pt>
                <c:pt idx="29">
                  <c:v>-0.47022179341793868</c:v>
                </c:pt>
                <c:pt idx="30">
                  <c:v>-0.4544109326040966</c:v>
                </c:pt>
                <c:pt idx="31">
                  <c:v>-0.44182881599855489</c:v>
                </c:pt>
                <c:pt idx="32">
                  <c:v>-0.42154899842446508</c:v>
                </c:pt>
                <c:pt idx="33">
                  <c:v>-0.42110395197192729</c:v>
                </c:pt>
                <c:pt idx="34">
                  <c:v>-0.41479070298731247</c:v>
                </c:pt>
                <c:pt idx="35">
                  <c:v>-0.41177277025652997</c:v>
                </c:pt>
                <c:pt idx="36">
                  <c:v>-0.37561182137609211</c:v>
                </c:pt>
                <c:pt idx="37">
                  <c:v>-0.31977020333135214</c:v>
                </c:pt>
                <c:pt idx="38">
                  <c:v>-0.31364804077372721</c:v>
                </c:pt>
                <c:pt idx="39">
                  <c:v>-0.30727561663752845</c:v>
                </c:pt>
                <c:pt idx="40">
                  <c:v>-0.26200292722881713</c:v>
                </c:pt>
                <c:pt idx="41">
                  <c:v>-0.21859302227934291</c:v>
                </c:pt>
                <c:pt idx="42">
                  <c:v>-0.19491309912049079</c:v>
                </c:pt>
                <c:pt idx="43">
                  <c:v>-0.15632596902511015</c:v>
                </c:pt>
                <c:pt idx="44">
                  <c:v>-0.12458836272557408</c:v>
                </c:pt>
                <c:pt idx="45">
                  <c:v>-0.12142002648451566</c:v>
                </c:pt>
                <c:pt idx="46">
                  <c:v>-0.11042084518384518</c:v>
                </c:pt>
                <c:pt idx="47">
                  <c:v>-0.10584216783003549</c:v>
                </c:pt>
                <c:pt idx="48">
                  <c:v>-3.7545413192527743E-2</c:v>
                </c:pt>
                <c:pt idx="49">
                  <c:v>-3.1239561101860908E-2</c:v>
                </c:pt>
                <c:pt idx="50">
                  <c:v>-6.2874831373626455E-4</c:v>
                </c:pt>
                <c:pt idx="51">
                  <c:v>6.8384161267659891E-3</c:v>
                </c:pt>
                <c:pt idx="52">
                  <c:v>5.4248807886448203E-2</c:v>
                </c:pt>
                <c:pt idx="53">
                  <c:v>9.7203803858120649E-2</c:v>
                </c:pt>
                <c:pt idx="54">
                  <c:v>0.12727217775672556</c:v>
                </c:pt>
                <c:pt idx="55">
                  <c:v>0.14066918551220484</c:v>
                </c:pt>
                <c:pt idx="56">
                  <c:v>0.16627599954451</c:v>
                </c:pt>
                <c:pt idx="57">
                  <c:v>0.17031470364011597</c:v>
                </c:pt>
                <c:pt idx="58">
                  <c:v>0.19773005824270623</c:v>
                </c:pt>
                <c:pt idx="59">
                  <c:v>0.21424362398160793</c:v>
                </c:pt>
                <c:pt idx="60">
                  <c:v>0.25623825655569887</c:v>
                </c:pt>
                <c:pt idx="61">
                  <c:v>0.26437607271415281</c:v>
                </c:pt>
                <c:pt idx="62">
                  <c:v>0.36949209979347003</c:v>
                </c:pt>
                <c:pt idx="63">
                  <c:v>0.38676261434638337</c:v>
                </c:pt>
                <c:pt idx="64">
                  <c:v>0.39271957960583642</c:v>
                </c:pt>
                <c:pt idx="65">
                  <c:v>0.39833258929670756</c:v>
                </c:pt>
                <c:pt idx="66">
                  <c:v>0.43767173694346784</c:v>
                </c:pt>
                <c:pt idx="67">
                  <c:v>0.45237183084945248</c:v>
                </c:pt>
                <c:pt idx="68">
                  <c:v>0.45838427281351546</c:v>
                </c:pt>
                <c:pt idx="69">
                  <c:v>0.45911409968305106</c:v>
                </c:pt>
                <c:pt idx="70">
                  <c:v>0.47394117360180965</c:v>
                </c:pt>
                <c:pt idx="71">
                  <c:v>0.50554686862593978</c:v>
                </c:pt>
                <c:pt idx="72">
                  <c:v>0.53024879596527341</c:v>
                </c:pt>
                <c:pt idx="73">
                  <c:v>0.57629199516023433</c:v>
                </c:pt>
                <c:pt idx="74">
                  <c:v>0.61496542235167484</c:v>
                </c:pt>
                <c:pt idx="75">
                  <c:v>0.67139386064962259</c:v>
                </c:pt>
                <c:pt idx="76">
                  <c:v>0.69495789913662276</c:v>
                </c:pt>
                <c:pt idx="77">
                  <c:v>0.72188875718561929</c:v>
                </c:pt>
                <c:pt idx="78">
                  <c:v>0.72324732004073455</c:v>
                </c:pt>
                <c:pt idx="79">
                  <c:v>0.76735006739000444</c:v>
                </c:pt>
                <c:pt idx="80">
                  <c:v>0.82448367624432783</c:v>
                </c:pt>
                <c:pt idx="81">
                  <c:v>0.87205926530218192</c:v>
                </c:pt>
                <c:pt idx="82">
                  <c:v>0.90181943528628694</c:v>
                </c:pt>
                <c:pt idx="83">
                  <c:v>0.93083005335032842</c:v>
                </c:pt>
                <c:pt idx="84">
                  <c:v>0.99584135425926779</c:v>
                </c:pt>
                <c:pt idx="85">
                  <c:v>1.0111751154134641</c:v>
                </c:pt>
                <c:pt idx="86">
                  <c:v>1.1040579127184535</c:v>
                </c:pt>
                <c:pt idx="87">
                  <c:v>1.1104291040389944</c:v>
                </c:pt>
                <c:pt idx="88">
                  <c:v>1.3009065200938468</c:v>
                </c:pt>
                <c:pt idx="89">
                  <c:v>1.4116824038590392</c:v>
                </c:pt>
                <c:pt idx="90">
                  <c:v>1.4399286762151211</c:v>
                </c:pt>
                <c:pt idx="91">
                  <c:v>1.446068098191958</c:v>
                </c:pt>
                <c:pt idx="92">
                  <c:v>1.4616213005332781</c:v>
                </c:pt>
                <c:pt idx="93">
                  <c:v>1.643491197663979</c:v>
                </c:pt>
                <c:pt idx="94">
                  <c:v>1.7168585231028382</c:v>
                </c:pt>
                <c:pt idx="95">
                  <c:v>1.7231162953828429</c:v>
                </c:pt>
                <c:pt idx="96">
                  <c:v>1.8906855308807509</c:v>
                </c:pt>
                <c:pt idx="97">
                  <c:v>1.9099963553476531</c:v>
                </c:pt>
                <c:pt idx="98">
                  <c:v>2.2290786352136851</c:v>
                </c:pt>
                <c:pt idx="99">
                  <c:v>2.4958402185542234</c:v>
                </c:pt>
              </c:numCache>
            </c:numRef>
          </c:xVal>
          <c:yVal>
            <c:numRef>
              <c:f>[0]!Adistzp</c:f>
              <c:numCache>
                <c:formatCode>General</c:formatCode>
                <c:ptCount val="100"/>
                <c:pt idx="0">
                  <c:v>4.7307655418017146E-2</c:v>
                </c:pt>
                <c:pt idx="1">
                  <c:v>6.1854303844911668E-2</c:v>
                </c:pt>
                <c:pt idx="2">
                  <c:v>6.3976401358218887E-2</c:v>
                </c:pt>
                <c:pt idx="3">
                  <c:v>6.9640482824881181E-2</c:v>
                </c:pt>
                <c:pt idx="4">
                  <c:v>8.4695864666352552E-2</c:v>
                </c:pt>
                <c:pt idx="5">
                  <c:v>9.3841313002505186E-2</c:v>
                </c:pt>
                <c:pt idx="6">
                  <c:v>0.11180998515436898</c:v>
                </c:pt>
                <c:pt idx="7">
                  <c:v>0.12385465685637942</c:v>
                </c:pt>
                <c:pt idx="8">
                  <c:v>0.14520067620829166</c:v>
                </c:pt>
                <c:pt idx="9">
                  <c:v>0.14532031750820601</c:v>
                </c:pt>
                <c:pt idx="10">
                  <c:v>0.16276530065098296</c:v>
                </c:pt>
                <c:pt idx="11">
                  <c:v>0.16934681656300132</c:v>
                </c:pt>
                <c:pt idx="12">
                  <c:v>0.16987189958859444</c:v>
                </c:pt>
                <c:pt idx="13">
                  <c:v>0.1730810744687909</c:v>
                </c:pt>
                <c:pt idx="14">
                  <c:v>0.21301425845385125</c:v>
                </c:pt>
                <c:pt idx="15">
                  <c:v>0.22100890650911634</c:v>
                </c:pt>
                <c:pt idx="16">
                  <c:v>0.22718855292234807</c:v>
                </c:pt>
                <c:pt idx="17">
                  <c:v>0.25509538986507463</c:v>
                </c:pt>
                <c:pt idx="18">
                  <c:v>0.26050941536659544</c:v>
                </c:pt>
                <c:pt idx="19">
                  <c:v>0.26955956924316882</c:v>
                </c:pt>
                <c:pt idx="20">
                  <c:v>0.27648508726376264</c:v>
                </c:pt>
                <c:pt idx="21">
                  <c:v>0.28658393924463027</c:v>
                </c:pt>
                <c:pt idx="22">
                  <c:v>0.32083974085137956</c:v>
                </c:pt>
                <c:pt idx="23">
                  <c:v>0.33232594968953028</c:v>
                </c:pt>
                <c:pt idx="24">
                  <c:v>0.33980781119232906</c:v>
                </c:pt>
                <c:pt idx="25">
                  <c:v>0.34223555954191692</c:v>
                </c:pt>
                <c:pt idx="26">
                  <c:v>0.34566814604683321</c:v>
                </c:pt>
                <c:pt idx="27">
                  <c:v>0.35427671776570807</c:v>
                </c:pt>
                <c:pt idx="28">
                  <c:v>0.35541898634113722</c:v>
                </c:pt>
                <c:pt idx="29">
                  <c:v>0.35718808017503512</c:v>
                </c:pt>
                <c:pt idx="30">
                  <c:v>0.35980855485976532</c:v>
                </c:pt>
                <c:pt idx="31">
                  <c:v>0.36184299217028743</c:v>
                </c:pt>
                <c:pt idx="32">
                  <c:v>0.36502467963722757</c:v>
                </c:pt>
                <c:pt idx="33">
                  <c:v>0.36509313177882646</c:v>
                </c:pt>
                <c:pt idx="34">
                  <c:v>0.36605774059068302</c:v>
                </c:pt>
                <c:pt idx="35">
                  <c:v>0.3665145933267262</c:v>
                </c:pt>
                <c:pt idx="36">
                  <c:v>0.37176971823901078</c:v>
                </c:pt>
                <c:pt idx="37">
                  <c:v>0.3790583891538461</c:v>
                </c:pt>
                <c:pt idx="38">
                  <c:v>0.37979407541637661</c:v>
                </c:pt>
                <c:pt idx="39">
                  <c:v>0.38054620166343112</c:v>
                </c:pt>
                <c:pt idx="40">
                  <c:v>0.3854817993693857</c:v>
                </c:pt>
                <c:pt idx="41">
                  <c:v>0.38952392607304581</c:v>
                </c:pt>
                <c:pt idx="42">
                  <c:v>0.39143567096850035</c:v>
                </c:pt>
                <c:pt idx="43">
                  <c:v>0.39409730329354498</c:v>
                </c:pt>
                <c:pt idx="44">
                  <c:v>0.39585802162395473</c:v>
                </c:pt>
                <c:pt idx="45">
                  <c:v>0.3960123249422588</c:v>
                </c:pt>
                <c:pt idx="46">
                  <c:v>0.39651757452915881</c:v>
                </c:pt>
                <c:pt idx="47">
                  <c:v>0.39671393870071481</c:v>
                </c:pt>
                <c:pt idx="48">
                  <c:v>0.39866119337333222</c:v>
                </c:pt>
                <c:pt idx="49">
                  <c:v>0.39874766197191419</c:v>
                </c:pt>
                <c:pt idx="50">
                  <c:v>0.39894220154562327</c:v>
                </c:pt>
                <c:pt idx="51">
                  <c:v>0.39893295245502675</c:v>
                </c:pt>
                <c:pt idx="52">
                  <c:v>0.398355681854972</c:v>
                </c:pt>
                <c:pt idx="53">
                  <c:v>0.39706200645498169</c:v>
                </c:pt>
                <c:pt idx="54">
                  <c:v>0.39572425468835581</c:v>
                </c:pt>
                <c:pt idx="55">
                  <c:v>0.39501464331642305</c:v>
                </c:pt>
                <c:pt idx="56">
                  <c:v>0.3934653042373879</c:v>
                </c:pt>
                <c:pt idx="57">
                  <c:v>0.39319795865498419</c:v>
                </c:pt>
                <c:pt idx="58">
                  <c:v>0.39121925520112716</c:v>
                </c:pt>
                <c:pt idx="59">
                  <c:v>0.38989075346759039</c:v>
                </c:pt>
                <c:pt idx="60">
                  <c:v>0.38605804110424868</c:v>
                </c:pt>
                <c:pt idx="61">
                  <c:v>0.38524110763320851</c:v>
                </c:pt>
                <c:pt idx="62">
                  <c:v>0.37261828829212035</c:v>
                </c:pt>
                <c:pt idx="63">
                  <c:v>0.37019284991890739</c:v>
                </c:pt>
                <c:pt idx="64">
                  <c:v>0.3693343796692426</c:v>
                </c:pt>
                <c:pt idx="65">
                  <c:v>0.36851533297759753</c:v>
                </c:pt>
                <c:pt idx="66">
                  <c:v>0.3625050738839114</c:v>
                </c:pt>
                <c:pt idx="67">
                  <c:v>0.3601413557002649</c:v>
                </c:pt>
                <c:pt idx="68">
                  <c:v>0.35915666102836091</c:v>
                </c:pt>
                <c:pt idx="69">
                  <c:v>0.35903643281863351</c:v>
                </c:pt>
                <c:pt idx="70">
                  <c:v>0.35656146158580532</c:v>
                </c:pt>
                <c:pt idx="71">
                  <c:v>0.35108484840081211</c:v>
                </c:pt>
                <c:pt idx="72">
                  <c:v>0.34662200137056748</c:v>
                </c:pt>
                <c:pt idx="73">
                  <c:v>0.33790355479912348</c:v>
                </c:pt>
                <c:pt idx="74">
                  <c:v>0.33020890856858626</c:v>
                </c:pt>
                <c:pt idx="75">
                  <c:v>0.31843930373109119</c:v>
                </c:pt>
                <c:pt idx="76">
                  <c:v>0.31335398844463858</c:v>
                </c:pt>
                <c:pt idx="77">
                  <c:v>0.30743234811204034</c:v>
                </c:pt>
                <c:pt idx="78">
                  <c:v>0.30713070396712427</c:v>
                </c:pt>
                <c:pt idx="79">
                  <c:v>0.29719951555611429</c:v>
                </c:pt>
                <c:pt idx="80">
                  <c:v>0.28398745924005314</c:v>
                </c:pt>
                <c:pt idx="81">
                  <c:v>0.27275475679182193</c:v>
                </c:pt>
                <c:pt idx="82">
                  <c:v>0.26564945434230369</c:v>
                </c:pt>
                <c:pt idx="83">
                  <c:v>0.25868069199294413</c:v>
                </c:pt>
                <c:pt idx="84">
                  <c:v>0.24297698923510458</c:v>
                </c:pt>
                <c:pt idx="85">
                  <c:v>0.23926678599289533</c:v>
                </c:pt>
                <c:pt idx="86">
                  <c:v>0.21688013083700716</c:v>
                </c:pt>
                <c:pt idx="87">
                  <c:v>0.21535554247589581</c:v>
                </c:pt>
                <c:pt idx="88">
                  <c:v>0.17116668687556652</c:v>
                </c:pt>
                <c:pt idx="89">
                  <c:v>0.1472884841865211</c:v>
                </c:pt>
                <c:pt idx="90">
                  <c:v>0.14147449443370386</c:v>
                </c:pt>
                <c:pt idx="91">
                  <c:v>0.14022668244069422</c:v>
                </c:pt>
                <c:pt idx="92">
                  <c:v>0.1370914652591127</c:v>
                </c:pt>
                <c:pt idx="93">
                  <c:v>0.10336693024576774</c:v>
                </c:pt>
                <c:pt idx="94">
                  <c:v>9.1378950549392449E-2</c:v>
                </c:pt>
                <c:pt idx="95">
                  <c:v>9.0400686560990887E-2</c:v>
                </c:pt>
                <c:pt idx="96">
                  <c:v>6.678448929755737E-2</c:v>
                </c:pt>
                <c:pt idx="97">
                  <c:v>6.4378112482433913E-2</c:v>
                </c:pt>
                <c:pt idx="98">
                  <c:v>3.3262178302974371E-2</c:v>
                </c:pt>
                <c:pt idx="99">
                  <c:v>1.7711383128966536E-2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4477376"/>
        <c:axId val="314477952"/>
      </c:scatterChart>
      <c:valAx>
        <c:axId val="314477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crossAx val="314477952"/>
        <c:crosses val="autoZero"/>
        <c:crossBetween val="midCat"/>
      </c:valAx>
      <c:valAx>
        <c:axId val="314477952"/>
        <c:scaling>
          <c:orientation val="minMax"/>
        </c:scaling>
        <c:delete val="0"/>
        <c:axPos val="l"/>
        <c:numFmt formatCode="General" sourceLinked="0"/>
        <c:majorTickMark val="none"/>
        <c:minorTickMark val="none"/>
        <c:tickLblPos val="nextTo"/>
        <c:crossAx val="314477376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6"/>
    </mc:Choice>
    <mc:Fallback>
      <c:style val="16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 Probability Distribution of (A)</c:v>
          </c:tx>
          <c:spPr>
            <a:ln w="47625">
              <a:noFill/>
            </a:ln>
          </c:spPr>
          <c:marker>
            <c:symbol val="circle"/>
            <c:size val="3"/>
          </c:marker>
          <c:xVal>
            <c:numRef>
              <c:f>[0]!Adata</c:f>
              <c:numCache>
                <c:formatCode>General</c:formatCode>
                <c:ptCount val="100"/>
                <c:pt idx="0">
                  <c:v>-1.8912123778136447</c:v>
                </c:pt>
                <c:pt idx="1">
                  <c:v>-1.7674619812169112</c:v>
                </c:pt>
                <c:pt idx="2">
                  <c:v>-1.751277522998862</c:v>
                </c:pt>
                <c:pt idx="3">
                  <c:v>-1.7099046090152115</c:v>
                </c:pt>
                <c:pt idx="4">
                  <c:v>-1.6104331734823063</c:v>
                </c:pt>
                <c:pt idx="5">
                  <c:v>-1.5558043742203154</c:v>
                </c:pt>
                <c:pt idx="6">
                  <c:v>-1.4577790352632292</c:v>
                </c:pt>
                <c:pt idx="7">
                  <c:v>-1.3973885870655067</c:v>
                </c:pt>
                <c:pt idx="8">
                  <c:v>-1.298019469686551</c:v>
                </c:pt>
                <c:pt idx="9">
                  <c:v>-1.2974851415492594</c:v>
                </c:pt>
                <c:pt idx="10">
                  <c:v>-1.2217333278385922</c:v>
                </c:pt>
                <c:pt idx="11">
                  <c:v>-1.194125616166275</c:v>
                </c:pt>
                <c:pt idx="12">
                  <c:v>-1.19194282888202</c:v>
                </c:pt>
                <c:pt idx="13">
                  <c:v>-1.1786619324993808</c:v>
                </c:pt>
                <c:pt idx="14">
                  <c:v>-1.0199573807767592</c:v>
                </c:pt>
                <c:pt idx="15">
                  <c:v>-0.98916871138499118</c:v>
                </c:pt>
                <c:pt idx="16">
                  <c:v>-0.965490016824333</c:v>
                </c:pt>
                <c:pt idx="17">
                  <c:v>-0.85901547208777629</c:v>
                </c:pt>
                <c:pt idx="18">
                  <c:v>-0.83829036157112569</c:v>
                </c:pt>
                <c:pt idx="19">
                  <c:v>-0.80346694630861748</c:v>
                </c:pt>
                <c:pt idx="20">
                  <c:v>-0.77660615716013126</c:v>
                </c:pt>
                <c:pt idx="21">
                  <c:v>-0.73697947300388478</c:v>
                </c:pt>
                <c:pt idx="22">
                  <c:v>-0.59565081755863503</c:v>
                </c:pt>
                <c:pt idx="23">
                  <c:v>-0.54435076890513301</c:v>
                </c:pt>
                <c:pt idx="24">
                  <c:v>-0.50928292694152333</c:v>
                </c:pt>
                <c:pt idx="25">
                  <c:v>-0.49756181397242472</c:v>
                </c:pt>
                <c:pt idx="26">
                  <c:v>-0.48066226554510649</c:v>
                </c:pt>
                <c:pt idx="27">
                  <c:v>-0.43630166146613192</c:v>
                </c:pt>
                <c:pt idx="28">
                  <c:v>-0.43016825657105073</c:v>
                </c:pt>
                <c:pt idx="29">
                  <c:v>-0.42053784454765264</c:v>
                </c:pt>
                <c:pt idx="30">
                  <c:v>-0.40595750760985538</c:v>
                </c:pt>
                <c:pt idx="31">
                  <c:v>-0.39435462895198725</c:v>
                </c:pt>
                <c:pt idx="32">
                  <c:v>-0.37565314414678141</c:v>
                </c:pt>
                <c:pt idx="33">
                  <c:v>-0.37524273466260638</c:v>
                </c:pt>
                <c:pt idx="34">
                  <c:v>-0.36942083170288242</c:v>
                </c:pt>
                <c:pt idx="35">
                  <c:v>-0.36663777791545726</c:v>
                </c:pt>
                <c:pt idx="36">
                  <c:v>-0.33329115467495285</c:v>
                </c:pt>
                <c:pt idx="37">
                  <c:v>-0.28179556466056965</c:v>
                </c:pt>
                <c:pt idx="38">
                  <c:v>-0.2761498762993142</c:v>
                </c:pt>
                <c:pt idx="39">
                  <c:v>-0.27027340365748387</c:v>
                </c:pt>
                <c:pt idx="40">
                  <c:v>-0.22852418624097481</c:v>
                </c:pt>
                <c:pt idx="41">
                  <c:v>-0.18849277694243938</c:v>
                </c:pt>
                <c:pt idx="42">
                  <c:v>-0.16665580915287137</c:v>
                </c:pt>
                <c:pt idx="43">
                  <c:v>-0.13107182894600555</c:v>
                </c:pt>
                <c:pt idx="44">
                  <c:v>-0.10180428944295272</c:v>
                </c:pt>
                <c:pt idx="45">
                  <c:v>-9.888253771350719E-2</c:v>
                </c:pt>
                <c:pt idx="46">
                  <c:v>-8.8739398051984608E-2</c:v>
                </c:pt>
                <c:pt idx="47">
                  <c:v>-8.4517068899003789E-2</c:v>
                </c:pt>
                <c:pt idx="48">
                  <c:v>-2.1535697669605725E-2</c:v>
                </c:pt>
                <c:pt idx="49">
                  <c:v>-1.5720615920145065E-2</c:v>
                </c:pt>
                <c:pt idx="50">
                  <c:v>1.2507825886132196E-2</c:v>
                </c:pt>
                <c:pt idx="51">
                  <c:v>1.9393837646930479E-2</c:v>
                </c:pt>
                <c:pt idx="52">
                  <c:v>6.3114384829532355E-2</c:v>
                </c:pt>
                <c:pt idx="53">
                  <c:v>0.10272628969687503</c:v>
                </c:pt>
                <c:pt idx="54">
                  <c:v>0.13045450941717718</c:v>
                </c:pt>
                <c:pt idx="55">
                  <c:v>0.14280885807238519</c:v>
                </c:pt>
                <c:pt idx="56">
                  <c:v>0.16642275113554206</c:v>
                </c:pt>
                <c:pt idx="57">
                  <c:v>0.1701471319393022</c:v>
                </c:pt>
                <c:pt idx="58">
                  <c:v>0.19542881091183517</c:v>
                </c:pt>
                <c:pt idx="59">
                  <c:v>0.21065716282464564</c:v>
                </c:pt>
                <c:pt idx="60">
                  <c:v>0.24938344722613692</c:v>
                </c:pt>
                <c:pt idx="61">
                  <c:v>0.2568879153841408</c:v>
                </c:pt>
                <c:pt idx="62">
                  <c:v>0.3538229975674767</c:v>
                </c:pt>
                <c:pt idx="63">
                  <c:v>0.36974938666389789</c:v>
                </c:pt>
                <c:pt idx="64">
                  <c:v>0.37524273466260638</c:v>
                </c:pt>
                <c:pt idx="65">
                  <c:v>0.38041889638407156</c:v>
                </c:pt>
                <c:pt idx="66">
                  <c:v>0.41669636630103923</c:v>
                </c:pt>
                <c:pt idx="67">
                  <c:v>0.43025238483096473</c:v>
                </c:pt>
                <c:pt idx="68">
                  <c:v>0.43579689190664794</c:v>
                </c:pt>
                <c:pt idx="69">
                  <c:v>0.43646991798595991</c:v>
                </c:pt>
                <c:pt idx="70">
                  <c:v>0.45014303395873867</c:v>
                </c:pt>
                <c:pt idx="71">
                  <c:v>0.47928892854542937</c:v>
                </c:pt>
                <c:pt idx="72">
                  <c:v>0.50206836021970958</c:v>
                </c:pt>
                <c:pt idx="73">
                  <c:v>0.54452812037197873</c:v>
                </c:pt>
                <c:pt idx="74">
                  <c:v>0.58019168136524968</c:v>
                </c:pt>
                <c:pt idx="75">
                  <c:v>0.63222842072718777</c:v>
                </c:pt>
                <c:pt idx="76">
                  <c:v>0.65395852288929746</c:v>
                </c:pt>
                <c:pt idx="77">
                  <c:v>0.67879341258958448</c:v>
                </c:pt>
                <c:pt idx="78">
                  <c:v>0.68004624154127669</c:v>
                </c:pt>
                <c:pt idx="79">
                  <c:v>0.7207165708678076</c:v>
                </c:pt>
                <c:pt idx="80">
                  <c:v>0.77340359894151334</c:v>
                </c:pt>
                <c:pt idx="81">
                  <c:v>0.81727648648666218</c:v>
                </c:pt>
                <c:pt idx="82">
                  <c:v>0.84472048911266029</c:v>
                </c:pt>
                <c:pt idx="83">
                  <c:v>0.87147327576531097</c:v>
                </c:pt>
                <c:pt idx="84">
                  <c:v>0.93142489276942797</c:v>
                </c:pt>
                <c:pt idx="85">
                  <c:v>0.94556526164524257</c:v>
                </c:pt>
                <c:pt idx="86">
                  <c:v>1.0312191989214625</c:v>
                </c:pt>
                <c:pt idx="87">
                  <c:v>1.0370945346949156</c:v>
                </c:pt>
                <c:pt idx="88">
                  <c:v>1.2127475201850757</c:v>
                </c:pt>
                <c:pt idx="89">
                  <c:v>1.314901965088211</c:v>
                </c:pt>
                <c:pt idx="90">
                  <c:v>1.3409498933469877</c:v>
                </c:pt>
                <c:pt idx="91">
                  <c:v>1.3466114978655241</c:v>
                </c:pt>
                <c:pt idx="92">
                  <c:v>1.3609542293124832</c:v>
                </c:pt>
                <c:pt idx="93">
                  <c:v>1.5286695997929201</c:v>
                </c:pt>
                <c:pt idx="94">
                  <c:v>1.5963269106578082</c:v>
                </c:pt>
                <c:pt idx="95">
                  <c:v>1.6020976545405574</c:v>
                </c:pt>
                <c:pt idx="96">
                  <c:v>1.7566253518452868</c:v>
                </c:pt>
                <c:pt idx="97">
                  <c:v>1.7744332581060007</c:v>
                </c:pt>
                <c:pt idx="98">
                  <c:v>2.0686820789705962</c:v>
                </c:pt>
                <c:pt idx="99">
                  <c:v>2.3146822059061378</c:v>
                </c:pt>
              </c:numCache>
            </c:numRef>
          </c:xVal>
          <c:yVal>
            <c:numRef>
              <c:f>[0]!Adistzp</c:f>
              <c:numCache>
                <c:formatCode>General</c:formatCode>
                <c:ptCount val="100"/>
                <c:pt idx="0">
                  <c:v>4.7307655418017146E-2</c:v>
                </c:pt>
                <c:pt idx="1">
                  <c:v>6.1854303844911668E-2</c:v>
                </c:pt>
                <c:pt idx="2">
                  <c:v>6.3976401358218887E-2</c:v>
                </c:pt>
                <c:pt idx="3">
                  <c:v>6.9640482824881181E-2</c:v>
                </c:pt>
                <c:pt idx="4">
                  <c:v>8.4695864666352552E-2</c:v>
                </c:pt>
                <c:pt idx="5">
                  <c:v>9.3841313002505186E-2</c:v>
                </c:pt>
                <c:pt idx="6">
                  <c:v>0.11180998515436898</c:v>
                </c:pt>
                <c:pt idx="7">
                  <c:v>0.12385465685637942</c:v>
                </c:pt>
                <c:pt idx="8">
                  <c:v>0.14520067620829166</c:v>
                </c:pt>
                <c:pt idx="9">
                  <c:v>0.14532031750820601</c:v>
                </c:pt>
                <c:pt idx="10">
                  <c:v>0.16276530065098296</c:v>
                </c:pt>
                <c:pt idx="11">
                  <c:v>0.16934681656300132</c:v>
                </c:pt>
                <c:pt idx="12">
                  <c:v>0.16987189958859444</c:v>
                </c:pt>
                <c:pt idx="13">
                  <c:v>0.1730810744687909</c:v>
                </c:pt>
                <c:pt idx="14">
                  <c:v>0.21301425845385125</c:v>
                </c:pt>
                <c:pt idx="15">
                  <c:v>0.22100890650911634</c:v>
                </c:pt>
                <c:pt idx="16">
                  <c:v>0.22718855292234807</c:v>
                </c:pt>
                <c:pt idx="17">
                  <c:v>0.25509538986507463</c:v>
                </c:pt>
                <c:pt idx="18">
                  <c:v>0.26050941536659544</c:v>
                </c:pt>
                <c:pt idx="19">
                  <c:v>0.26955956924316882</c:v>
                </c:pt>
                <c:pt idx="20">
                  <c:v>0.27648508726376264</c:v>
                </c:pt>
                <c:pt idx="21">
                  <c:v>0.28658393924463027</c:v>
                </c:pt>
                <c:pt idx="22">
                  <c:v>0.32083974085137956</c:v>
                </c:pt>
                <c:pt idx="23">
                  <c:v>0.33232594968953028</c:v>
                </c:pt>
                <c:pt idx="24">
                  <c:v>0.33980781119232906</c:v>
                </c:pt>
                <c:pt idx="25">
                  <c:v>0.34223555954191692</c:v>
                </c:pt>
                <c:pt idx="26">
                  <c:v>0.34566814604683321</c:v>
                </c:pt>
                <c:pt idx="27">
                  <c:v>0.35427671776570807</c:v>
                </c:pt>
                <c:pt idx="28">
                  <c:v>0.35541898634113722</c:v>
                </c:pt>
                <c:pt idx="29">
                  <c:v>0.35718808017503512</c:v>
                </c:pt>
                <c:pt idx="30">
                  <c:v>0.35980855485976532</c:v>
                </c:pt>
                <c:pt idx="31">
                  <c:v>0.36184299217028743</c:v>
                </c:pt>
                <c:pt idx="32">
                  <c:v>0.36502467963722757</c:v>
                </c:pt>
                <c:pt idx="33">
                  <c:v>0.36509313177882646</c:v>
                </c:pt>
                <c:pt idx="34">
                  <c:v>0.36605774059068302</c:v>
                </c:pt>
                <c:pt idx="35">
                  <c:v>0.3665145933267262</c:v>
                </c:pt>
                <c:pt idx="36">
                  <c:v>0.37176971823901078</c:v>
                </c:pt>
                <c:pt idx="37">
                  <c:v>0.3790583891538461</c:v>
                </c:pt>
                <c:pt idx="38">
                  <c:v>0.37979407541637661</c:v>
                </c:pt>
                <c:pt idx="39">
                  <c:v>0.38054620166343112</c:v>
                </c:pt>
                <c:pt idx="40">
                  <c:v>0.3854817993693857</c:v>
                </c:pt>
                <c:pt idx="41">
                  <c:v>0.38952392607304581</c:v>
                </c:pt>
                <c:pt idx="42">
                  <c:v>0.39143567096850035</c:v>
                </c:pt>
                <c:pt idx="43">
                  <c:v>0.39409730329354498</c:v>
                </c:pt>
                <c:pt idx="44">
                  <c:v>0.39585802162395473</c:v>
                </c:pt>
                <c:pt idx="45">
                  <c:v>0.3960123249422588</c:v>
                </c:pt>
                <c:pt idx="46">
                  <c:v>0.39651757452915881</c:v>
                </c:pt>
                <c:pt idx="47">
                  <c:v>0.39671393870071481</c:v>
                </c:pt>
                <c:pt idx="48">
                  <c:v>0.39866119337333222</c:v>
                </c:pt>
                <c:pt idx="49">
                  <c:v>0.39874766197191419</c:v>
                </c:pt>
                <c:pt idx="50">
                  <c:v>0.39894220154562327</c:v>
                </c:pt>
                <c:pt idx="51">
                  <c:v>0.39893295245502675</c:v>
                </c:pt>
                <c:pt idx="52">
                  <c:v>0.398355681854972</c:v>
                </c:pt>
                <c:pt idx="53">
                  <c:v>0.39706200645498169</c:v>
                </c:pt>
                <c:pt idx="54">
                  <c:v>0.39572425468835581</c:v>
                </c:pt>
                <c:pt idx="55">
                  <c:v>0.39501464331642305</c:v>
                </c:pt>
                <c:pt idx="56">
                  <c:v>0.3934653042373879</c:v>
                </c:pt>
                <c:pt idx="57">
                  <c:v>0.39319795865498419</c:v>
                </c:pt>
                <c:pt idx="58">
                  <c:v>0.39121925520112716</c:v>
                </c:pt>
                <c:pt idx="59">
                  <c:v>0.38989075346759039</c:v>
                </c:pt>
                <c:pt idx="60">
                  <c:v>0.38605804110424868</c:v>
                </c:pt>
                <c:pt idx="61">
                  <c:v>0.38524110763320851</c:v>
                </c:pt>
                <c:pt idx="62">
                  <c:v>0.37261828829212035</c:v>
                </c:pt>
                <c:pt idx="63">
                  <c:v>0.37019284991890739</c:v>
                </c:pt>
                <c:pt idx="64">
                  <c:v>0.3693343796692426</c:v>
                </c:pt>
                <c:pt idx="65">
                  <c:v>0.36851533297759753</c:v>
                </c:pt>
                <c:pt idx="66">
                  <c:v>0.3625050738839114</c:v>
                </c:pt>
                <c:pt idx="67">
                  <c:v>0.3601413557002649</c:v>
                </c:pt>
                <c:pt idx="68">
                  <c:v>0.35915666102836091</c:v>
                </c:pt>
                <c:pt idx="69">
                  <c:v>0.35903643281863351</c:v>
                </c:pt>
                <c:pt idx="70">
                  <c:v>0.35656146158580532</c:v>
                </c:pt>
                <c:pt idx="71">
                  <c:v>0.35108484840081211</c:v>
                </c:pt>
                <c:pt idx="72">
                  <c:v>0.34662200137056748</c:v>
                </c:pt>
                <c:pt idx="73">
                  <c:v>0.33790355479912348</c:v>
                </c:pt>
                <c:pt idx="74">
                  <c:v>0.33020890856858626</c:v>
                </c:pt>
                <c:pt idx="75">
                  <c:v>0.31843930373109119</c:v>
                </c:pt>
                <c:pt idx="76">
                  <c:v>0.31335398844463858</c:v>
                </c:pt>
                <c:pt idx="77">
                  <c:v>0.30743234811204034</c:v>
                </c:pt>
                <c:pt idx="78">
                  <c:v>0.30713070396712427</c:v>
                </c:pt>
                <c:pt idx="79">
                  <c:v>0.29719951555611429</c:v>
                </c:pt>
                <c:pt idx="80">
                  <c:v>0.28398745924005314</c:v>
                </c:pt>
                <c:pt idx="81">
                  <c:v>0.27275475679182193</c:v>
                </c:pt>
                <c:pt idx="82">
                  <c:v>0.26564945434230369</c:v>
                </c:pt>
                <c:pt idx="83">
                  <c:v>0.25868069199294413</c:v>
                </c:pt>
                <c:pt idx="84">
                  <c:v>0.24297698923510458</c:v>
                </c:pt>
                <c:pt idx="85">
                  <c:v>0.23926678599289533</c:v>
                </c:pt>
                <c:pt idx="86">
                  <c:v>0.21688013083700716</c:v>
                </c:pt>
                <c:pt idx="87">
                  <c:v>0.21535554247589581</c:v>
                </c:pt>
                <c:pt idx="88">
                  <c:v>0.17116668687556652</c:v>
                </c:pt>
                <c:pt idx="89">
                  <c:v>0.1472884841865211</c:v>
                </c:pt>
                <c:pt idx="90">
                  <c:v>0.14147449443370386</c:v>
                </c:pt>
                <c:pt idx="91">
                  <c:v>0.14022668244069422</c:v>
                </c:pt>
                <c:pt idx="92">
                  <c:v>0.1370914652591127</c:v>
                </c:pt>
                <c:pt idx="93">
                  <c:v>0.10336693024576774</c:v>
                </c:pt>
                <c:pt idx="94">
                  <c:v>9.1378950549392449E-2</c:v>
                </c:pt>
                <c:pt idx="95">
                  <c:v>9.0400686560990887E-2</c:v>
                </c:pt>
                <c:pt idx="96">
                  <c:v>6.678448929755737E-2</c:v>
                </c:pt>
                <c:pt idx="97">
                  <c:v>6.4378112482433913E-2</c:v>
                </c:pt>
                <c:pt idx="98">
                  <c:v>3.3262178302974371E-2</c:v>
                </c:pt>
                <c:pt idx="99">
                  <c:v>1.7711383128966536E-2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4479680"/>
        <c:axId val="314480256"/>
      </c:scatterChart>
      <c:valAx>
        <c:axId val="31447968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crossAx val="314480256"/>
        <c:crosses val="autoZero"/>
        <c:crossBetween val="midCat"/>
      </c:valAx>
      <c:valAx>
        <c:axId val="314480256"/>
        <c:scaling>
          <c:orientation val="minMax"/>
        </c:scaling>
        <c:delete val="0"/>
        <c:axPos val="r"/>
        <c:numFmt formatCode="General" sourceLinked="1"/>
        <c:majorTickMark val="none"/>
        <c:minorTickMark val="none"/>
        <c:tickLblPos val="nextTo"/>
        <c:crossAx val="314479680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24"/>
    </mc:Choice>
    <mc:Fallback>
      <c:style val="24"/>
    </mc:Fallback>
  </mc:AlternateContent>
  <c:chart>
    <c:autoTitleDeleted val="1"/>
    <c:plotArea>
      <c:layout>
        <c:manualLayout>
          <c:layoutTarget val="inner"/>
          <c:xMode val="edge"/>
          <c:yMode val="edge"/>
          <c:x val="5.8485777359610698E-2"/>
          <c:y val="6.9306930693069299E-2"/>
          <c:w val="0.91093880796440396"/>
          <c:h val="0.67114095267794505"/>
        </c:manualLayout>
      </c:layout>
      <c:scatterChart>
        <c:scatterStyle val="lineMarker"/>
        <c:varyColors val="0"/>
        <c:ser>
          <c:idx val="0"/>
          <c:order val="0"/>
          <c:tx>
            <c:v>Standardized Sampling Distribution of (A)</c:v>
          </c:tx>
          <c:spPr>
            <a:ln w="47625">
              <a:noFill/>
            </a:ln>
          </c:spPr>
          <c:marker>
            <c:symbol val="circle"/>
            <c:size val="3"/>
          </c:marker>
          <c:xVal>
            <c:numRef>
              <c:f>[0]!Asampz</c:f>
              <c:numCache>
                <c:formatCode>General</c:formatCode>
                <c:ptCount val="100"/>
                <c:pt idx="0">
                  <c:v>-20.650155521034407</c:v>
                </c:pt>
                <c:pt idx="1">
                  <c:v>-19.308211020988921</c:v>
                </c:pt>
                <c:pt idx="2">
                  <c:v>-19.132707383916127</c:v>
                </c:pt>
                <c:pt idx="3">
                  <c:v>-18.684061109656994</c:v>
                </c:pt>
                <c:pt idx="4">
                  <c:v>-17.605396721533854</c:v>
                </c:pt>
                <c:pt idx="5">
                  <c:v>-17.013004141551992</c:v>
                </c:pt>
                <c:pt idx="6">
                  <c:v>-15.950021168598605</c:v>
                </c:pt>
                <c:pt idx="7">
                  <c:v>-15.295149491069333</c:v>
                </c:pt>
                <c:pt idx="8">
                  <c:v>-14.217594637038394</c:v>
                </c:pt>
                <c:pt idx="9">
                  <c:v>-14.211800403445796</c:v>
                </c:pt>
                <c:pt idx="10">
                  <c:v>-13.390350674207649</c:v>
                </c:pt>
                <c:pt idx="11">
                  <c:v>-13.090973719819079</c:v>
                </c:pt>
                <c:pt idx="12">
                  <c:v>-13.067303659185491</c:v>
                </c:pt>
                <c:pt idx="13">
                  <c:v>-12.923286134018003</c:v>
                </c:pt>
                <c:pt idx="14">
                  <c:v>-11.202300131764027</c:v>
                </c:pt>
                <c:pt idx="15">
                  <c:v>-10.868428995264633</c:v>
                </c:pt>
                <c:pt idx="16">
                  <c:v>-10.611658150016522</c:v>
                </c:pt>
                <c:pt idx="17">
                  <c:v>-9.4570523173606222</c:v>
                </c:pt>
                <c:pt idx="18">
                  <c:v>-9.2323100229073347</c:v>
                </c:pt>
                <c:pt idx="19">
                  <c:v>-8.8546862587055433</c:v>
                </c:pt>
                <c:pt idx="20">
                  <c:v>-8.5634089031900302</c:v>
                </c:pt>
                <c:pt idx="21">
                  <c:v>-8.1336986774377653</c:v>
                </c:pt>
                <c:pt idx="22">
                  <c:v>-6.6011362203524149</c:v>
                </c:pt>
                <c:pt idx="23">
                  <c:v>-6.0448404828367739</c:v>
                </c:pt>
                <c:pt idx="24">
                  <c:v>-5.6645661649702843</c:v>
                </c:pt>
                <c:pt idx="25">
                  <c:v>-5.5374628706305478</c:v>
                </c:pt>
                <c:pt idx="26">
                  <c:v>-5.3542048230689403</c:v>
                </c:pt>
                <c:pt idx="27">
                  <c:v>-4.8731601533175812</c:v>
                </c:pt>
                <c:pt idx="28">
                  <c:v>-4.8066497485685149</c:v>
                </c:pt>
                <c:pt idx="29">
                  <c:v>-4.7022179341793873</c:v>
                </c:pt>
                <c:pt idx="30">
                  <c:v>-4.5441093260409664</c:v>
                </c:pt>
                <c:pt idx="31">
                  <c:v>-4.4182881599855497</c:v>
                </c:pt>
                <c:pt idx="32">
                  <c:v>-4.2154899842446509</c:v>
                </c:pt>
                <c:pt idx="33">
                  <c:v>-4.2110395197192734</c:v>
                </c:pt>
                <c:pt idx="34">
                  <c:v>-4.1479070298731253</c:v>
                </c:pt>
                <c:pt idx="35">
                  <c:v>-4.1177277025653005</c:v>
                </c:pt>
                <c:pt idx="36">
                  <c:v>-3.7561182137609217</c:v>
                </c:pt>
                <c:pt idx="37">
                  <c:v>-3.1977020333135218</c:v>
                </c:pt>
                <c:pt idx="38">
                  <c:v>-3.1364804077372725</c:v>
                </c:pt>
                <c:pt idx="39">
                  <c:v>-3.0727561663752843</c:v>
                </c:pt>
                <c:pt idx="40">
                  <c:v>-2.6200292722881713</c:v>
                </c:pt>
                <c:pt idx="41">
                  <c:v>-2.1859302227934294</c:v>
                </c:pt>
                <c:pt idx="42">
                  <c:v>-1.949130991204908</c:v>
                </c:pt>
                <c:pt idx="43">
                  <c:v>-1.5632596902511016</c:v>
                </c:pt>
                <c:pt idx="44">
                  <c:v>-1.2458836272557408</c:v>
                </c:pt>
                <c:pt idx="45">
                  <c:v>-1.2142002648451566</c:v>
                </c:pt>
                <c:pt idx="46">
                  <c:v>-1.1042084518384518</c:v>
                </c:pt>
                <c:pt idx="47">
                  <c:v>-1.0584216783003548</c:v>
                </c:pt>
                <c:pt idx="48">
                  <c:v>-0.37545413192527743</c:v>
                </c:pt>
                <c:pt idx="49">
                  <c:v>-0.31239561101860908</c:v>
                </c:pt>
                <c:pt idx="50">
                  <c:v>-6.2874831373626464E-3</c:v>
                </c:pt>
                <c:pt idx="51">
                  <c:v>6.8384161267659893E-2</c:v>
                </c:pt>
                <c:pt idx="52">
                  <c:v>0.54248807886448203</c:v>
                </c:pt>
                <c:pt idx="53">
                  <c:v>0.97203803858120663</c:v>
                </c:pt>
                <c:pt idx="54">
                  <c:v>1.2727217775672557</c:v>
                </c:pt>
                <c:pt idx="55">
                  <c:v>1.4066918551220486</c:v>
                </c:pt>
                <c:pt idx="56">
                  <c:v>1.6627599954451</c:v>
                </c:pt>
                <c:pt idx="57">
                  <c:v>1.7031470364011598</c:v>
                </c:pt>
                <c:pt idx="58">
                  <c:v>1.9773005824270624</c:v>
                </c:pt>
                <c:pt idx="59">
                  <c:v>2.1424362398160794</c:v>
                </c:pt>
                <c:pt idx="60">
                  <c:v>2.5623825655569887</c:v>
                </c:pt>
                <c:pt idx="61">
                  <c:v>2.6437607271415282</c:v>
                </c:pt>
                <c:pt idx="62">
                  <c:v>3.6949209979347009</c:v>
                </c:pt>
                <c:pt idx="63">
                  <c:v>3.8676261434638342</c:v>
                </c:pt>
                <c:pt idx="64">
                  <c:v>3.9271957960583643</c:v>
                </c:pt>
                <c:pt idx="65">
                  <c:v>3.9833258929670761</c:v>
                </c:pt>
                <c:pt idx="66">
                  <c:v>4.3767173694346786</c:v>
                </c:pt>
                <c:pt idx="67">
                  <c:v>4.5237183084945247</c:v>
                </c:pt>
                <c:pt idx="68">
                  <c:v>4.5838427281351546</c:v>
                </c:pt>
                <c:pt idx="69">
                  <c:v>4.5911409968305108</c:v>
                </c:pt>
                <c:pt idx="70">
                  <c:v>4.7394117360180967</c:v>
                </c:pt>
                <c:pt idx="71">
                  <c:v>5.055468686259398</c:v>
                </c:pt>
                <c:pt idx="72">
                  <c:v>5.3024879596527343</c:v>
                </c:pt>
                <c:pt idx="73">
                  <c:v>5.7629199516023437</c:v>
                </c:pt>
                <c:pt idx="74">
                  <c:v>6.1496542235167491</c:v>
                </c:pt>
                <c:pt idx="75">
                  <c:v>6.7139386064962263</c:v>
                </c:pt>
                <c:pt idx="76">
                  <c:v>6.949578991366228</c:v>
                </c:pt>
                <c:pt idx="77">
                  <c:v>7.2188875718561931</c:v>
                </c:pt>
                <c:pt idx="78">
                  <c:v>7.2324732004073464</c:v>
                </c:pt>
                <c:pt idx="79">
                  <c:v>7.6735006739000449</c:v>
                </c:pt>
                <c:pt idx="80">
                  <c:v>8.2448367624432777</c:v>
                </c:pt>
                <c:pt idx="81">
                  <c:v>8.7205926530218196</c:v>
                </c:pt>
                <c:pt idx="82">
                  <c:v>9.0181943528628707</c:v>
                </c:pt>
                <c:pt idx="83">
                  <c:v>9.3083005335032851</c:v>
                </c:pt>
                <c:pt idx="84">
                  <c:v>9.9584135425926785</c:v>
                </c:pt>
                <c:pt idx="85">
                  <c:v>10.111751154134641</c:v>
                </c:pt>
                <c:pt idx="86">
                  <c:v>11.040579127184536</c:v>
                </c:pt>
                <c:pt idx="87">
                  <c:v>11.104291040389944</c:v>
                </c:pt>
                <c:pt idx="88">
                  <c:v>13.009065200938469</c:v>
                </c:pt>
                <c:pt idx="89">
                  <c:v>14.116824038590392</c:v>
                </c:pt>
                <c:pt idx="90">
                  <c:v>14.399286762151212</c:v>
                </c:pt>
                <c:pt idx="91">
                  <c:v>14.46068098191958</c:v>
                </c:pt>
                <c:pt idx="92">
                  <c:v>14.616213005332781</c:v>
                </c:pt>
                <c:pt idx="93">
                  <c:v>16.434911976639789</c:v>
                </c:pt>
                <c:pt idx="94">
                  <c:v>17.168585231028381</c:v>
                </c:pt>
                <c:pt idx="95">
                  <c:v>17.231162953828431</c:v>
                </c:pt>
                <c:pt idx="96">
                  <c:v>18.906855308807511</c:v>
                </c:pt>
                <c:pt idx="97">
                  <c:v>19.099963553476535</c:v>
                </c:pt>
                <c:pt idx="98">
                  <c:v>22.290786352136852</c:v>
                </c:pt>
                <c:pt idx="99">
                  <c:v>24.958402185542234</c:v>
                </c:pt>
              </c:numCache>
            </c:numRef>
          </c:xVal>
          <c:yVal>
            <c:numRef>
              <c:f>[0]!Asampzp</c:f>
              <c:numCache>
                <c:formatCode>0.000</c:formatCode>
                <c:ptCount val="100"/>
                <c:pt idx="0">
                  <c:v>1.0070382466379108E-93</c:v>
                </c:pt>
                <c:pt idx="1">
                  <c:v>4.4350224457093805E-82</c:v>
                </c:pt>
                <c:pt idx="2">
                  <c:v>1.2938509280908309E-80</c:v>
                </c:pt>
                <c:pt idx="3">
                  <c:v>6.252890598801693E-77</c:v>
                </c:pt>
                <c:pt idx="4">
                  <c:v>1.9775346232299058E-68</c:v>
                </c:pt>
                <c:pt idx="5">
                  <c:v>5.6144995573033434E-64</c:v>
                </c:pt>
                <c:pt idx="6">
                  <c:v>2.2801449946523084E-56</c:v>
                </c:pt>
                <c:pt idx="7">
                  <c:v>6.3261214636746082E-52</c:v>
                </c:pt>
                <c:pt idx="8">
                  <c:v>5.09058125719899E-45</c:v>
                </c:pt>
                <c:pt idx="9">
                  <c:v>5.527608694308866E-45</c:v>
                </c:pt>
                <c:pt idx="10">
                  <c:v>4.6353865677622432E-40</c:v>
                </c:pt>
                <c:pt idx="11">
                  <c:v>2.4412215128865468E-38</c:v>
                </c:pt>
                <c:pt idx="12">
                  <c:v>3.3270384032884476E-38</c:v>
                </c:pt>
                <c:pt idx="13">
                  <c:v>2.16203013310015E-37</c:v>
                </c:pt>
                <c:pt idx="14">
                  <c:v>2.2426987719389431E-28</c:v>
                </c:pt>
                <c:pt idx="15">
                  <c:v>8.9306087805615722E-27</c:v>
                </c:pt>
                <c:pt idx="16">
                  <c:v>1.4078228671494458E-25</c:v>
                </c:pt>
                <c:pt idx="17">
                  <c:v>1.5141346081732991E-20</c:v>
                </c:pt>
                <c:pt idx="18">
                  <c:v>1.2366474566749775E-19</c:v>
                </c:pt>
                <c:pt idx="19">
                  <c:v>3.7616540614645657E-18</c:v>
                </c:pt>
                <c:pt idx="20">
                  <c:v>4.7541695170608687E-17</c:v>
                </c:pt>
                <c:pt idx="21">
                  <c:v>1.7182576342189051E-15</c:v>
                </c:pt>
                <c:pt idx="22">
                  <c:v>1.3763192104030552E-10</c:v>
                </c:pt>
                <c:pt idx="23">
                  <c:v>4.6379806755221643E-9</c:v>
                </c:pt>
                <c:pt idx="24">
                  <c:v>4.297731357024756E-8</c:v>
                </c:pt>
                <c:pt idx="25">
                  <c:v>8.7582375251075567E-8</c:v>
                </c:pt>
                <c:pt idx="26">
                  <c:v>2.3759621567179461E-7</c:v>
                </c:pt>
                <c:pt idx="27">
                  <c:v>2.7807678227972995E-6</c:v>
                </c:pt>
                <c:pt idx="28">
                  <c:v>3.8367709793282813E-6</c:v>
                </c:pt>
                <c:pt idx="29">
                  <c:v>6.3037536567539357E-6</c:v>
                </c:pt>
                <c:pt idx="30">
                  <c:v>1.309338631476544E-5</c:v>
                </c:pt>
                <c:pt idx="31">
                  <c:v>2.3010183813313798E-5</c:v>
                </c:pt>
                <c:pt idx="32">
                  <c:v>5.522380559667247E-5</c:v>
                </c:pt>
                <c:pt idx="33">
                  <c:v>5.6269075660057314E-5</c:v>
                </c:pt>
                <c:pt idx="34">
                  <c:v>7.3259333569520826E-5</c:v>
                </c:pt>
                <c:pt idx="35">
                  <c:v>8.2990928656025142E-5</c:v>
                </c:pt>
                <c:pt idx="36">
                  <c:v>3.4459162039218142E-4</c:v>
                </c:pt>
                <c:pt idx="37">
                  <c:v>2.4016778538130594E-3</c:v>
                </c:pt>
                <c:pt idx="38">
                  <c:v>2.915560468206407E-3</c:v>
                </c:pt>
                <c:pt idx="39">
                  <c:v>3.5533880078606845E-3</c:v>
                </c:pt>
                <c:pt idx="40">
                  <c:v>1.28911373993662E-2</c:v>
                </c:pt>
                <c:pt idx="41">
                  <c:v>3.6586205714418084E-2</c:v>
                </c:pt>
                <c:pt idx="42">
                  <c:v>5.9695756372820347E-2</c:v>
                </c:pt>
                <c:pt idx="43">
                  <c:v>0.11755735194906257</c:v>
                </c:pt>
                <c:pt idx="44">
                  <c:v>0.18358976665237284</c:v>
                </c:pt>
                <c:pt idx="45">
                  <c:v>0.1908858497700241</c:v>
                </c:pt>
                <c:pt idx="46">
                  <c:v>0.21684408505028732</c:v>
                </c:pt>
                <c:pt idx="47">
                  <c:v>0.22785022865203347</c:v>
                </c:pt>
                <c:pt idx="48">
                  <c:v>0.37179173419719225</c:v>
                </c:pt>
                <c:pt idx="49">
                  <c:v>0.37994299825846023</c:v>
                </c:pt>
                <c:pt idx="50">
                  <c:v>0.39893439489764626</c:v>
                </c:pt>
                <c:pt idx="51">
                  <c:v>0.39801056454749134</c:v>
                </c:pt>
                <c:pt idx="52">
                  <c:v>0.34435396209038116</c:v>
                </c:pt>
                <c:pt idx="53">
                  <c:v>0.24873492509100587</c:v>
                </c:pt>
                <c:pt idx="54">
                  <c:v>0.17748860048448448</c:v>
                </c:pt>
                <c:pt idx="55">
                  <c:v>0.14832795851986655</c:v>
                </c:pt>
                <c:pt idx="56">
                  <c:v>0.10012619541579611</c:v>
                </c:pt>
                <c:pt idx="57">
                  <c:v>9.354679870420618E-2</c:v>
                </c:pt>
                <c:pt idx="58">
                  <c:v>5.6484030328372264E-2</c:v>
                </c:pt>
                <c:pt idx="59">
                  <c:v>4.0197315908027428E-2</c:v>
                </c:pt>
                <c:pt idx="60">
                  <c:v>1.4967999261635582E-2</c:v>
                </c:pt>
                <c:pt idx="61">
                  <c:v>1.2110603056981945E-2</c:v>
                </c:pt>
                <c:pt idx="62">
                  <c:v>4.3283276711651345E-4</c:v>
                </c:pt>
                <c:pt idx="63">
                  <c:v>2.2527143028369613E-4</c:v>
                </c:pt>
                <c:pt idx="64">
                  <c:v>1.7859820436961991E-4</c:v>
                </c:pt>
                <c:pt idx="65">
                  <c:v>1.4304073358873198E-4</c:v>
                </c:pt>
                <c:pt idx="66">
                  <c:v>2.7625646404000487E-5</c:v>
                </c:pt>
                <c:pt idx="67">
                  <c:v>1.4361605449212064E-5</c:v>
                </c:pt>
                <c:pt idx="68">
                  <c:v>1.0921845377148595E-5</c:v>
                </c:pt>
                <c:pt idx="69">
                  <c:v>1.0562227551086787E-5</c:v>
                </c:pt>
                <c:pt idx="70">
                  <c:v>5.2886352351291815E-6</c:v>
                </c:pt>
                <c:pt idx="71">
                  <c:v>1.1248955713542435E-6</c:v>
                </c:pt>
                <c:pt idx="72">
                  <c:v>3.1297960310267832E-7</c:v>
                </c:pt>
                <c:pt idx="73">
                  <c:v>2.4500759558394289E-8</c:v>
                </c:pt>
                <c:pt idx="74">
                  <c:v>2.4478345322563782E-9</c:v>
                </c:pt>
                <c:pt idx="75">
                  <c:v>6.4948638253546582E-11</c:v>
                </c:pt>
                <c:pt idx="76">
                  <c:v>1.2984528120556152E-11</c:v>
                </c:pt>
                <c:pt idx="77">
                  <c:v>1.9269023146404061E-12</c:v>
                </c:pt>
                <c:pt idx="78">
                  <c:v>1.7467349203168164E-12</c:v>
                </c:pt>
                <c:pt idx="79">
                  <c:v>6.5269938181941877E-14</c:v>
                </c:pt>
                <c:pt idx="80">
                  <c:v>6.9154382168487801E-16</c:v>
                </c:pt>
                <c:pt idx="81">
                  <c:v>1.2221846300105439E-17</c:v>
                </c:pt>
                <c:pt idx="82">
                  <c:v>8.7256201303830146E-19</c:v>
                </c:pt>
                <c:pt idx="83">
                  <c:v>6.1137107669451781E-20</c:v>
                </c:pt>
                <c:pt idx="84">
                  <c:v>1.1652473359467271E-22</c:v>
                </c:pt>
                <c:pt idx="85">
                  <c:v>2.5011807092586108E-23</c:v>
                </c:pt>
                <c:pt idx="86">
                  <c:v>1.3548154500398677E-27</c:v>
                </c:pt>
                <c:pt idx="87">
                  <c:v>6.691274175937832E-28</c:v>
                </c:pt>
                <c:pt idx="88">
                  <c:v>7.1093178681806127E-38</c:v>
                </c:pt>
                <c:pt idx="89">
                  <c:v>2.1221826061257763E-44</c:v>
                </c:pt>
                <c:pt idx="90">
                  <c:v>3.7819740743034026E-46</c:v>
                </c:pt>
                <c:pt idx="91">
                  <c:v>1.559442700391572E-46</c:v>
                </c:pt>
                <c:pt idx="92">
                  <c:v>1.6253440702151439E-47</c:v>
                </c:pt>
                <c:pt idx="93">
                  <c:v>8.8728957307586842E-60</c:v>
                </c:pt>
                <c:pt idx="94">
                  <c:v>3.931154284657833E-65</c:v>
                </c:pt>
                <c:pt idx="95">
                  <c:v>1.3399122687181362E-65</c:v>
                </c:pt>
                <c:pt idx="96">
                  <c:v>9.4943319075388562E-79</c:v>
                </c:pt>
                <c:pt idx="97">
                  <c:v>2.419509985301375E-80</c:v>
                </c:pt>
                <c:pt idx="98">
                  <c:v>5.0695826914714958E-109</c:v>
                </c:pt>
                <c:pt idx="99">
                  <c:v>2.1634718869347315E-136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4481984"/>
        <c:axId val="321601536"/>
      </c:scatterChart>
      <c:valAx>
        <c:axId val="3144819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crossAx val="321601536"/>
        <c:crosses val="autoZero"/>
        <c:crossBetween val="midCat"/>
      </c:valAx>
      <c:valAx>
        <c:axId val="321601536"/>
        <c:scaling>
          <c:orientation val="minMax"/>
        </c:scaling>
        <c:delete val="0"/>
        <c:axPos val="l"/>
        <c:numFmt formatCode="General" sourceLinked="0"/>
        <c:majorTickMark val="none"/>
        <c:minorTickMark val="none"/>
        <c:tickLblPos val="nextTo"/>
        <c:crossAx val="314481984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3"/>
    </mc:Choice>
    <mc:Fallback>
      <c:style val="13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Probability Distribution of (B)Data</c:v>
          </c:tx>
          <c:spPr>
            <a:ln w="47625">
              <a:noFill/>
            </a:ln>
          </c:spPr>
          <c:marker>
            <c:symbol val="circle"/>
            <c:size val="3"/>
          </c:marker>
          <c:xVal>
            <c:numRef>
              <c:f>[0]!Bdata</c:f>
              <c:numCache>
                <c:formatCode>General</c:formatCode>
                <c:ptCount val="100"/>
                <c:pt idx="0">
                  <c:v>0.38356183469295502</c:v>
                </c:pt>
                <c:pt idx="1">
                  <c:v>0.73411747254431248</c:v>
                </c:pt>
                <c:pt idx="2">
                  <c:v>1.1886465447023511</c:v>
                </c:pt>
                <c:pt idx="3">
                  <c:v>1.39556568430271</c:v>
                </c:pt>
                <c:pt idx="4">
                  <c:v>1.6655764713650569</c:v>
                </c:pt>
                <c:pt idx="5">
                  <c:v>1.8318139129551128</c:v>
                </c:pt>
                <c:pt idx="6">
                  <c:v>1.9626629156991839</c:v>
                </c:pt>
                <c:pt idx="7">
                  <c:v>1.9794021656853147</c:v>
                </c:pt>
                <c:pt idx="8">
                  <c:v>2.0631529852980748</c:v>
                </c:pt>
                <c:pt idx="9">
                  <c:v>2.0644399203010835</c:v>
                </c:pt>
                <c:pt idx="10">
                  <c:v>2.1152943165507168</c:v>
                </c:pt>
                <c:pt idx="11">
                  <c:v>2.1182820066460408</c:v>
                </c:pt>
                <c:pt idx="12">
                  <c:v>2.2412911650608294</c:v>
                </c:pt>
                <c:pt idx="13">
                  <c:v>2.3811214279849082</c:v>
                </c:pt>
                <c:pt idx="14">
                  <c:v>2.3899458003288601</c:v>
                </c:pt>
                <c:pt idx="15">
                  <c:v>2.4623802321148105</c:v>
                </c:pt>
                <c:pt idx="16">
                  <c:v>2.4677394296450075</c:v>
                </c:pt>
                <c:pt idx="17">
                  <c:v>2.514319200796308</c:v>
                </c:pt>
                <c:pt idx="18">
                  <c:v>2.5150649864517618</c:v>
                </c:pt>
                <c:pt idx="19">
                  <c:v>2.5260630511329509</c:v>
                </c:pt>
                <c:pt idx="20">
                  <c:v>2.5413152772816829</c:v>
                </c:pt>
                <c:pt idx="21">
                  <c:v>2.5900801094539929</c:v>
                </c:pt>
                <c:pt idx="22">
                  <c:v>2.591353402036475</c:v>
                </c:pt>
                <c:pt idx="23">
                  <c:v>2.6014783518039621</c:v>
                </c:pt>
                <c:pt idx="24">
                  <c:v>2.6434151525027119</c:v>
                </c:pt>
                <c:pt idx="25">
                  <c:v>2.6682147992833052</c:v>
                </c:pt>
                <c:pt idx="26">
                  <c:v>2.6690788192499895</c:v>
                </c:pt>
                <c:pt idx="27">
                  <c:v>2.7244283930631354</c:v>
                </c:pt>
                <c:pt idx="28">
                  <c:v>2.7356435996043729</c:v>
                </c:pt>
                <c:pt idx="29">
                  <c:v>2.7653260960651096</c:v>
                </c:pt>
                <c:pt idx="30">
                  <c:v>2.8227470440615434</c:v>
                </c:pt>
                <c:pt idx="31">
                  <c:v>2.8328151504101697</c:v>
                </c:pt>
                <c:pt idx="32">
                  <c:v>2.8731807990116067</c:v>
                </c:pt>
                <c:pt idx="33">
                  <c:v>2.9064489783340832</c:v>
                </c:pt>
                <c:pt idx="34">
                  <c:v>2.9222503119090106</c:v>
                </c:pt>
                <c:pt idx="35">
                  <c:v>2.9547613368922612</c:v>
                </c:pt>
                <c:pt idx="36">
                  <c:v>3.0024381860275753</c:v>
                </c:pt>
                <c:pt idx="37">
                  <c:v>3.0229404703422915</c:v>
                </c:pt>
                <c:pt idx="38">
                  <c:v>3.0705866240314208</c:v>
                </c:pt>
                <c:pt idx="39">
                  <c:v>3.0972802935284562</c:v>
                </c:pt>
                <c:pt idx="40">
                  <c:v>3.1868587004428264</c:v>
                </c:pt>
                <c:pt idx="41">
                  <c:v>3.2412146512942854</c:v>
                </c:pt>
                <c:pt idx="42">
                  <c:v>3.2570819232350914</c:v>
                </c:pt>
                <c:pt idx="43">
                  <c:v>3.2819077179883607</c:v>
                </c:pt>
                <c:pt idx="44">
                  <c:v>3.3092471287236549</c:v>
                </c:pt>
                <c:pt idx="45">
                  <c:v>3.3164878434181446</c:v>
                </c:pt>
                <c:pt idx="46">
                  <c:v>3.3269800016714726</c:v>
                </c:pt>
                <c:pt idx="47">
                  <c:v>3.3270584455895005</c:v>
                </c:pt>
                <c:pt idx="48">
                  <c:v>3.3311727722466458</c:v>
                </c:pt>
                <c:pt idx="49">
                  <c:v>3.3438852344406769</c:v>
                </c:pt>
                <c:pt idx="50">
                  <c:v>3.3527073330478743</c:v>
                </c:pt>
                <c:pt idx="51">
                  <c:v>3.4232352365652332</c:v>
                </c:pt>
                <c:pt idx="52">
                  <c:v>3.5431964508607052</c:v>
                </c:pt>
                <c:pt idx="53">
                  <c:v>3.5456475390819833</c:v>
                </c:pt>
                <c:pt idx="54">
                  <c:v>3.5462591742689256</c:v>
                </c:pt>
                <c:pt idx="55">
                  <c:v>3.5543786882190034</c:v>
                </c:pt>
                <c:pt idx="56">
                  <c:v>3.5726231519365683</c:v>
                </c:pt>
                <c:pt idx="57">
                  <c:v>3.5740806171961594</c:v>
                </c:pt>
                <c:pt idx="58">
                  <c:v>3.5782995357440086</c:v>
                </c:pt>
                <c:pt idx="59">
                  <c:v>3.6044952568918234</c:v>
                </c:pt>
                <c:pt idx="60">
                  <c:v>3.6286036876990693</c:v>
                </c:pt>
                <c:pt idx="61">
                  <c:v>3.6299918039876502</c:v>
                </c:pt>
                <c:pt idx="62">
                  <c:v>3.6489945589128183</c:v>
                </c:pt>
                <c:pt idx="63">
                  <c:v>3.6582839104230516</c:v>
                </c:pt>
                <c:pt idx="64">
                  <c:v>3.6771365987224272</c:v>
                </c:pt>
                <c:pt idx="65">
                  <c:v>3.7254625997011317</c:v>
                </c:pt>
                <c:pt idx="66">
                  <c:v>3.7292313183716033</c:v>
                </c:pt>
                <c:pt idx="67">
                  <c:v>3.8821469363174401</c:v>
                </c:pt>
                <c:pt idx="68">
                  <c:v>3.8974150786234532</c:v>
                </c:pt>
                <c:pt idx="69">
                  <c:v>3.9206208359391894</c:v>
                </c:pt>
                <c:pt idx="70">
                  <c:v>3.9328546765464125</c:v>
                </c:pt>
                <c:pt idx="71">
                  <c:v>3.9899561645288486</c:v>
                </c:pt>
                <c:pt idx="72">
                  <c:v>3.9992944013793021</c:v>
                </c:pt>
                <c:pt idx="73">
                  <c:v>4.0181004780752119</c:v>
                </c:pt>
                <c:pt idx="74">
                  <c:v>4.0260778834781377</c:v>
                </c:pt>
                <c:pt idx="75">
                  <c:v>4.048347998119425</c:v>
                </c:pt>
                <c:pt idx="76">
                  <c:v>4.0615538611891679</c:v>
                </c:pt>
                <c:pt idx="77">
                  <c:v>4.0630772648146376</c:v>
                </c:pt>
                <c:pt idx="78">
                  <c:v>4.1016898623784073</c:v>
                </c:pt>
                <c:pt idx="79">
                  <c:v>4.1084883352741599</c:v>
                </c:pt>
                <c:pt idx="80">
                  <c:v>4.2654830369574483</c:v>
                </c:pt>
                <c:pt idx="81">
                  <c:v>4.2706216820224654</c:v>
                </c:pt>
                <c:pt idx="82">
                  <c:v>4.3120537131617311</c:v>
                </c:pt>
                <c:pt idx="83">
                  <c:v>4.3573579179937951</c:v>
                </c:pt>
                <c:pt idx="84">
                  <c:v>4.4639052223064937</c:v>
                </c:pt>
                <c:pt idx="85">
                  <c:v>4.5394546734460164</c:v>
                </c:pt>
                <c:pt idx="86">
                  <c:v>4.5879443834710401</c:v>
                </c:pt>
                <c:pt idx="87">
                  <c:v>4.6768270269385539</c:v>
                </c:pt>
                <c:pt idx="88">
                  <c:v>4.6848123904201202</c:v>
                </c:pt>
                <c:pt idx="89">
                  <c:v>4.741496647708118</c:v>
                </c:pt>
                <c:pt idx="90">
                  <c:v>4.880328740197001</c:v>
                </c:pt>
                <c:pt idx="91">
                  <c:v>4.9238685253076255</c:v>
                </c:pt>
                <c:pt idx="92">
                  <c:v>5.0622526916558854</c:v>
                </c:pt>
                <c:pt idx="93">
                  <c:v>5.1984677131404169</c:v>
                </c:pt>
                <c:pt idx="94">
                  <c:v>5.6794585336465389</c:v>
                </c:pt>
                <c:pt idx="95">
                  <c:v>5.765223884023726</c:v>
                </c:pt>
                <c:pt idx="96">
                  <c:v>5.8434768081642687</c:v>
                </c:pt>
                <c:pt idx="97">
                  <c:v>6.0671397452242672</c:v>
                </c:pt>
                <c:pt idx="98">
                  <c:v>6.0861663743853569</c:v>
                </c:pt>
                <c:pt idx="99">
                  <c:v>6.8347168937325478</c:v>
                </c:pt>
              </c:numCache>
            </c:numRef>
          </c:xVal>
          <c:yVal>
            <c:numRef>
              <c:f>[0]!Bdistp</c:f>
              <c:numCache>
                <c:formatCode>General</c:formatCode>
                <c:ptCount val="100"/>
                <c:pt idx="0">
                  <c:v>9.8574473537831088E-3</c:v>
                </c:pt>
                <c:pt idx="1">
                  <c:v>2.1431720121598753E-2</c:v>
                </c:pt>
                <c:pt idx="2">
                  <c:v>5.0922765683331123E-2</c:v>
                </c:pt>
                <c:pt idx="3">
                  <c:v>7.161796698610548E-2</c:v>
                </c:pt>
                <c:pt idx="4">
                  <c:v>0.10633045229816473</c:v>
                </c:pt>
                <c:pt idx="5">
                  <c:v>0.13186968930593704</c:v>
                </c:pt>
                <c:pt idx="6">
                  <c:v>0.15388633503547142</c:v>
                </c:pt>
                <c:pt idx="7">
                  <c:v>0.15680619939220147</c:v>
                </c:pt>
                <c:pt idx="8">
                  <c:v>0.17170849638837851</c:v>
                </c:pt>
                <c:pt idx="9">
                  <c:v>0.17194092868458691</c:v>
                </c:pt>
                <c:pt idx="10">
                  <c:v>0.18119604348928567</c:v>
                </c:pt>
                <c:pt idx="11">
                  <c:v>0.18174370923814687</c:v>
                </c:pt>
                <c:pt idx="12">
                  <c:v>0.20455908291171082</c:v>
                </c:pt>
                <c:pt idx="13">
                  <c:v>0.23068898636498369</c:v>
                </c:pt>
                <c:pt idx="14">
                  <c:v>0.23232781874317626</c:v>
                </c:pt>
                <c:pt idx="15">
                  <c:v>0.24566770029213925</c:v>
                </c:pt>
                <c:pt idx="16">
                  <c:v>0.24664480209104866</c:v>
                </c:pt>
                <c:pt idx="17">
                  <c:v>0.25506387773122791</c:v>
                </c:pt>
                <c:pt idx="18">
                  <c:v>0.25519750240537337</c:v>
                </c:pt>
                <c:pt idx="19">
                  <c:v>0.25716335754812703</c:v>
                </c:pt>
                <c:pt idx="20">
                  <c:v>0.25987446051885532</c:v>
                </c:pt>
                <c:pt idx="21">
                  <c:v>0.26841139758226223</c:v>
                </c:pt>
                <c:pt idx="22">
                  <c:v>0.26863140102846678</c:v>
                </c:pt>
                <c:pt idx="23">
                  <c:v>0.27037518078254963</c:v>
                </c:pt>
                <c:pt idx="24">
                  <c:v>0.27748469225452105</c:v>
                </c:pt>
                <c:pt idx="25">
                  <c:v>0.2815962630955347</c:v>
                </c:pt>
                <c:pt idx="26">
                  <c:v>0.28173818664486078</c:v>
                </c:pt>
                <c:pt idx="27">
                  <c:v>0.29063052129069461</c:v>
                </c:pt>
                <c:pt idx="28">
                  <c:v>0.29238179540846826</c:v>
                </c:pt>
                <c:pt idx="29">
                  <c:v>0.29692839190237691</c:v>
                </c:pt>
                <c:pt idx="30">
                  <c:v>0.30533412808987231</c:v>
                </c:pt>
                <c:pt idx="31">
                  <c:v>0.30675166850998592</c:v>
                </c:pt>
                <c:pt idx="32">
                  <c:v>0.31225534566728608</c:v>
                </c:pt>
                <c:pt idx="33">
                  <c:v>0.31656534009176229</c:v>
                </c:pt>
                <c:pt idx="34">
                  <c:v>0.31853768326250154</c:v>
                </c:pt>
                <c:pt idx="35">
                  <c:v>0.32243851667705614</c:v>
                </c:pt>
                <c:pt idx="36">
                  <c:v>0.32776048936912866</c:v>
                </c:pt>
                <c:pt idx="37">
                  <c:v>0.3298975668495987</c:v>
                </c:pt>
                <c:pt idx="38">
                  <c:v>0.3344975748025838</c:v>
                </c:pt>
                <c:pt idx="39">
                  <c:v>0.3368440238070074</c:v>
                </c:pt>
                <c:pt idx="40">
                  <c:v>0.34345259305851028</c:v>
                </c:pt>
                <c:pt idx="41">
                  <c:v>0.34647550969564989</c:v>
                </c:pt>
                <c:pt idx="42">
                  <c:v>0.34721325604019537</c:v>
                </c:pt>
                <c:pt idx="43">
                  <c:v>0.34823456495391936</c:v>
                </c:pt>
                <c:pt idx="44">
                  <c:v>0.34917007003884148</c:v>
                </c:pt>
                <c:pt idx="45">
                  <c:v>0.34938441256019565</c:v>
                </c:pt>
                <c:pt idx="46">
                  <c:v>0.34967007131386119</c:v>
                </c:pt>
                <c:pt idx="47">
                  <c:v>0.34967209573942559</c:v>
                </c:pt>
                <c:pt idx="48">
                  <c:v>0.34977595772976727</c:v>
                </c:pt>
                <c:pt idx="49">
                  <c:v>0.35006809720267063</c:v>
                </c:pt>
                <c:pt idx="50">
                  <c:v>0.35024523649365097</c:v>
                </c:pt>
                <c:pt idx="51">
                  <c:v>0.35090410562082897</c:v>
                </c:pt>
                <c:pt idx="52">
                  <c:v>0.34892951838556135</c:v>
                </c:pt>
                <c:pt idx="53">
                  <c:v>0.34884879660412554</c:v>
                </c:pt>
                <c:pt idx="54">
                  <c:v>0.34882840373284763</c:v>
                </c:pt>
                <c:pt idx="55">
                  <c:v>0.34854824073351548</c:v>
                </c:pt>
                <c:pt idx="56">
                  <c:v>0.34785480767414545</c:v>
                </c:pt>
                <c:pt idx="57">
                  <c:v>0.34779560875997972</c:v>
                </c:pt>
                <c:pt idx="58">
                  <c:v>0.34762108231033145</c:v>
                </c:pt>
                <c:pt idx="59">
                  <c:v>0.34643259832157081</c:v>
                </c:pt>
                <c:pt idx="60">
                  <c:v>0.34518042938529714</c:v>
                </c:pt>
                <c:pt idx="61">
                  <c:v>0.34510374506575209</c:v>
                </c:pt>
                <c:pt idx="62">
                  <c:v>0.3440041113839985</c:v>
                </c:pt>
                <c:pt idx="63">
                  <c:v>0.3434329222433336</c:v>
                </c:pt>
                <c:pt idx="64">
                  <c:v>0.34220637025853184</c:v>
                </c:pt>
                <c:pt idx="65">
                  <c:v>0.3386566889587756</c:v>
                </c:pt>
                <c:pt idx="66">
                  <c:v>0.33835572027996863</c:v>
                </c:pt>
                <c:pt idx="67">
                  <c:v>0.32335598523731635</c:v>
                </c:pt>
                <c:pt idx="68">
                  <c:v>0.32157572445214028</c:v>
                </c:pt>
                <c:pt idx="69">
                  <c:v>0.31877857476781707</c:v>
                </c:pt>
                <c:pt idx="70">
                  <c:v>0.31726053898412748</c:v>
                </c:pt>
                <c:pt idx="71">
                  <c:v>0.30979533328894127</c:v>
                </c:pt>
                <c:pt idx="72">
                  <c:v>0.30851726055658535</c:v>
                </c:pt>
                <c:pt idx="73">
                  <c:v>0.30589671880527919</c:v>
                </c:pt>
                <c:pt idx="74">
                  <c:v>0.30476664733179037</c:v>
                </c:pt>
                <c:pt idx="75">
                  <c:v>0.30155534178945598</c:v>
                </c:pt>
                <c:pt idx="76">
                  <c:v>0.2996127841074317</c:v>
                </c:pt>
                <c:pt idx="77">
                  <c:v>0.29938690214860869</c:v>
                </c:pt>
                <c:pt idx="78">
                  <c:v>0.29354211921190709</c:v>
                </c:pt>
                <c:pt idx="79">
                  <c:v>0.29248998002320664</c:v>
                </c:pt>
                <c:pt idx="80">
                  <c:v>0.26655049555394295</c:v>
                </c:pt>
                <c:pt idx="81">
                  <c:v>0.26565587305906019</c:v>
                </c:pt>
                <c:pt idx="82">
                  <c:v>0.25835861096737106</c:v>
                </c:pt>
                <c:pt idx="83">
                  <c:v>0.25022792815163702</c:v>
                </c:pt>
                <c:pt idx="84">
                  <c:v>0.23065216742465364</c:v>
                </c:pt>
                <c:pt idx="85">
                  <c:v>0.21655123642627414</c:v>
                </c:pt>
                <c:pt idx="86">
                  <c:v>0.20747517627770207</c:v>
                </c:pt>
                <c:pt idx="87">
                  <c:v>0.19091088859455507</c:v>
                </c:pt>
                <c:pt idx="88">
                  <c:v>0.18943240723879601</c:v>
                </c:pt>
                <c:pt idx="89">
                  <c:v>0.17900734043583585</c:v>
                </c:pt>
                <c:pt idx="90">
                  <c:v>0.154205705343333</c:v>
                </c:pt>
                <c:pt idx="91">
                  <c:v>0.14670789788268188</c:v>
                </c:pt>
                <c:pt idx="92">
                  <c:v>0.12400028548061846</c:v>
                </c:pt>
                <c:pt idx="93">
                  <c:v>0.1035744482254774</c:v>
                </c:pt>
                <c:pt idx="94">
                  <c:v>4.8904718880017566E-2</c:v>
                </c:pt>
                <c:pt idx="95">
                  <c:v>4.1982964329820419E-2</c:v>
                </c:pt>
                <c:pt idx="96">
                  <c:v>3.6344994204137109E-2</c:v>
                </c:pt>
                <c:pt idx="97">
                  <c:v>2.3447407910081677E-2</c:v>
                </c:pt>
                <c:pt idx="98">
                  <c:v>2.2548951403825238E-2</c:v>
                </c:pt>
                <c:pt idx="99">
                  <c:v>3.8816778007585988E-3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1603264"/>
        <c:axId val="321603840"/>
      </c:scatterChart>
      <c:valAx>
        <c:axId val="321603264"/>
        <c:scaling>
          <c:orientation val="maxMin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B Data</a:t>
                </a:r>
                <a:endParaRPr lang="en-US" baseline="0"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321603840"/>
        <c:crosses val="autoZero"/>
        <c:crossBetween val="midCat"/>
      </c:valAx>
      <c:valAx>
        <c:axId val="321603840"/>
        <c:scaling>
          <c:orientation val="minMax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Probability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 rot="0" anchor="ctr" anchorCtr="1"/>
          <a:lstStyle/>
          <a:p>
            <a:pPr>
              <a:defRPr/>
            </a:pPr>
            <a:endParaRPr lang="en-US"/>
          </a:p>
        </c:txPr>
        <c:crossAx val="321603264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3"/>
    </mc:Choice>
    <mc:Fallback>
      <c:style val="13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(B) Data</c:v>
          </c:tx>
          <c:spPr>
            <a:ln w="47625">
              <a:noFill/>
            </a:ln>
          </c:spPr>
          <c:marker>
            <c:symbol val="circle"/>
            <c:size val="3"/>
          </c:marker>
          <c:xVal>
            <c:numRef>
              <c:f>[0]!Bdistz</c:f>
              <c:numCache>
                <c:formatCode>General</c:formatCode>
                <c:ptCount val="100"/>
                <c:pt idx="0">
                  <c:v>-2.6729332193204955</c:v>
                </c:pt>
                <c:pt idx="1">
                  <c:v>-2.3645892540766749</c:v>
                </c:pt>
                <c:pt idx="2">
                  <c:v>-1.9647916719101846</c:v>
                </c:pt>
                <c:pt idx="3">
                  <c:v>-1.7827884145092359</c:v>
                </c:pt>
                <c:pt idx="4">
                  <c:v>-1.5452906031726192</c:v>
                </c:pt>
                <c:pt idx="5">
                  <c:v>-1.3990704133447198</c:v>
                </c:pt>
                <c:pt idx="6">
                  <c:v>-1.2839774124116861</c:v>
                </c:pt>
                <c:pt idx="7">
                  <c:v>-1.2692537960762966</c:v>
                </c:pt>
                <c:pt idx="8">
                  <c:v>-1.1955877156500894</c:v>
                </c:pt>
                <c:pt idx="9">
                  <c:v>-1.1944557451467166</c:v>
                </c:pt>
                <c:pt idx="10">
                  <c:v>-1.1497249107325194</c:v>
                </c:pt>
                <c:pt idx="11">
                  <c:v>-1.147096979210555</c:v>
                </c:pt>
                <c:pt idx="12">
                  <c:v>-1.0388997985878203</c:v>
                </c:pt>
                <c:pt idx="13">
                  <c:v>-0.915907003505807</c:v>
                </c:pt>
                <c:pt idx="14">
                  <c:v>-0.90814520576094881</c:v>
                </c:pt>
                <c:pt idx="15">
                  <c:v>-0.84443286596245615</c:v>
                </c:pt>
                <c:pt idx="16">
                  <c:v>-0.83971898879558393</c:v>
                </c:pt>
                <c:pt idx="17">
                  <c:v>-0.79874805640672375</c:v>
                </c:pt>
                <c:pt idx="18">
                  <c:v>-0.79809207350017553</c:v>
                </c:pt>
                <c:pt idx="19">
                  <c:v>-0.78841832557647562</c:v>
                </c:pt>
                <c:pt idx="20">
                  <c:v>-0.77500267515841081</c:v>
                </c:pt>
                <c:pt idx="21">
                  <c:v>-0.73210979285127986</c:v>
                </c:pt>
                <c:pt idx="22">
                  <c:v>-0.730989822035222</c:v>
                </c:pt>
                <c:pt idx="23">
                  <c:v>-0.72208405409967602</c:v>
                </c:pt>
                <c:pt idx="24">
                  <c:v>-0.6851970152936554</c:v>
                </c:pt>
                <c:pt idx="25">
                  <c:v>-0.6633835837030424</c:v>
                </c:pt>
                <c:pt idx="26">
                  <c:v>-0.66262360350643168</c:v>
                </c:pt>
                <c:pt idx="27">
                  <c:v>-0.61393887212197285</c:v>
                </c:pt>
                <c:pt idx="28">
                  <c:v>-0.60407412917517733</c:v>
                </c:pt>
                <c:pt idx="29">
                  <c:v>-0.57796580949977083</c:v>
                </c:pt>
                <c:pt idx="30">
                  <c:v>-0.52745912559133212</c:v>
                </c:pt>
                <c:pt idx="31">
                  <c:v>-0.51860335635293164</c:v>
                </c:pt>
                <c:pt idx="32">
                  <c:v>-0.48309828153601103</c:v>
                </c:pt>
                <c:pt idx="33">
                  <c:v>-0.45383604404467015</c:v>
                </c:pt>
                <c:pt idx="34">
                  <c:v>-0.43993740621218047</c:v>
                </c:pt>
                <c:pt idx="35">
                  <c:v>-0.41134115136681687</c:v>
                </c:pt>
                <c:pt idx="36">
                  <c:v>-0.36940524412304965</c:v>
                </c:pt>
                <c:pt idx="37">
                  <c:v>-0.35137171403663198</c:v>
                </c:pt>
                <c:pt idx="38">
                  <c:v>-0.30946280608932325</c:v>
                </c:pt>
                <c:pt idx="39">
                  <c:v>-0.28598341790982412</c:v>
                </c:pt>
                <c:pt idx="40">
                  <c:v>-0.20719147105226648</c:v>
                </c:pt>
                <c:pt idx="41">
                  <c:v>-0.15938071689390992</c:v>
                </c:pt>
                <c:pt idx="42">
                  <c:v>-0.14542408057273148</c:v>
                </c:pt>
                <c:pt idx="43">
                  <c:v>-0.12358764958143156</c:v>
                </c:pt>
                <c:pt idx="44">
                  <c:v>-9.9540276202360223E-2</c:v>
                </c:pt>
                <c:pt idx="45">
                  <c:v>-9.3171442159973944E-2</c:v>
                </c:pt>
                <c:pt idx="46">
                  <c:v>-8.3942682640868432E-2</c:v>
                </c:pt>
                <c:pt idx="47">
                  <c:v>-8.3873684438807716E-2</c:v>
                </c:pt>
                <c:pt idx="48">
                  <c:v>-8.025477873942069E-2</c:v>
                </c:pt>
                <c:pt idx="49">
                  <c:v>-6.9073070109814255E-2</c:v>
                </c:pt>
                <c:pt idx="50">
                  <c:v>-6.1313272312841803E-2</c:v>
                </c:pt>
                <c:pt idx="51">
                  <c:v>7.2211118339274717E-4</c:v>
                </c:pt>
                <c:pt idx="52">
                  <c:v>0.10623836166518867</c:v>
                </c:pt>
                <c:pt idx="53">
                  <c:v>0.10839430548610009</c:v>
                </c:pt>
                <c:pt idx="54">
                  <c:v>0.10893229146738503</c:v>
                </c:pt>
                <c:pt idx="55">
                  <c:v>0.11607410536763983</c:v>
                </c:pt>
                <c:pt idx="56">
                  <c:v>0.13212168720344059</c:v>
                </c:pt>
                <c:pt idx="57">
                  <c:v>0.1334036537982497</c:v>
                </c:pt>
                <c:pt idx="58">
                  <c:v>0.13711455710038434</c:v>
                </c:pt>
                <c:pt idx="59">
                  <c:v>0.1601559566928894</c:v>
                </c:pt>
                <c:pt idx="60">
                  <c:v>0.18136140412621388</c:v>
                </c:pt>
                <c:pt idx="61">
                  <c:v>0.18258237231050553</c:v>
                </c:pt>
                <c:pt idx="62">
                  <c:v>0.19929693676622648</c:v>
                </c:pt>
                <c:pt idx="63">
                  <c:v>0.20746772385373446</c:v>
                </c:pt>
                <c:pt idx="64">
                  <c:v>0.22405029174899146</c:v>
                </c:pt>
                <c:pt idx="65">
                  <c:v>0.26655718411415963</c:v>
                </c:pt>
                <c:pt idx="66">
                  <c:v>0.26987209773490239</c:v>
                </c:pt>
                <c:pt idx="67">
                  <c:v>0.40437459289979627</c:v>
                </c:pt>
                <c:pt idx="68">
                  <c:v>0.41780424295306179</c:v>
                </c:pt>
                <c:pt idx="69">
                  <c:v>0.43821571107571661</c:v>
                </c:pt>
                <c:pt idx="70">
                  <c:v>0.44897643067535847</c:v>
                </c:pt>
                <c:pt idx="71">
                  <c:v>0.49920212190583985</c:v>
                </c:pt>
                <c:pt idx="72">
                  <c:v>0.50741590787289292</c:v>
                </c:pt>
                <c:pt idx="73">
                  <c:v>0.52395747683649063</c:v>
                </c:pt>
                <c:pt idx="74">
                  <c:v>0.53097429399388185</c:v>
                </c:pt>
                <c:pt idx="75">
                  <c:v>0.55056278356152266</c:v>
                </c:pt>
                <c:pt idx="76">
                  <c:v>0.56217848088235156</c:v>
                </c:pt>
                <c:pt idx="77">
                  <c:v>0.56351844596584943</c:v>
                </c:pt>
                <c:pt idx="78">
                  <c:v>0.59748156096280458</c:v>
                </c:pt>
                <c:pt idx="79">
                  <c:v>0.60346140514139934</c:v>
                </c:pt>
                <c:pt idx="80">
                  <c:v>0.74155180681345012</c:v>
                </c:pt>
                <c:pt idx="81">
                  <c:v>0.746071689035398</c:v>
                </c:pt>
                <c:pt idx="82">
                  <c:v>0.7825147394107671</c:v>
                </c:pt>
                <c:pt idx="83">
                  <c:v>0.82236370103568357</c:v>
                </c:pt>
                <c:pt idx="84">
                  <c:v>0.9160812589650984</c:v>
                </c:pt>
                <c:pt idx="85">
                  <c:v>0.98253352736716115</c:v>
                </c:pt>
                <c:pt idx="86">
                  <c:v>1.0251844159801082</c:v>
                </c:pt>
                <c:pt idx="87">
                  <c:v>1.1033643787846057</c:v>
                </c:pt>
                <c:pt idx="88">
                  <c:v>1.1103881957595971</c:v>
                </c:pt>
                <c:pt idx="89">
                  <c:v>1.160246896553031</c:v>
                </c:pt>
                <c:pt idx="90">
                  <c:v>1.2823617145131705</c:v>
                </c:pt>
                <c:pt idx="91">
                  <c:v>1.3206587165786925</c:v>
                </c:pt>
                <c:pt idx="92">
                  <c:v>1.4423795448053258</c:v>
                </c:pt>
                <c:pt idx="93">
                  <c:v>1.5621924227488893</c:v>
                </c:pt>
                <c:pt idx="94">
                  <c:v>1.9852653984105251</c:v>
                </c:pt>
                <c:pt idx="95">
                  <c:v>2.0607034326635665</c:v>
                </c:pt>
                <c:pt idx="96">
                  <c:v>2.1295336391018664</c:v>
                </c:pt>
                <c:pt idx="97">
                  <c:v>2.3262645127339763</c:v>
                </c:pt>
                <c:pt idx="98">
                  <c:v>2.3430000766424985</c:v>
                </c:pt>
                <c:pt idx="99">
                  <c:v>3.0014149198198394</c:v>
                </c:pt>
              </c:numCache>
            </c:numRef>
          </c:xVal>
          <c:yVal>
            <c:numRef>
              <c:f>[0]!Bdata</c:f>
              <c:numCache>
                <c:formatCode>General</c:formatCode>
                <c:ptCount val="100"/>
                <c:pt idx="0">
                  <c:v>0.38356183469295502</c:v>
                </c:pt>
                <c:pt idx="1">
                  <c:v>0.73411747254431248</c:v>
                </c:pt>
                <c:pt idx="2">
                  <c:v>1.1886465447023511</c:v>
                </c:pt>
                <c:pt idx="3">
                  <c:v>1.39556568430271</c:v>
                </c:pt>
                <c:pt idx="4">
                  <c:v>1.6655764713650569</c:v>
                </c:pt>
                <c:pt idx="5">
                  <c:v>1.8318139129551128</c:v>
                </c:pt>
                <c:pt idx="6">
                  <c:v>1.9626629156991839</c:v>
                </c:pt>
                <c:pt idx="7">
                  <c:v>1.9794021656853147</c:v>
                </c:pt>
                <c:pt idx="8">
                  <c:v>2.0631529852980748</c:v>
                </c:pt>
                <c:pt idx="9">
                  <c:v>2.0644399203010835</c:v>
                </c:pt>
                <c:pt idx="10">
                  <c:v>2.1152943165507168</c:v>
                </c:pt>
                <c:pt idx="11">
                  <c:v>2.1182820066460408</c:v>
                </c:pt>
                <c:pt idx="12">
                  <c:v>2.2412911650608294</c:v>
                </c:pt>
                <c:pt idx="13">
                  <c:v>2.3811214279849082</c:v>
                </c:pt>
                <c:pt idx="14">
                  <c:v>2.3899458003288601</c:v>
                </c:pt>
                <c:pt idx="15">
                  <c:v>2.4623802321148105</c:v>
                </c:pt>
                <c:pt idx="16">
                  <c:v>2.4677394296450075</c:v>
                </c:pt>
                <c:pt idx="17">
                  <c:v>2.514319200796308</c:v>
                </c:pt>
                <c:pt idx="18">
                  <c:v>2.5150649864517618</c:v>
                </c:pt>
                <c:pt idx="19">
                  <c:v>2.5260630511329509</c:v>
                </c:pt>
                <c:pt idx="20">
                  <c:v>2.5413152772816829</c:v>
                </c:pt>
                <c:pt idx="21">
                  <c:v>2.5900801094539929</c:v>
                </c:pt>
                <c:pt idx="22">
                  <c:v>2.591353402036475</c:v>
                </c:pt>
                <c:pt idx="23">
                  <c:v>2.6014783518039621</c:v>
                </c:pt>
                <c:pt idx="24">
                  <c:v>2.6434151525027119</c:v>
                </c:pt>
                <c:pt idx="25">
                  <c:v>2.6682147992833052</c:v>
                </c:pt>
                <c:pt idx="26">
                  <c:v>2.6690788192499895</c:v>
                </c:pt>
                <c:pt idx="27">
                  <c:v>2.7244283930631354</c:v>
                </c:pt>
                <c:pt idx="28">
                  <c:v>2.7356435996043729</c:v>
                </c:pt>
                <c:pt idx="29">
                  <c:v>2.7653260960651096</c:v>
                </c:pt>
                <c:pt idx="30">
                  <c:v>2.8227470440615434</c:v>
                </c:pt>
                <c:pt idx="31">
                  <c:v>2.8328151504101697</c:v>
                </c:pt>
                <c:pt idx="32">
                  <c:v>2.8731807990116067</c:v>
                </c:pt>
                <c:pt idx="33">
                  <c:v>2.9064489783340832</c:v>
                </c:pt>
                <c:pt idx="34">
                  <c:v>2.9222503119090106</c:v>
                </c:pt>
                <c:pt idx="35">
                  <c:v>2.9547613368922612</c:v>
                </c:pt>
                <c:pt idx="36">
                  <c:v>3.0024381860275753</c:v>
                </c:pt>
                <c:pt idx="37">
                  <c:v>3.0229404703422915</c:v>
                </c:pt>
                <c:pt idx="38">
                  <c:v>3.0705866240314208</c:v>
                </c:pt>
                <c:pt idx="39">
                  <c:v>3.0972802935284562</c:v>
                </c:pt>
                <c:pt idx="40">
                  <c:v>3.1868587004428264</c:v>
                </c:pt>
                <c:pt idx="41">
                  <c:v>3.2412146512942854</c:v>
                </c:pt>
                <c:pt idx="42">
                  <c:v>3.2570819232350914</c:v>
                </c:pt>
                <c:pt idx="43">
                  <c:v>3.2819077179883607</c:v>
                </c:pt>
                <c:pt idx="44">
                  <c:v>3.3092471287236549</c:v>
                </c:pt>
                <c:pt idx="45">
                  <c:v>3.3164878434181446</c:v>
                </c:pt>
                <c:pt idx="46">
                  <c:v>3.3269800016714726</c:v>
                </c:pt>
                <c:pt idx="47">
                  <c:v>3.3270584455895005</c:v>
                </c:pt>
                <c:pt idx="48">
                  <c:v>3.3311727722466458</c:v>
                </c:pt>
                <c:pt idx="49">
                  <c:v>3.3438852344406769</c:v>
                </c:pt>
                <c:pt idx="50">
                  <c:v>3.3527073330478743</c:v>
                </c:pt>
                <c:pt idx="51">
                  <c:v>3.4232352365652332</c:v>
                </c:pt>
                <c:pt idx="52">
                  <c:v>3.5431964508607052</c:v>
                </c:pt>
                <c:pt idx="53">
                  <c:v>3.5456475390819833</c:v>
                </c:pt>
                <c:pt idx="54">
                  <c:v>3.5462591742689256</c:v>
                </c:pt>
                <c:pt idx="55">
                  <c:v>3.5543786882190034</c:v>
                </c:pt>
                <c:pt idx="56">
                  <c:v>3.5726231519365683</c:v>
                </c:pt>
                <c:pt idx="57">
                  <c:v>3.5740806171961594</c:v>
                </c:pt>
                <c:pt idx="58">
                  <c:v>3.5782995357440086</c:v>
                </c:pt>
                <c:pt idx="59">
                  <c:v>3.6044952568918234</c:v>
                </c:pt>
                <c:pt idx="60">
                  <c:v>3.6286036876990693</c:v>
                </c:pt>
                <c:pt idx="61">
                  <c:v>3.6299918039876502</c:v>
                </c:pt>
                <c:pt idx="62">
                  <c:v>3.6489945589128183</c:v>
                </c:pt>
                <c:pt idx="63">
                  <c:v>3.6582839104230516</c:v>
                </c:pt>
                <c:pt idx="64">
                  <c:v>3.6771365987224272</c:v>
                </c:pt>
                <c:pt idx="65">
                  <c:v>3.7254625997011317</c:v>
                </c:pt>
                <c:pt idx="66">
                  <c:v>3.7292313183716033</c:v>
                </c:pt>
                <c:pt idx="67">
                  <c:v>3.8821469363174401</c:v>
                </c:pt>
                <c:pt idx="68">
                  <c:v>3.8974150786234532</c:v>
                </c:pt>
                <c:pt idx="69">
                  <c:v>3.9206208359391894</c:v>
                </c:pt>
                <c:pt idx="70">
                  <c:v>3.9328546765464125</c:v>
                </c:pt>
                <c:pt idx="71">
                  <c:v>3.9899561645288486</c:v>
                </c:pt>
                <c:pt idx="72">
                  <c:v>3.9992944013793021</c:v>
                </c:pt>
                <c:pt idx="73">
                  <c:v>4.0181004780752119</c:v>
                </c:pt>
                <c:pt idx="74">
                  <c:v>4.0260778834781377</c:v>
                </c:pt>
                <c:pt idx="75">
                  <c:v>4.048347998119425</c:v>
                </c:pt>
                <c:pt idx="76">
                  <c:v>4.0615538611891679</c:v>
                </c:pt>
                <c:pt idx="77">
                  <c:v>4.0630772648146376</c:v>
                </c:pt>
                <c:pt idx="78">
                  <c:v>4.1016898623784073</c:v>
                </c:pt>
                <c:pt idx="79">
                  <c:v>4.1084883352741599</c:v>
                </c:pt>
                <c:pt idx="80">
                  <c:v>4.2654830369574483</c:v>
                </c:pt>
                <c:pt idx="81">
                  <c:v>4.2706216820224654</c:v>
                </c:pt>
                <c:pt idx="82">
                  <c:v>4.3120537131617311</c:v>
                </c:pt>
                <c:pt idx="83">
                  <c:v>4.3573579179937951</c:v>
                </c:pt>
                <c:pt idx="84">
                  <c:v>4.4639052223064937</c:v>
                </c:pt>
                <c:pt idx="85">
                  <c:v>4.5394546734460164</c:v>
                </c:pt>
                <c:pt idx="86">
                  <c:v>4.5879443834710401</c:v>
                </c:pt>
                <c:pt idx="87">
                  <c:v>4.6768270269385539</c:v>
                </c:pt>
                <c:pt idx="88">
                  <c:v>4.6848123904201202</c:v>
                </c:pt>
                <c:pt idx="89">
                  <c:v>4.741496647708118</c:v>
                </c:pt>
                <c:pt idx="90">
                  <c:v>4.880328740197001</c:v>
                </c:pt>
                <c:pt idx="91">
                  <c:v>4.9238685253076255</c:v>
                </c:pt>
                <c:pt idx="92">
                  <c:v>5.0622526916558854</c:v>
                </c:pt>
                <c:pt idx="93">
                  <c:v>5.1984677131404169</c:v>
                </c:pt>
                <c:pt idx="94">
                  <c:v>5.6794585336465389</c:v>
                </c:pt>
                <c:pt idx="95">
                  <c:v>5.765223884023726</c:v>
                </c:pt>
                <c:pt idx="96">
                  <c:v>5.8434768081642687</c:v>
                </c:pt>
                <c:pt idx="97">
                  <c:v>6.0671397452242672</c:v>
                </c:pt>
                <c:pt idx="98">
                  <c:v>6.0861663743853569</c:v>
                </c:pt>
                <c:pt idx="99">
                  <c:v>6.8347168937325478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1605568"/>
        <c:axId val="321606144"/>
      </c:scatterChart>
      <c:valAx>
        <c:axId val="32160556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Z-Score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321606144"/>
        <c:crosses val="autoZero"/>
        <c:crossBetween val="midCat"/>
      </c:valAx>
      <c:valAx>
        <c:axId val="321606144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baseline="0"/>
                  <a:t>B Data</a:t>
                </a:r>
              </a:p>
            </c:rich>
          </c:tx>
          <c:layout>
            <c:manualLayout>
              <c:xMode val="edge"/>
              <c:yMode val="edge"/>
              <c:x val="3.6491228070175435E-2"/>
              <c:y val="0.16373418166479187"/>
            </c:manualLayout>
          </c:layout>
          <c:overlay val="0"/>
        </c:title>
        <c:numFmt formatCode="General" sourceLinked="1"/>
        <c:majorTickMark val="none"/>
        <c:minorTickMark val="none"/>
        <c:tickLblPos val="nextTo"/>
        <c:crossAx val="321605568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3"/>
    </mc:Choice>
    <mc:Fallback>
      <c:style val="13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Standardized Sampling Distribution of (B)</c:v>
          </c:tx>
          <c:spPr>
            <a:ln w="47625">
              <a:noFill/>
            </a:ln>
          </c:spPr>
          <c:marker>
            <c:symbol val="circle"/>
            <c:size val="3"/>
          </c:marker>
          <c:xVal>
            <c:numRef>
              <c:f>[0]!Bsampz</c:f>
              <c:numCache>
                <c:formatCode>General</c:formatCode>
                <c:ptCount val="100"/>
                <c:pt idx="0">
                  <c:v>-26.729332193204957</c:v>
                </c:pt>
                <c:pt idx="1">
                  <c:v>-23.645892540766749</c:v>
                </c:pt>
                <c:pt idx="2">
                  <c:v>-19.647916719101847</c:v>
                </c:pt>
                <c:pt idx="3">
                  <c:v>-17.827884145092359</c:v>
                </c:pt>
                <c:pt idx="4">
                  <c:v>-15.452906031726192</c:v>
                </c:pt>
                <c:pt idx="5">
                  <c:v>-13.990704133447197</c:v>
                </c:pt>
                <c:pt idx="6">
                  <c:v>-12.839774124116861</c:v>
                </c:pt>
                <c:pt idx="7">
                  <c:v>-12.692537960762966</c:v>
                </c:pt>
                <c:pt idx="8">
                  <c:v>-11.955877156500895</c:v>
                </c:pt>
                <c:pt idx="9">
                  <c:v>-11.944557451467167</c:v>
                </c:pt>
                <c:pt idx="10">
                  <c:v>-11.497249107325192</c:v>
                </c:pt>
                <c:pt idx="11">
                  <c:v>-11.470969792105549</c:v>
                </c:pt>
                <c:pt idx="12">
                  <c:v>-10.388997985878206</c:v>
                </c:pt>
                <c:pt idx="13">
                  <c:v>-9.15907003505807</c:v>
                </c:pt>
                <c:pt idx="14">
                  <c:v>-9.0814520576094875</c:v>
                </c:pt>
                <c:pt idx="15">
                  <c:v>-8.4443286596245617</c:v>
                </c:pt>
                <c:pt idx="16">
                  <c:v>-8.3971898879558395</c:v>
                </c:pt>
                <c:pt idx="17">
                  <c:v>-7.9874805640672371</c:v>
                </c:pt>
                <c:pt idx="18">
                  <c:v>-7.9809207350017557</c:v>
                </c:pt>
                <c:pt idx="19">
                  <c:v>-7.8841832557647562</c:v>
                </c:pt>
                <c:pt idx="20">
                  <c:v>-7.7500267515841088</c:v>
                </c:pt>
                <c:pt idx="21">
                  <c:v>-7.3210979285127991</c:v>
                </c:pt>
                <c:pt idx="22">
                  <c:v>-7.3098982203522205</c:v>
                </c:pt>
                <c:pt idx="23">
                  <c:v>-7.2208405409967602</c:v>
                </c:pt>
                <c:pt idx="24">
                  <c:v>-6.8519701529365546</c:v>
                </c:pt>
                <c:pt idx="25">
                  <c:v>-6.633835837030424</c:v>
                </c:pt>
                <c:pt idx="26">
                  <c:v>-6.6262360350643172</c:v>
                </c:pt>
                <c:pt idx="27">
                  <c:v>-6.1393887212197287</c:v>
                </c:pt>
                <c:pt idx="28">
                  <c:v>-6.0407412917517735</c:v>
                </c:pt>
                <c:pt idx="29">
                  <c:v>-5.7796580949977088</c:v>
                </c:pt>
                <c:pt idx="30">
                  <c:v>-5.2745912559133217</c:v>
                </c:pt>
                <c:pt idx="31">
                  <c:v>-5.1860335635293167</c:v>
                </c:pt>
                <c:pt idx="32">
                  <c:v>-4.8309828153601098</c:v>
                </c:pt>
                <c:pt idx="33">
                  <c:v>-4.5383604404467022</c:v>
                </c:pt>
                <c:pt idx="34">
                  <c:v>-4.3993740621218045</c:v>
                </c:pt>
                <c:pt idx="35">
                  <c:v>-4.1134115136681695</c:v>
                </c:pt>
                <c:pt idx="36">
                  <c:v>-3.6940524412304967</c:v>
                </c:pt>
                <c:pt idx="37">
                  <c:v>-3.5137171403663197</c:v>
                </c:pt>
                <c:pt idx="38">
                  <c:v>-3.0946280608932328</c:v>
                </c:pt>
                <c:pt idx="39">
                  <c:v>-2.8598341790982413</c:v>
                </c:pt>
                <c:pt idx="40">
                  <c:v>-2.0719147105226647</c:v>
                </c:pt>
                <c:pt idx="41">
                  <c:v>-1.5938071689390991</c:v>
                </c:pt>
                <c:pt idx="42">
                  <c:v>-1.4542408057273148</c:v>
                </c:pt>
                <c:pt idx="43">
                  <c:v>-1.2358764958143156</c:v>
                </c:pt>
                <c:pt idx="44">
                  <c:v>-0.99540276202360223</c:v>
                </c:pt>
                <c:pt idx="45">
                  <c:v>-0.93171442159973938</c:v>
                </c:pt>
                <c:pt idx="46">
                  <c:v>-0.83942682640868427</c:v>
                </c:pt>
                <c:pt idx="47">
                  <c:v>-0.83873684438807727</c:v>
                </c:pt>
                <c:pt idx="48">
                  <c:v>-0.80254778739420696</c:v>
                </c:pt>
                <c:pt idx="49">
                  <c:v>-0.69073070109814261</c:v>
                </c:pt>
                <c:pt idx="50">
                  <c:v>-0.61313272312841804</c:v>
                </c:pt>
                <c:pt idx="51">
                  <c:v>7.2211118339274719E-3</c:v>
                </c:pt>
                <c:pt idx="52">
                  <c:v>1.0623836166518867</c:v>
                </c:pt>
                <c:pt idx="53">
                  <c:v>1.083943054861001</c:v>
                </c:pt>
                <c:pt idx="54">
                  <c:v>1.0893229146738503</c:v>
                </c:pt>
                <c:pt idx="55">
                  <c:v>1.1607410536763985</c:v>
                </c:pt>
                <c:pt idx="56">
                  <c:v>1.321216872034406</c:v>
                </c:pt>
                <c:pt idx="57">
                  <c:v>1.334036537982497</c:v>
                </c:pt>
                <c:pt idx="58">
                  <c:v>1.3711455710038434</c:v>
                </c:pt>
                <c:pt idx="59">
                  <c:v>1.601559566928894</c:v>
                </c:pt>
                <c:pt idx="60">
                  <c:v>1.8136140412621387</c:v>
                </c:pt>
                <c:pt idx="61">
                  <c:v>1.8258237231050554</c:v>
                </c:pt>
                <c:pt idx="62">
                  <c:v>1.9929693676622648</c:v>
                </c:pt>
                <c:pt idx="63">
                  <c:v>2.0746772385373449</c:v>
                </c:pt>
                <c:pt idx="64">
                  <c:v>2.2405029174899145</c:v>
                </c:pt>
                <c:pt idx="65">
                  <c:v>2.6655718411415963</c:v>
                </c:pt>
                <c:pt idx="66">
                  <c:v>2.6987209773490237</c:v>
                </c:pt>
                <c:pt idx="67">
                  <c:v>4.0437459289979634</c:v>
                </c:pt>
                <c:pt idx="68">
                  <c:v>4.1780424295306178</c:v>
                </c:pt>
                <c:pt idx="69">
                  <c:v>4.3821571107571664</c:v>
                </c:pt>
                <c:pt idx="70">
                  <c:v>4.4897643067535844</c:v>
                </c:pt>
                <c:pt idx="71">
                  <c:v>4.9920212190583984</c:v>
                </c:pt>
                <c:pt idx="72">
                  <c:v>5.074159078728929</c:v>
                </c:pt>
                <c:pt idx="73">
                  <c:v>5.2395747683649061</c:v>
                </c:pt>
                <c:pt idx="74">
                  <c:v>5.3097429399388183</c:v>
                </c:pt>
                <c:pt idx="75">
                  <c:v>5.5056278356152273</c:v>
                </c:pt>
                <c:pt idx="76">
                  <c:v>5.6217848088235156</c:v>
                </c:pt>
                <c:pt idx="77">
                  <c:v>5.6351844596584941</c:v>
                </c:pt>
                <c:pt idx="78">
                  <c:v>5.9748156096280463</c:v>
                </c:pt>
                <c:pt idx="79">
                  <c:v>6.0346140514139934</c:v>
                </c:pt>
                <c:pt idx="80">
                  <c:v>7.4155180681345012</c:v>
                </c:pt>
                <c:pt idx="81">
                  <c:v>7.4607168903539804</c:v>
                </c:pt>
                <c:pt idx="82">
                  <c:v>7.8251473941076712</c:v>
                </c:pt>
                <c:pt idx="83">
                  <c:v>8.2236370103568355</c:v>
                </c:pt>
                <c:pt idx="84">
                  <c:v>9.160812589650984</c:v>
                </c:pt>
                <c:pt idx="85">
                  <c:v>9.8253352736716124</c:v>
                </c:pt>
                <c:pt idx="86">
                  <c:v>10.251844159801083</c:v>
                </c:pt>
                <c:pt idx="87">
                  <c:v>11.033643787846056</c:v>
                </c:pt>
                <c:pt idx="88">
                  <c:v>11.103881957595974</c:v>
                </c:pt>
                <c:pt idx="89">
                  <c:v>11.602468965530312</c:v>
                </c:pt>
                <c:pt idx="90">
                  <c:v>12.823617145131706</c:v>
                </c:pt>
                <c:pt idx="91">
                  <c:v>13.206587165786926</c:v>
                </c:pt>
                <c:pt idx="92">
                  <c:v>14.42379544805326</c:v>
                </c:pt>
                <c:pt idx="93">
                  <c:v>15.621924227488893</c:v>
                </c:pt>
                <c:pt idx="94">
                  <c:v>19.852653984105249</c:v>
                </c:pt>
                <c:pt idx="95">
                  <c:v>20.607034326635667</c:v>
                </c:pt>
                <c:pt idx="96">
                  <c:v>21.295336391018665</c:v>
                </c:pt>
                <c:pt idx="97">
                  <c:v>23.262645127339763</c:v>
                </c:pt>
                <c:pt idx="98">
                  <c:v>23.430000766424985</c:v>
                </c:pt>
                <c:pt idx="99">
                  <c:v>30.014149198198396</c:v>
                </c:pt>
              </c:numCache>
            </c:numRef>
          </c:xVal>
          <c:yVal>
            <c:numRef>
              <c:f>[0]!Bsampzp</c:f>
              <c:numCache>
                <c:formatCode>General</c:formatCode>
                <c:ptCount val="100"/>
                <c:pt idx="0">
                  <c:v>2.874090356698764E-156</c:v>
                </c:pt>
                <c:pt idx="1">
                  <c:v>1.5408370185697422E-122</c:v>
                </c:pt>
                <c:pt idx="2">
                  <c:v>5.9326955477990511E-85</c:v>
                </c:pt>
                <c:pt idx="3">
                  <c:v>3.8393052699993431E-70</c:v>
                </c:pt>
                <c:pt idx="4">
                  <c:v>5.5952553674239482E-53</c:v>
                </c:pt>
                <c:pt idx="5">
                  <c:v>1.2489702236548769E-43</c:v>
                </c:pt>
                <c:pt idx="6">
                  <c:v>6.3395648370523865E-37</c:v>
                </c:pt>
                <c:pt idx="7">
                  <c:v>4.1531408191048409E-36</c:v>
                </c:pt>
                <c:pt idx="8">
                  <c:v>3.641097517267777E-32</c:v>
                </c:pt>
                <c:pt idx="9">
                  <c:v>4.1685076201764363E-32</c:v>
                </c:pt>
                <c:pt idx="10">
                  <c:v>7.8872358583926706E-30</c:v>
                </c:pt>
                <c:pt idx="11">
                  <c:v>1.0665777709429472E-29</c:v>
                </c:pt>
                <c:pt idx="12">
                  <c:v>1.4585811138685899E-24</c:v>
                </c:pt>
                <c:pt idx="13">
                  <c:v>2.4251570377623051E-19</c:v>
                </c:pt>
                <c:pt idx="14">
                  <c:v>4.9223816882544515E-19</c:v>
                </c:pt>
                <c:pt idx="15">
                  <c:v>1.3087594434755317E-16</c:v>
                </c:pt>
                <c:pt idx="16">
                  <c:v>1.9464825972734321E-16</c:v>
                </c:pt>
                <c:pt idx="17">
                  <c:v>5.584053693601067E-15</c:v>
                </c:pt>
                <c:pt idx="18">
                  <c:v>5.8843128592812276E-15</c:v>
                </c:pt>
                <c:pt idx="19">
                  <c:v>1.2675424708189354E-14</c:v>
                </c:pt>
                <c:pt idx="20">
                  <c:v>3.6175443654866636E-14</c:v>
                </c:pt>
                <c:pt idx="21">
                  <c:v>9.1653515302161028E-13</c:v>
                </c:pt>
                <c:pt idx="22">
                  <c:v>9.9479020507082694E-13</c:v>
                </c:pt>
                <c:pt idx="23">
                  <c:v>1.8999233124182179E-12</c:v>
                </c:pt>
                <c:pt idx="24">
                  <c:v>2.546576737439687E-11</c:v>
                </c:pt>
                <c:pt idx="25">
                  <c:v>1.108517392863908E-10</c:v>
                </c:pt>
                <c:pt idx="26">
                  <c:v>1.1658033270977221E-10</c:v>
                </c:pt>
                <c:pt idx="27">
                  <c:v>2.6072091775700749E-9</c:v>
                </c:pt>
                <c:pt idx="28">
                  <c:v>4.7543007374082537E-9</c:v>
                </c:pt>
                <c:pt idx="29">
                  <c:v>2.2244692841991943E-8</c:v>
                </c:pt>
                <c:pt idx="30">
                  <c:v>3.6273438521777497E-7</c:v>
                </c:pt>
                <c:pt idx="31">
                  <c:v>5.7643076824049766E-7</c:v>
                </c:pt>
                <c:pt idx="32">
                  <c:v>3.4122590283241391E-6</c:v>
                </c:pt>
                <c:pt idx="33">
                  <c:v>1.3439717036665132E-5</c:v>
                </c:pt>
                <c:pt idx="34">
                  <c:v>2.5011255799508838E-5</c:v>
                </c:pt>
                <c:pt idx="35">
                  <c:v>8.4478315858373758E-5</c:v>
                </c:pt>
                <c:pt idx="36">
                  <c:v>4.3422390251464697E-4</c:v>
                </c:pt>
                <c:pt idx="37">
                  <c:v>8.316968018143541E-4</c:v>
                </c:pt>
                <c:pt idx="38">
                  <c:v>3.3216290096331111E-3</c:v>
                </c:pt>
                <c:pt idx="39">
                  <c:v>6.6824920530238431E-3</c:v>
                </c:pt>
                <c:pt idx="40">
                  <c:v>4.663733785988667E-2</c:v>
                </c:pt>
                <c:pt idx="41">
                  <c:v>0.11202321200838505</c:v>
                </c:pt>
                <c:pt idx="42">
                  <c:v>0.13857456902554424</c:v>
                </c:pt>
                <c:pt idx="43">
                  <c:v>0.18588373345728487</c:v>
                </c:pt>
                <c:pt idx="44">
                  <c:v>0.24308311367740992</c:v>
                </c:pt>
                <c:pt idx="45">
                  <c:v>0.25846773349010654</c:v>
                </c:pt>
                <c:pt idx="46">
                  <c:v>0.28047877322727183</c:v>
                </c:pt>
                <c:pt idx="47">
                  <c:v>0.28064120381533009</c:v>
                </c:pt>
                <c:pt idx="48">
                  <c:v>0.2891007577984403</c:v>
                </c:pt>
                <c:pt idx="49">
                  <c:v>0.31427308175196128</c:v>
                </c:pt>
                <c:pt idx="50">
                  <c:v>0.33058072403804195</c:v>
                </c:pt>
                <c:pt idx="51">
                  <c:v>0.39893187922290718</c:v>
                </c:pt>
                <c:pt idx="52">
                  <c:v>0.22689498092007454</c:v>
                </c:pt>
                <c:pt idx="53">
                  <c:v>0.22170562151076884</c:v>
                </c:pt>
                <c:pt idx="54">
                  <c:v>0.22041332628980417</c:v>
                </c:pt>
                <c:pt idx="55">
                  <c:v>0.20339641313732962</c:v>
                </c:pt>
                <c:pt idx="56">
                  <c:v>0.16666898744102324</c:v>
                </c:pt>
                <c:pt idx="57">
                  <c:v>0.16385632936862346</c:v>
                </c:pt>
                <c:pt idx="58">
                  <c:v>0.15583482891588055</c:v>
                </c:pt>
                <c:pt idx="59">
                  <c:v>0.11064426361780882</c:v>
                </c:pt>
                <c:pt idx="60">
                  <c:v>7.7031836731456679E-2</c:v>
                </c:pt>
                <c:pt idx="61">
                  <c:v>7.5339202122506985E-2</c:v>
                </c:pt>
                <c:pt idx="62">
                  <c:v>5.4754157153446073E-2</c:v>
                </c:pt>
                <c:pt idx="63">
                  <c:v>4.6370984228608927E-2</c:v>
                </c:pt>
                <c:pt idx="64">
                  <c:v>3.2423714501810343E-2</c:v>
                </c:pt>
                <c:pt idx="65">
                  <c:v>1.1429298766176743E-2</c:v>
                </c:pt>
                <c:pt idx="66">
                  <c:v>1.0456975722734671E-2</c:v>
                </c:pt>
                <c:pt idx="67">
                  <c:v>1.1223910430834968E-4</c:v>
                </c:pt>
                <c:pt idx="68">
                  <c:v>6.4621860622962913E-5</c:v>
                </c:pt>
                <c:pt idx="69">
                  <c:v>2.6975297857857389E-5</c:v>
                </c:pt>
                <c:pt idx="70">
                  <c:v>1.6736304125637218E-5</c:v>
                </c:pt>
                <c:pt idx="71">
                  <c:v>1.5471802783975079E-6</c:v>
                </c:pt>
                <c:pt idx="72">
                  <c:v>1.0232940111802893E-6</c:v>
                </c:pt>
                <c:pt idx="73">
                  <c:v>4.3604935090764394E-7</c:v>
                </c:pt>
                <c:pt idx="74">
                  <c:v>3.0116017306006392E-7</c:v>
                </c:pt>
                <c:pt idx="75">
                  <c:v>1.044134367418968E-7</c:v>
                </c:pt>
                <c:pt idx="76">
                  <c:v>5.4712657728994983E-8</c:v>
                </c:pt>
                <c:pt idx="77">
                  <c:v>5.0738011151857464E-8</c:v>
                </c:pt>
                <c:pt idx="78">
                  <c:v>7.0647421539497349E-9</c:v>
                </c:pt>
                <c:pt idx="79">
                  <c:v>4.9334765840120835E-9</c:v>
                </c:pt>
                <c:pt idx="80">
                  <c:v>4.570915743321885E-13</c:v>
                </c:pt>
                <c:pt idx="81">
                  <c:v>3.2658478803273026E-13</c:v>
                </c:pt>
                <c:pt idx="82">
                  <c:v>2.0153379510069379E-14</c:v>
                </c:pt>
                <c:pt idx="83">
                  <c:v>8.2343968249352639E-16</c:v>
                </c:pt>
                <c:pt idx="84">
                  <c:v>2.3867547124807184E-19</c:v>
                </c:pt>
                <c:pt idx="85">
                  <c:v>4.3463086239044122E-22</c:v>
                </c:pt>
                <c:pt idx="86">
                  <c:v>6.0071435952104631E-24</c:v>
                </c:pt>
                <c:pt idx="87">
                  <c:v>1.4625936892498974E-27</c:v>
                </c:pt>
                <c:pt idx="88">
                  <c:v>6.7217383661175792E-28</c:v>
                </c:pt>
                <c:pt idx="89">
                  <c:v>2.3395794911163939E-30</c:v>
                </c:pt>
                <c:pt idx="90">
                  <c:v>7.8000610853272787E-37</c:v>
                </c:pt>
                <c:pt idx="91">
                  <c:v>5.3383029871626047E-39</c:v>
                </c:pt>
                <c:pt idx="92">
                  <c:v>2.6565762797606659E-46</c:v>
                </c:pt>
                <c:pt idx="93">
                  <c:v>4.048709562372653E-54</c:v>
                </c:pt>
                <c:pt idx="94">
                  <c:v>1.0402326166287613E-86</c:v>
                </c:pt>
                <c:pt idx="95">
                  <c:v>2.4511155456214442E-93</c:v>
                </c:pt>
                <c:pt idx="96">
                  <c:v>1.3381789135028372E-99</c:v>
                </c:pt>
                <c:pt idx="97">
                  <c:v>1.234632407246731E-118</c:v>
                </c:pt>
                <c:pt idx="98">
                  <c:v>2.4813547191224376E-120</c:v>
                </c:pt>
                <c:pt idx="99">
                  <c:v>9.638338517057188E-197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1607872"/>
        <c:axId val="321608448"/>
      </c:scatterChart>
      <c:valAx>
        <c:axId val="321607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crossAx val="321608448"/>
        <c:crosses val="autoZero"/>
        <c:crossBetween val="midCat"/>
      </c:valAx>
      <c:valAx>
        <c:axId val="32160844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crossAx val="321607872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3"/>
    </mc:Choice>
    <mc:Fallback>
      <c:style val="13"/>
    </mc:Fallback>
  </mc:AlternateContent>
  <c:chart>
    <c:autoTitleDeleted val="1"/>
    <c:plotArea>
      <c:layout>
        <c:manualLayout>
          <c:layoutTarget val="inner"/>
          <c:xMode val="edge"/>
          <c:yMode val="edge"/>
          <c:x val="5.9129714048901785E-2"/>
          <c:y val="5.8944700877907492E-2"/>
          <c:w val="0.88844912280701749"/>
          <c:h val="0.65959403977324149"/>
        </c:manualLayout>
      </c:layout>
      <c:scatterChart>
        <c:scatterStyle val="lineMarker"/>
        <c:varyColors val="0"/>
        <c:ser>
          <c:idx val="0"/>
          <c:order val="0"/>
          <c:tx>
            <c:v>Standardized Distribution of (B)</c:v>
          </c:tx>
          <c:spPr>
            <a:ln w="47625">
              <a:noFill/>
            </a:ln>
          </c:spPr>
          <c:marker>
            <c:symbol val="circle"/>
            <c:size val="3"/>
          </c:marker>
          <c:xVal>
            <c:numRef>
              <c:f>[0]!Bdistz</c:f>
              <c:numCache>
                <c:formatCode>General</c:formatCode>
                <c:ptCount val="100"/>
                <c:pt idx="0">
                  <c:v>-2.6729332193204955</c:v>
                </c:pt>
                <c:pt idx="1">
                  <c:v>-2.3645892540766749</c:v>
                </c:pt>
                <c:pt idx="2">
                  <c:v>-1.9647916719101846</c:v>
                </c:pt>
                <c:pt idx="3">
                  <c:v>-1.7827884145092359</c:v>
                </c:pt>
                <c:pt idx="4">
                  <c:v>-1.5452906031726192</c:v>
                </c:pt>
                <c:pt idx="5">
                  <c:v>-1.3990704133447198</c:v>
                </c:pt>
                <c:pt idx="6">
                  <c:v>-1.2839774124116861</c:v>
                </c:pt>
                <c:pt idx="7">
                  <c:v>-1.2692537960762966</c:v>
                </c:pt>
                <c:pt idx="8">
                  <c:v>-1.1955877156500894</c:v>
                </c:pt>
                <c:pt idx="9">
                  <c:v>-1.1944557451467166</c:v>
                </c:pt>
                <c:pt idx="10">
                  <c:v>-1.1497249107325194</c:v>
                </c:pt>
                <c:pt idx="11">
                  <c:v>-1.147096979210555</c:v>
                </c:pt>
                <c:pt idx="12">
                  <c:v>-1.0388997985878203</c:v>
                </c:pt>
                <c:pt idx="13">
                  <c:v>-0.915907003505807</c:v>
                </c:pt>
                <c:pt idx="14">
                  <c:v>-0.90814520576094881</c:v>
                </c:pt>
                <c:pt idx="15">
                  <c:v>-0.84443286596245615</c:v>
                </c:pt>
                <c:pt idx="16">
                  <c:v>-0.83971898879558393</c:v>
                </c:pt>
                <c:pt idx="17">
                  <c:v>-0.79874805640672375</c:v>
                </c:pt>
                <c:pt idx="18">
                  <c:v>-0.79809207350017553</c:v>
                </c:pt>
                <c:pt idx="19">
                  <c:v>-0.78841832557647562</c:v>
                </c:pt>
                <c:pt idx="20">
                  <c:v>-0.77500267515841081</c:v>
                </c:pt>
                <c:pt idx="21">
                  <c:v>-0.73210979285127986</c:v>
                </c:pt>
                <c:pt idx="22">
                  <c:v>-0.730989822035222</c:v>
                </c:pt>
                <c:pt idx="23">
                  <c:v>-0.72208405409967602</c:v>
                </c:pt>
                <c:pt idx="24">
                  <c:v>-0.6851970152936554</c:v>
                </c:pt>
                <c:pt idx="25">
                  <c:v>-0.6633835837030424</c:v>
                </c:pt>
                <c:pt idx="26">
                  <c:v>-0.66262360350643168</c:v>
                </c:pt>
                <c:pt idx="27">
                  <c:v>-0.61393887212197285</c:v>
                </c:pt>
                <c:pt idx="28">
                  <c:v>-0.60407412917517733</c:v>
                </c:pt>
                <c:pt idx="29">
                  <c:v>-0.57796580949977083</c:v>
                </c:pt>
                <c:pt idx="30">
                  <c:v>-0.52745912559133212</c:v>
                </c:pt>
                <c:pt idx="31">
                  <c:v>-0.51860335635293164</c:v>
                </c:pt>
                <c:pt idx="32">
                  <c:v>-0.48309828153601103</c:v>
                </c:pt>
                <c:pt idx="33">
                  <c:v>-0.45383604404467015</c:v>
                </c:pt>
                <c:pt idx="34">
                  <c:v>-0.43993740621218047</c:v>
                </c:pt>
                <c:pt idx="35">
                  <c:v>-0.41134115136681687</c:v>
                </c:pt>
                <c:pt idx="36">
                  <c:v>-0.36940524412304965</c:v>
                </c:pt>
                <c:pt idx="37">
                  <c:v>-0.35137171403663198</c:v>
                </c:pt>
                <c:pt idx="38">
                  <c:v>-0.30946280608932325</c:v>
                </c:pt>
                <c:pt idx="39">
                  <c:v>-0.28598341790982412</c:v>
                </c:pt>
                <c:pt idx="40">
                  <c:v>-0.20719147105226648</c:v>
                </c:pt>
                <c:pt idx="41">
                  <c:v>-0.15938071689390992</c:v>
                </c:pt>
                <c:pt idx="42">
                  <c:v>-0.14542408057273148</c:v>
                </c:pt>
                <c:pt idx="43">
                  <c:v>-0.12358764958143156</c:v>
                </c:pt>
                <c:pt idx="44">
                  <c:v>-9.9540276202360223E-2</c:v>
                </c:pt>
                <c:pt idx="45">
                  <c:v>-9.3171442159973944E-2</c:v>
                </c:pt>
                <c:pt idx="46">
                  <c:v>-8.3942682640868432E-2</c:v>
                </c:pt>
                <c:pt idx="47">
                  <c:v>-8.3873684438807716E-2</c:v>
                </c:pt>
                <c:pt idx="48">
                  <c:v>-8.025477873942069E-2</c:v>
                </c:pt>
                <c:pt idx="49">
                  <c:v>-6.9073070109814255E-2</c:v>
                </c:pt>
                <c:pt idx="50">
                  <c:v>-6.1313272312841803E-2</c:v>
                </c:pt>
                <c:pt idx="51">
                  <c:v>7.2211118339274717E-4</c:v>
                </c:pt>
                <c:pt idx="52">
                  <c:v>0.10623836166518867</c:v>
                </c:pt>
                <c:pt idx="53">
                  <c:v>0.10839430548610009</c:v>
                </c:pt>
                <c:pt idx="54">
                  <c:v>0.10893229146738503</c:v>
                </c:pt>
                <c:pt idx="55">
                  <c:v>0.11607410536763983</c:v>
                </c:pt>
                <c:pt idx="56">
                  <c:v>0.13212168720344059</c:v>
                </c:pt>
                <c:pt idx="57">
                  <c:v>0.1334036537982497</c:v>
                </c:pt>
                <c:pt idx="58">
                  <c:v>0.13711455710038434</c:v>
                </c:pt>
                <c:pt idx="59">
                  <c:v>0.1601559566928894</c:v>
                </c:pt>
                <c:pt idx="60">
                  <c:v>0.18136140412621388</c:v>
                </c:pt>
                <c:pt idx="61">
                  <c:v>0.18258237231050553</c:v>
                </c:pt>
                <c:pt idx="62">
                  <c:v>0.19929693676622648</c:v>
                </c:pt>
                <c:pt idx="63">
                  <c:v>0.20746772385373446</c:v>
                </c:pt>
                <c:pt idx="64">
                  <c:v>0.22405029174899146</c:v>
                </c:pt>
                <c:pt idx="65">
                  <c:v>0.26655718411415963</c:v>
                </c:pt>
                <c:pt idx="66">
                  <c:v>0.26987209773490239</c:v>
                </c:pt>
                <c:pt idx="67">
                  <c:v>0.40437459289979627</c:v>
                </c:pt>
                <c:pt idx="68">
                  <c:v>0.41780424295306179</c:v>
                </c:pt>
                <c:pt idx="69">
                  <c:v>0.43821571107571661</c:v>
                </c:pt>
                <c:pt idx="70">
                  <c:v>0.44897643067535847</c:v>
                </c:pt>
                <c:pt idx="71">
                  <c:v>0.49920212190583985</c:v>
                </c:pt>
                <c:pt idx="72">
                  <c:v>0.50741590787289292</c:v>
                </c:pt>
                <c:pt idx="73">
                  <c:v>0.52395747683649063</c:v>
                </c:pt>
                <c:pt idx="74">
                  <c:v>0.53097429399388185</c:v>
                </c:pt>
                <c:pt idx="75">
                  <c:v>0.55056278356152266</c:v>
                </c:pt>
                <c:pt idx="76">
                  <c:v>0.56217848088235156</c:v>
                </c:pt>
                <c:pt idx="77">
                  <c:v>0.56351844596584943</c:v>
                </c:pt>
                <c:pt idx="78">
                  <c:v>0.59748156096280458</c:v>
                </c:pt>
                <c:pt idx="79">
                  <c:v>0.60346140514139934</c:v>
                </c:pt>
                <c:pt idx="80">
                  <c:v>0.74155180681345012</c:v>
                </c:pt>
                <c:pt idx="81">
                  <c:v>0.746071689035398</c:v>
                </c:pt>
                <c:pt idx="82">
                  <c:v>0.7825147394107671</c:v>
                </c:pt>
                <c:pt idx="83">
                  <c:v>0.82236370103568357</c:v>
                </c:pt>
                <c:pt idx="84">
                  <c:v>0.9160812589650984</c:v>
                </c:pt>
                <c:pt idx="85">
                  <c:v>0.98253352736716115</c:v>
                </c:pt>
                <c:pt idx="86">
                  <c:v>1.0251844159801082</c:v>
                </c:pt>
                <c:pt idx="87">
                  <c:v>1.1033643787846057</c:v>
                </c:pt>
                <c:pt idx="88">
                  <c:v>1.1103881957595971</c:v>
                </c:pt>
                <c:pt idx="89">
                  <c:v>1.160246896553031</c:v>
                </c:pt>
                <c:pt idx="90">
                  <c:v>1.2823617145131705</c:v>
                </c:pt>
                <c:pt idx="91">
                  <c:v>1.3206587165786925</c:v>
                </c:pt>
                <c:pt idx="92">
                  <c:v>1.4423795448053258</c:v>
                </c:pt>
                <c:pt idx="93">
                  <c:v>1.5621924227488893</c:v>
                </c:pt>
                <c:pt idx="94">
                  <c:v>1.9852653984105251</c:v>
                </c:pt>
                <c:pt idx="95">
                  <c:v>2.0607034326635665</c:v>
                </c:pt>
                <c:pt idx="96">
                  <c:v>2.1295336391018664</c:v>
                </c:pt>
                <c:pt idx="97">
                  <c:v>2.3262645127339763</c:v>
                </c:pt>
                <c:pt idx="98">
                  <c:v>2.3430000766424985</c:v>
                </c:pt>
                <c:pt idx="99">
                  <c:v>3.0014149198198394</c:v>
                </c:pt>
              </c:numCache>
            </c:numRef>
          </c:xVal>
          <c:yVal>
            <c:numRef>
              <c:f>[0]!Bdistzp</c:f>
              <c:numCache>
                <c:formatCode>General</c:formatCode>
                <c:ptCount val="100"/>
                <c:pt idx="0">
                  <c:v>1.1206912196122062E-2</c:v>
                </c:pt>
                <c:pt idx="1">
                  <c:v>2.4365679774332415E-2</c:v>
                </c:pt>
                <c:pt idx="2">
                  <c:v>5.7893990534757488E-2</c:v>
                </c:pt>
                <c:pt idx="3">
                  <c:v>8.142232353592263E-2</c:v>
                </c:pt>
                <c:pt idx="4">
                  <c:v>0.12088687871329583</c:v>
                </c:pt>
                <c:pt idx="5">
                  <c:v>0.14992238622652754</c:v>
                </c:pt>
                <c:pt idx="6">
                  <c:v>0.17495306675553118</c:v>
                </c:pt>
                <c:pt idx="7">
                  <c:v>0.17827265470726411</c:v>
                </c:pt>
                <c:pt idx="8">
                  <c:v>0.19521504637954573</c:v>
                </c:pt>
                <c:pt idx="9">
                  <c:v>0.19547929819258239</c:v>
                </c:pt>
                <c:pt idx="10">
                  <c:v>0.20600141971742952</c:v>
                </c:pt>
                <c:pt idx="11">
                  <c:v>0.20662405981278398</c:v>
                </c:pt>
                <c:pt idx="12">
                  <c:v>0.23256281254507394</c:v>
                </c:pt>
                <c:pt idx="13">
                  <c:v>0.26226984755973126</c:v>
                </c:pt>
                <c:pt idx="14">
                  <c:v>0.26413303281524436</c:v>
                </c:pt>
                <c:pt idx="15">
                  <c:v>0.27929911748812086</c:v>
                </c:pt>
                <c:pt idx="16">
                  <c:v>0.28040998257053479</c:v>
                </c:pt>
                <c:pt idx="17">
                  <c:v>0.28998161284008811</c:v>
                </c:pt>
                <c:pt idx="18">
                  <c:v>0.29013353046507134</c:v>
                </c:pt>
                <c:pt idx="19">
                  <c:v>0.29236850724804953</c:v>
                </c:pt>
                <c:pt idx="20">
                  <c:v>0.29545075479725275</c:v>
                </c:pt>
                <c:pt idx="21">
                  <c:v>0.30515638148332419</c:v>
                </c:pt>
                <c:pt idx="22">
                  <c:v>0.3054065029616308</c:v>
                </c:pt>
                <c:pt idx="23">
                  <c:v>0.30738900267905322</c:v>
                </c:pt>
                <c:pt idx="24">
                  <c:v>0.31547179206297304</c:v>
                </c:pt>
                <c:pt idx="25">
                  <c:v>0.32014622873502813</c:v>
                </c:pt>
                <c:pt idx="26">
                  <c:v>0.32030758133461867</c:v>
                </c:pt>
                <c:pt idx="27">
                  <c:v>0.33041725882187883</c:v>
                </c:pt>
                <c:pt idx="28">
                  <c:v>0.33240827886640367</c:v>
                </c:pt>
                <c:pt idx="29">
                  <c:v>0.33757729533382363</c:v>
                </c:pt>
                <c:pt idx="30">
                  <c:v>0.34713376000627999</c:v>
                </c:pt>
                <c:pt idx="31">
                  <c:v>0.3487453588769116</c:v>
                </c:pt>
                <c:pt idx="32">
                  <c:v>0.35500247843778798</c:v>
                </c:pt>
                <c:pt idx="33">
                  <c:v>0.35990250248532635</c:v>
                </c:pt>
                <c:pt idx="34">
                  <c:v>0.36214485549435482</c:v>
                </c:pt>
                <c:pt idx="35">
                  <c:v>0.36657970520743349</c:v>
                </c:pt>
                <c:pt idx="36">
                  <c:v>0.37263024532493427</c:v>
                </c:pt>
                <c:pt idx="37">
                  <c:v>0.37505988444146943</c:v>
                </c:pt>
                <c:pt idx="38">
                  <c:v>0.38028962428996904</c:v>
                </c:pt>
                <c:pt idx="39">
                  <c:v>0.38295729747365198</c:v>
                </c:pt>
                <c:pt idx="40">
                  <c:v>0.39047056664826857</c:v>
                </c:pt>
                <c:pt idx="41">
                  <c:v>0.39390731453164618</c:v>
                </c:pt>
                <c:pt idx="42">
                  <c:v>0.39474605687635256</c:v>
                </c:pt>
                <c:pt idx="43">
                  <c:v>0.39590718093924987</c:v>
                </c:pt>
                <c:pt idx="44">
                  <c:v>0.39697075480066385</c:v>
                </c:pt>
                <c:pt idx="45">
                  <c:v>0.39721444038482168</c:v>
                </c:pt>
                <c:pt idx="46">
                  <c:v>0.39753920525096675</c:v>
                </c:pt>
                <c:pt idx="47">
                  <c:v>0.39754150681634504</c:v>
                </c:pt>
                <c:pt idx="48">
                  <c:v>0.39765958730559325</c:v>
                </c:pt>
                <c:pt idx="49">
                  <c:v>0.39799172008848793</c:v>
                </c:pt>
                <c:pt idx="50">
                  <c:v>0.39819310939438546</c:v>
                </c:pt>
                <c:pt idx="51">
                  <c:v>0.39894217638830509</c:v>
                </c:pt>
                <c:pt idx="52">
                  <c:v>0.39669727210679911</c:v>
                </c:pt>
                <c:pt idx="53">
                  <c:v>0.39660549967480957</c:v>
                </c:pt>
                <c:pt idx="54">
                  <c:v>0.39658231506020947</c:v>
                </c:pt>
                <c:pt idx="55">
                  <c:v>0.39626379830618258</c:v>
                </c:pt>
                <c:pt idx="56">
                  <c:v>0.39547543564683085</c:v>
                </c:pt>
                <c:pt idx="57">
                  <c:v>0.39540813251962659</c:v>
                </c:pt>
                <c:pt idx="58">
                  <c:v>0.39520971374781766</c:v>
                </c:pt>
                <c:pt idx="59">
                  <c:v>0.39385852867621524</c:v>
                </c:pt>
                <c:pt idx="60">
                  <c:v>0.39243494031506171</c:v>
                </c:pt>
                <c:pt idx="61">
                  <c:v>0.39234775806542671</c:v>
                </c:pt>
                <c:pt idx="62">
                  <c:v>0.39109758673029088</c:v>
                </c:pt>
                <c:pt idx="63">
                  <c:v>0.39044820293780691</c:v>
                </c:pt>
                <c:pt idx="64">
                  <c:v>0.38905373843758551</c:v>
                </c:pt>
                <c:pt idx="65">
                  <c:v>0.38501811286203347</c:v>
                </c:pt>
                <c:pt idx="66">
                  <c:v>0.38467594217259243</c:v>
                </c:pt>
                <c:pt idx="67">
                  <c:v>0.36762277338000582</c:v>
                </c:pt>
                <c:pt idx="68">
                  <c:v>0.36559879845124188</c:v>
                </c:pt>
                <c:pt idx="69">
                  <c:v>0.36241872456531943</c:v>
                </c:pt>
                <c:pt idx="70">
                  <c:v>0.36069287271668121</c:v>
                </c:pt>
                <c:pt idx="71">
                  <c:v>0.35220569528125373</c:v>
                </c:pt>
                <c:pt idx="72">
                  <c:v>0.35075265694610375</c:v>
                </c:pt>
                <c:pt idx="73">
                  <c:v>0.34777336826627225</c:v>
                </c:pt>
                <c:pt idx="74">
                  <c:v>0.34648859226654344</c:v>
                </c:pt>
                <c:pt idx="75">
                  <c:v>0.34283766541335053</c:v>
                </c:pt>
                <c:pt idx="76">
                  <c:v>0.3406291754669149</c:v>
                </c:pt>
                <c:pt idx="77">
                  <c:v>0.34037237071936066</c:v>
                </c:pt>
                <c:pt idx="78">
                  <c:v>0.33372744867959253</c:v>
                </c:pt>
                <c:pt idx="79">
                  <c:v>0.33253127373868963</c:v>
                </c:pt>
                <c:pt idx="80">
                  <c:v>0.30304072568639456</c:v>
                </c:pt>
                <c:pt idx="81">
                  <c:v>0.30202363115989134</c:v>
                </c:pt>
                <c:pt idx="82">
                  <c:v>0.29372738847163948</c:v>
                </c:pt>
                <c:pt idx="83">
                  <c:v>0.2844836314278365</c:v>
                </c:pt>
                <c:pt idx="84">
                  <c:v>0.26222798818005372</c:v>
                </c:pt>
                <c:pt idx="85">
                  <c:v>0.24619666790911493</c:v>
                </c:pt>
                <c:pt idx="86">
                  <c:v>0.23587811326497235</c:v>
                </c:pt>
                <c:pt idx="87">
                  <c:v>0.21704620770221106</c:v>
                </c:pt>
                <c:pt idx="88">
                  <c:v>0.21536532520363638</c:v>
                </c:pt>
                <c:pt idx="89">
                  <c:v>0.20351308759014883</c:v>
                </c:pt>
                <c:pt idx="90">
                  <c:v>0.17531615822026819</c:v>
                </c:pt>
                <c:pt idx="91">
                  <c:v>0.16679191590283926</c:v>
                </c:pt>
                <c:pt idx="92">
                  <c:v>0.14097567674475422</c:v>
                </c:pt>
                <c:pt idx="93">
                  <c:v>0.11775358319101153</c:v>
                </c:pt>
                <c:pt idx="94">
                  <c:v>5.5599677157195271E-2</c:v>
                </c:pt>
                <c:pt idx="95">
                  <c:v>4.773034824240302E-2</c:v>
                </c:pt>
                <c:pt idx="96">
                  <c:v>4.1320551274160205E-2</c:v>
                </c:pt>
                <c:pt idx="97">
                  <c:v>2.6657311192648241E-2</c:v>
                </c:pt>
                <c:pt idx="98">
                  <c:v>2.5635857786276636E-2</c:v>
                </c:pt>
                <c:pt idx="99">
                  <c:v>4.4130717340369737E-3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2347584"/>
        <c:axId val="322348160"/>
      </c:scatterChart>
      <c:valAx>
        <c:axId val="32234758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Z-Score</a:t>
                </a:r>
              </a:p>
            </c:rich>
          </c:tx>
          <c:layout>
            <c:manualLayout>
              <c:xMode val="edge"/>
              <c:yMode val="edge"/>
              <c:x val="0.50796474651194912"/>
              <c:y val="0.81488838973498223"/>
            </c:manualLayout>
          </c:layout>
          <c:overlay val="0"/>
        </c:title>
        <c:numFmt formatCode="General" sourceLinked="1"/>
        <c:majorTickMark val="none"/>
        <c:minorTickMark val="none"/>
        <c:tickLblPos val="nextTo"/>
        <c:crossAx val="322348160"/>
        <c:crosses val="autoZero"/>
        <c:crossBetween val="midCat"/>
      </c:valAx>
      <c:valAx>
        <c:axId val="322348160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Probability</a:t>
                </a:r>
              </a:p>
            </c:rich>
          </c:tx>
          <c:layout>
            <c:manualLayout>
              <c:xMode val="edge"/>
              <c:yMode val="edge"/>
              <c:x val="0.92912280701754391"/>
              <c:y val="0.30205415545627323"/>
            </c:manualLayout>
          </c:layout>
          <c:overlay val="0"/>
        </c:title>
        <c:numFmt formatCode="General" sourceLinked="1"/>
        <c:majorTickMark val="none"/>
        <c:minorTickMark val="none"/>
        <c:tickLblPos val="nextTo"/>
        <c:crossAx val="322347584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21"/>
    </mc:Choice>
    <mc:Fallback>
      <c:style val="21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 Distributions</a:t>
            </a:r>
            <a:r>
              <a:rPr lang="en-US" baseline="0"/>
              <a:t> of Data</a:t>
            </a:r>
            <a:endParaRPr lang="en-US"/>
          </a:p>
        </c:rich>
      </c:tx>
      <c:layout>
        <c:manualLayout>
          <c:xMode val="edge"/>
          <c:yMode val="edge"/>
          <c:x val="0.36915770351095778"/>
          <c:y val="2.5084891585113633E-2"/>
        </c:manualLayout>
      </c:layout>
      <c:overlay val="0"/>
    </c:title>
    <c:autoTitleDeleted val="0"/>
    <c:plotArea>
      <c:layout/>
      <c:scatterChart>
        <c:scatterStyle val="lineMarker"/>
        <c:varyColors val="0"/>
        <c:ser>
          <c:idx val="1"/>
          <c:order val="1"/>
          <c:tx>
            <c:v>(B)</c:v>
          </c:tx>
          <c:spPr>
            <a:ln w="25400">
              <a:noFill/>
            </a:ln>
          </c:spPr>
          <c:marker>
            <c:symbol val="circle"/>
            <c:size val="2"/>
            <c:spPr>
              <a:solidFill>
                <a:srgbClr val="92D050"/>
              </a:solidFill>
            </c:spPr>
          </c:marker>
          <c:xVal>
            <c:numRef>
              <c:f>[0]!Bdata</c:f>
              <c:numCache>
                <c:formatCode>General</c:formatCode>
                <c:ptCount val="100"/>
                <c:pt idx="0">
                  <c:v>0.38356183469295502</c:v>
                </c:pt>
                <c:pt idx="1">
                  <c:v>0.73411747254431248</c:v>
                </c:pt>
                <c:pt idx="2">
                  <c:v>1.1886465447023511</c:v>
                </c:pt>
                <c:pt idx="3">
                  <c:v>1.39556568430271</c:v>
                </c:pt>
                <c:pt idx="4">
                  <c:v>1.6655764713650569</c:v>
                </c:pt>
                <c:pt idx="5">
                  <c:v>1.8318139129551128</c:v>
                </c:pt>
                <c:pt idx="6">
                  <c:v>1.9626629156991839</c:v>
                </c:pt>
                <c:pt idx="7">
                  <c:v>1.9794021656853147</c:v>
                </c:pt>
                <c:pt idx="8">
                  <c:v>2.0631529852980748</c:v>
                </c:pt>
                <c:pt idx="9">
                  <c:v>2.0644399203010835</c:v>
                </c:pt>
                <c:pt idx="10">
                  <c:v>2.1152943165507168</c:v>
                </c:pt>
                <c:pt idx="11">
                  <c:v>2.1182820066460408</c:v>
                </c:pt>
                <c:pt idx="12">
                  <c:v>2.2412911650608294</c:v>
                </c:pt>
                <c:pt idx="13">
                  <c:v>2.3811214279849082</c:v>
                </c:pt>
                <c:pt idx="14">
                  <c:v>2.3899458003288601</c:v>
                </c:pt>
                <c:pt idx="15">
                  <c:v>2.4623802321148105</c:v>
                </c:pt>
                <c:pt idx="16">
                  <c:v>2.4677394296450075</c:v>
                </c:pt>
                <c:pt idx="17">
                  <c:v>2.514319200796308</c:v>
                </c:pt>
                <c:pt idx="18">
                  <c:v>2.5150649864517618</c:v>
                </c:pt>
                <c:pt idx="19">
                  <c:v>2.5260630511329509</c:v>
                </c:pt>
                <c:pt idx="20">
                  <c:v>2.5413152772816829</c:v>
                </c:pt>
                <c:pt idx="21">
                  <c:v>2.5900801094539929</c:v>
                </c:pt>
                <c:pt idx="22">
                  <c:v>2.591353402036475</c:v>
                </c:pt>
                <c:pt idx="23">
                  <c:v>2.6014783518039621</c:v>
                </c:pt>
                <c:pt idx="24">
                  <c:v>2.6434151525027119</c:v>
                </c:pt>
                <c:pt idx="25">
                  <c:v>2.6682147992833052</c:v>
                </c:pt>
                <c:pt idx="26">
                  <c:v>2.6690788192499895</c:v>
                </c:pt>
                <c:pt idx="27">
                  <c:v>2.7244283930631354</c:v>
                </c:pt>
                <c:pt idx="28">
                  <c:v>2.7356435996043729</c:v>
                </c:pt>
                <c:pt idx="29">
                  <c:v>2.7653260960651096</c:v>
                </c:pt>
                <c:pt idx="30">
                  <c:v>2.8227470440615434</c:v>
                </c:pt>
                <c:pt idx="31">
                  <c:v>2.8328151504101697</c:v>
                </c:pt>
                <c:pt idx="32">
                  <c:v>2.8731807990116067</c:v>
                </c:pt>
                <c:pt idx="33">
                  <c:v>2.9064489783340832</c:v>
                </c:pt>
                <c:pt idx="34">
                  <c:v>2.9222503119090106</c:v>
                </c:pt>
                <c:pt idx="35">
                  <c:v>2.9547613368922612</c:v>
                </c:pt>
                <c:pt idx="36">
                  <c:v>3.0024381860275753</c:v>
                </c:pt>
                <c:pt idx="37">
                  <c:v>3.0229404703422915</c:v>
                </c:pt>
                <c:pt idx="38">
                  <c:v>3.0705866240314208</c:v>
                </c:pt>
                <c:pt idx="39">
                  <c:v>3.0972802935284562</c:v>
                </c:pt>
                <c:pt idx="40">
                  <c:v>3.1868587004428264</c:v>
                </c:pt>
                <c:pt idx="41">
                  <c:v>3.2412146512942854</c:v>
                </c:pt>
                <c:pt idx="42">
                  <c:v>3.2570819232350914</c:v>
                </c:pt>
                <c:pt idx="43">
                  <c:v>3.2819077179883607</c:v>
                </c:pt>
                <c:pt idx="44">
                  <c:v>3.3092471287236549</c:v>
                </c:pt>
                <c:pt idx="45">
                  <c:v>3.3164878434181446</c:v>
                </c:pt>
                <c:pt idx="46">
                  <c:v>3.3269800016714726</c:v>
                </c:pt>
                <c:pt idx="47">
                  <c:v>3.3270584455895005</c:v>
                </c:pt>
                <c:pt idx="48">
                  <c:v>3.3311727722466458</c:v>
                </c:pt>
                <c:pt idx="49">
                  <c:v>3.3438852344406769</c:v>
                </c:pt>
                <c:pt idx="50">
                  <c:v>3.3527073330478743</c:v>
                </c:pt>
                <c:pt idx="51">
                  <c:v>3.4232352365652332</c:v>
                </c:pt>
                <c:pt idx="52">
                  <c:v>3.5431964508607052</c:v>
                </c:pt>
                <c:pt idx="53">
                  <c:v>3.5456475390819833</c:v>
                </c:pt>
                <c:pt idx="54">
                  <c:v>3.5462591742689256</c:v>
                </c:pt>
                <c:pt idx="55">
                  <c:v>3.5543786882190034</c:v>
                </c:pt>
                <c:pt idx="56">
                  <c:v>3.5726231519365683</c:v>
                </c:pt>
                <c:pt idx="57">
                  <c:v>3.5740806171961594</c:v>
                </c:pt>
                <c:pt idx="58">
                  <c:v>3.5782995357440086</c:v>
                </c:pt>
                <c:pt idx="59">
                  <c:v>3.6044952568918234</c:v>
                </c:pt>
                <c:pt idx="60">
                  <c:v>3.6286036876990693</c:v>
                </c:pt>
                <c:pt idx="61">
                  <c:v>3.6299918039876502</c:v>
                </c:pt>
                <c:pt idx="62">
                  <c:v>3.6489945589128183</c:v>
                </c:pt>
                <c:pt idx="63">
                  <c:v>3.6582839104230516</c:v>
                </c:pt>
                <c:pt idx="64">
                  <c:v>3.6771365987224272</c:v>
                </c:pt>
                <c:pt idx="65">
                  <c:v>3.7254625997011317</c:v>
                </c:pt>
                <c:pt idx="66">
                  <c:v>3.7292313183716033</c:v>
                </c:pt>
                <c:pt idx="67">
                  <c:v>3.8821469363174401</c:v>
                </c:pt>
                <c:pt idx="68">
                  <c:v>3.8974150786234532</c:v>
                </c:pt>
                <c:pt idx="69">
                  <c:v>3.9206208359391894</c:v>
                </c:pt>
                <c:pt idx="70">
                  <c:v>3.9328546765464125</c:v>
                </c:pt>
                <c:pt idx="71">
                  <c:v>3.9899561645288486</c:v>
                </c:pt>
                <c:pt idx="72">
                  <c:v>3.9992944013793021</c:v>
                </c:pt>
                <c:pt idx="73">
                  <c:v>4.0181004780752119</c:v>
                </c:pt>
                <c:pt idx="74">
                  <c:v>4.0260778834781377</c:v>
                </c:pt>
                <c:pt idx="75">
                  <c:v>4.048347998119425</c:v>
                </c:pt>
                <c:pt idx="76">
                  <c:v>4.0615538611891679</c:v>
                </c:pt>
                <c:pt idx="77">
                  <c:v>4.0630772648146376</c:v>
                </c:pt>
                <c:pt idx="78">
                  <c:v>4.1016898623784073</c:v>
                </c:pt>
                <c:pt idx="79">
                  <c:v>4.1084883352741599</c:v>
                </c:pt>
                <c:pt idx="80">
                  <c:v>4.2654830369574483</c:v>
                </c:pt>
                <c:pt idx="81">
                  <c:v>4.2706216820224654</c:v>
                </c:pt>
                <c:pt idx="82">
                  <c:v>4.3120537131617311</c:v>
                </c:pt>
                <c:pt idx="83">
                  <c:v>4.3573579179937951</c:v>
                </c:pt>
                <c:pt idx="84">
                  <c:v>4.4639052223064937</c:v>
                </c:pt>
                <c:pt idx="85">
                  <c:v>4.5394546734460164</c:v>
                </c:pt>
                <c:pt idx="86">
                  <c:v>4.5879443834710401</c:v>
                </c:pt>
                <c:pt idx="87">
                  <c:v>4.6768270269385539</c:v>
                </c:pt>
                <c:pt idx="88">
                  <c:v>4.6848123904201202</c:v>
                </c:pt>
                <c:pt idx="89">
                  <c:v>4.741496647708118</c:v>
                </c:pt>
                <c:pt idx="90">
                  <c:v>4.880328740197001</c:v>
                </c:pt>
                <c:pt idx="91">
                  <c:v>4.9238685253076255</c:v>
                </c:pt>
                <c:pt idx="92">
                  <c:v>5.0622526916558854</c:v>
                </c:pt>
                <c:pt idx="93">
                  <c:v>5.1984677131404169</c:v>
                </c:pt>
                <c:pt idx="94">
                  <c:v>5.6794585336465389</c:v>
                </c:pt>
                <c:pt idx="95">
                  <c:v>5.765223884023726</c:v>
                </c:pt>
                <c:pt idx="96">
                  <c:v>5.8434768081642687</c:v>
                </c:pt>
                <c:pt idx="97">
                  <c:v>6.0671397452242672</c:v>
                </c:pt>
                <c:pt idx="98">
                  <c:v>6.0861663743853569</c:v>
                </c:pt>
                <c:pt idx="99">
                  <c:v>6.8347168937325478</c:v>
                </c:pt>
              </c:numCache>
            </c:numRef>
          </c:xVal>
          <c:yVal>
            <c:numRef>
              <c:f>[0]!Bdistp</c:f>
              <c:numCache>
                <c:formatCode>General</c:formatCode>
                <c:ptCount val="100"/>
                <c:pt idx="0">
                  <c:v>9.8574473537831088E-3</c:v>
                </c:pt>
                <c:pt idx="1">
                  <c:v>2.1431720121598753E-2</c:v>
                </c:pt>
                <c:pt idx="2">
                  <c:v>5.0922765683331123E-2</c:v>
                </c:pt>
                <c:pt idx="3">
                  <c:v>7.161796698610548E-2</c:v>
                </c:pt>
                <c:pt idx="4">
                  <c:v>0.10633045229816473</c:v>
                </c:pt>
                <c:pt idx="5">
                  <c:v>0.13186968930593704</c:v>
                </c:pt>
                <c:pt idx="6">
                  <c:v>0.15388633503547142</c:v>
                </c:pt>
                <c:pt idx="7">
                  <c:v>0.15680619939220147</c:v>
                </c:pt>
                <c:pt idx="8">
                  <c:v>0.17170849638837851</c:v>
                </c:pt>
                <c:pt idx="9">
                  <c:v>0.17194092868458691</c:v>
                </c:pt>
                <c:pt idx="10">
                  <c:v>0.18119604348928567</c:v>
                </c:pt>
                <c:pt idx="11">
                  <c:v>0.18174370923814687</c:v>
                </c:pt>
                <c:pt idx="12">
                  <c:v>0.20455908291171082</c:v>
                </c:pt>
                <c:pt idx="13">
                  <c:v>0.23068898636498369</c:v>
                </c:pt>
                <c:pt idx="14">
                  <c:v>0.23232781874317626</c:v>
                </c:pt>
                <c:pt idx="15">
                  <c:v>0.24566770029213925</c:v>
                </c:pt>
                <c:pt idx="16">
                  <c:v>0.24664480209104866</c:v>
                </c:pt>
                <c:pt idx="17">
                  <c:v>0.25506387773122791</c:v>
                </c:pt>
                <c:pt idx="18">
                  <c:v>0.25519750240537337</c:v>
                </c:pt>
                <c:pt idx="19">
                  <c:v>0.25716335754812703</c:v>
                </c:pt>
                <c:pt idx="20">
                  <c:v>0.25987446051885532</c:v>
                </c:pt>
                <c:pt idx="21">
                  <c:v>0.26841139758226223</c:v>
                </c:pt>
                <c:pt idx="22">
                  <c:v>0.26863140102846678</c:v>
                </c:pt>
                <c:pt idx="23">
                  <c:v>0.27037518078254963</c:v>
                </c:pt>
                <c:pt idx="24">
                  <c:v>0.27748469225452105</c:v>
                </c:pt>
                <c:pt idx="25">
                  <c:v>0.2815962630955347</c:v>
                </c:pt>
                <c:pt idx="26">
                  <c:v>0.28173818664486078</c:v>
                </c:pt>
                <c:pt idx="27">
                  <c:v>0.29063052129069461</c:v>
                </c:pt>
                <c:pt idx="28">
                  <c:v>0.29238179540846826</c:v>
                </c:pt>
                <c:pt idx="29">
                  <c:v>0.29692839190237691</c:v>
                </c:pt>
                <c:pt idx="30">
                  <c:v>0.30533412808987231</c:v>
                </c:pt>
                <c:pt idx="31">
                  <c:v>0.30675166850998592</c:v>
                </c:pt>
                <c:pt idx="32">
                  <c:v>0.31225534566728608</c:v>
                </c:pt>
                <c:pt idx="33">
                  <c:v>0.31656534009176229</c:v>
                </c:pt>
                <c:pt idx="34">
                  <c:v>0.31853768326250154</c:v>
                </c:pt>
                <c:pt idx="35">
                  <c:v>0.32243851667705614</c:v>
                </c:pt>
                <c:pt idx="36">
                  <c:v>0.32776048936912866</c:v>
                </c:pt>
                <c:pt idx="37">
                  <c:v>0.3298975668495987</c:v>
                </c:pt>
                <c:pt idx="38">
                  <c:v>0.3344975748025838</c:v>
                </c:pt>
                <c:pt idx="39">
                  <c:v>0.3368440238070074</c:v>
                </c:pt>
                <c:pt idx="40">
                  <c:v>0.34345259305851028</c:v>
                </c:pt>
                <c:pt idx="41">
                  <c:v>0.34647550969564989</c:v>
                </c:pt>
                <c:pt idx="42">
                  <c:v>0.34721325604019537</c:v>
                </c:pt>
                <c:pt idx="43">
                  <c:v>0.34823456495391936</c:v>
                </c:pt>
                <c:pt idx="44">
                  <c:v>0.34917007003884148</c:v>
                </c:pt>
                <c:pt idx="45">
                  <c:v>0.34938441256019565</c:v>
                </c:pt>
                <c:pt idx="46">
                  <c:v>0.34967007131386119</c:v>
                </c:pt>
                <c:pt idx="47">
                  <c:v>0.34967209573942559</c:v>
                </c:pt>
                <c:pt idx="48">
                  <c:v>0.34977595772976727</c:v>
                </c:pt>
                <c:pt idx="49">
                  <c:v>0.35006809720267063</c:v>
                </c:pt>
                <c:pt idx="50">
                  <c:v>0.35024523649365097</c:v>
                </c:pt>
                <c:pt idx="51">
                  <c:v>0.35090410562082897</c:v>
                </c:pt>
                <c:pt idx="52">
                  <c:v>0.34892951838556135</c:v>
                </c:pt>
                <c:pt idx="53">
                  <c:v>0.34884879660412554</c:v>
                </c:pt>
                <c:pt idx="54">
                  <c:v>0.34882840373284763</c:v>
                </c:pt>
                <c:pt idx="55">
                  <c:v>0.34854824073351548</c:v>
                </c:pt>
                <c:pt idx="56">
                  <c:v>0.34785480767414545</c:v>
                </c:pt>
                <c:pt idx="57">
                  <c:v>0.34779560875997972</c:v>
                </c:pt>
                <c:pt idx="58">
                  <c:v>0.34762108231033145</c:v>
                </c:pt>
                <c:pt idx="59">
                  <c:v>0.34643259832157081</c:v>
                </c:pt>
                <c:pt idx="60">
                  <c:v>0.34518042938529714</c:v>
                </c:pt>
                <c:pt idx="61">
                  <c:v>0.34510374506575209</c:v>
                </c:pt>
                <c:pt idx="62">
                  <c:v>0.3440041113839985</c:v>
                </c:pt>
                <c:pt idx="63">
                  <c:v>0.3434329222433336</c:v>
                </c:pt>
                <c:pt idx="64">
                  <c:v>0.34220637025853184</c:v>
                </c:pt>
                <c:pt idx="65">
                  <c:v>0.3386566889587756</c:v>
                </c:pt>
                <c:pt idx="66">
                  <c:v>0.33835572027996863</c:v>
                </c:pt>
                <c:pt idx="67">
                  <c:v>0.32335598523731635</c:v>
                </c:pt>
                <c:pt idx="68">
                  <c:v>0.32157572445214028</c:v>
                </c:pt>
                <c:pt idx="69">
                  <c:v>0.31877857476781707</c:v>
                </c:pt>
                <c:pt idx="70">
                  <c:v>0.31726053898412748</c:v>
                </c:pt>
                <c:pt idx="71">
                  <c:v>0.30979533328894127</c:v>
                </c:pt>
                <c:pt idx="72">
                  <c:v>0.30851726055658535</c:v>
                </c:pt>
                <c:pt idx="73">
                  <c:v>0.30589671880527919</c:v>
                </c:pt>
                <c:pt idx="74">
                  <c:v>0.30476664733179037</c:v>
                </c:pt>
                <c:pt idx="75">
                  <c:v>0.30155534178945598</c:v>
                </c:pt>
                <c:pt idx="76">
                  <c:v>0.2996127841074317</c:v>
                </c:pt>
                <c:pt idx="77">
                  <c:v>0.29938690214860869</c:v>
                </c:pt>
                <c:pt idx="78">
                  <c:v>0.29354211921190709</c:v>
                </c:pt>
                <c:pt idx="79">
                  <c:v>0.29248998002320664</c:v>
                </c:pt>
                <c:pt idx="80">
                  <c:v>0.26655049555394295</c:v>
                </c:pt>
                <c:pt idx="81">
                  <c:v>0.26565587305906019</c:v>
                </c:pt>
                <c:pt idx="82">
                  <c:v>0.25835861096737106</c:v>
                </c:pt>
                <c:pt idx="83">
                  <c:v>0.25022792815163702</c:v>
                </c:pt>
                <c:pt idx="84">
                  <c:v>0.23065216742465364</c:v>
                </c:pt>
                <c:pt idx="85">
                  <c:v>0.21655123642627414</c:v>
                </c:pt>
                <c:pt idx="86">
                  <c:v>0.20747517627770207</c:v>
                </c:pt>
                <c:pt idx="87">
                  <c:v>0.19091088859455507</c:v>
                </c:pt>
                <c:pt idx="88">
                  <c:v>0.18943240723879601</c:v>
                </c:pt>
                <c:pt idx="89">
                  <c:v>0.17900734043583585</c:v>
                </c:pt>
                <c:pt idx="90">
                  <c:v>0.154205705343333</c:v>
                </c:pt>
                <c:pt idx="91">
                  <c:v>0.14670789788268188</c:v>
                </c:pt>
                <c:pt idx="92">
                  <c:v>0.12400028548061846</c:v>
                </c:pt>
                <c:pt idx="93">
                  <c:v>0.1035744482254774</c:v>
                </c:pt>
                <c:pt idx="94">
                  <c:v>4.8904718880017566E-2</c:v>
                </c:pt>
                <c:pt idx="95">
                  <c:v>4.1982964329820419E-2</c:v>
                </c:pt>
                <c:pt idx="96">
                  <c:v>3.6344994204137109E-2</c:v>
                </c:pt>
                <c:pt idx="97">
                  <c:v>2.3447407910081677E-2</c:v>
                </c:pt>
                <c:pt idx="98">
                  <c:v>2.2548951403825238E-2</c:v>
                </c:pt>
                <c:pt idx="99">
                  <c:v>3.8816778007585988E-3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2349888"/>
        <c:axId val="322350464"/>
      </c:scatterChart>
      <c:scatterChart>
        <c:scatterStyle val="lineMarker"/>
        <c:varyColors val="0"/>
        <c:ser>
          <c:idx val="0"/>
          <c:order val="0"/>
          <c:tx>
            <c:v>(A)</c:v>
          </c:tx>
          <c:spPr>
            <a:ln w="25400">
              <a:noFill/>
            </a:ln>
          </c:spPr>
          <c:marker>
            <c:symbol val="circle"/>
            <c:size val="3"/>
            <c:spPr>
              <a:solidFill>
                <a:schemeClr val="accent6"/>
              </a:solidFill>
              <a:ln>
                <a:noFill/>
              </a:ln>
            </c:spPr>
          </c:marker>
          <c:xVal>
            <c:numRef>
              <c:f>[0]!Adata</c:f>
              <c:numCache>
                <c:formatCode>General</c:formatCode>
                <c:ptCount val="100"/>
                <c:pt idx="0">
                  <c:v>-1.8912123778136447</c:v>
                </c:pt>
                <c:pt idx="1">
                  <c:v>-1.7674619812169112</c:v>
                </c:pt>
                <c:pt idx="2">
                  <c:v>-1.751277522998862</c:v>
                </c:pt>
                <c:pt idx="3">
                  <c:v>-1.7099046090152115</c:v>
                </c:pt>
                <c:pt idx="4">
                  <c:v>-1.6104331734823063</c:v>
                </c:pt>
                <c:pt idx="5">
                  <c:v>-1.5558043742203154</c:v>
                </c:pt>
                <c:pt idx="6">
                  <c:v>-1.4577790352632292</c:v>
                </c:pt>
                <c:pt idx="7">
                  <c:v>-1.3973885870655067</c:v>
                </c:pt>
                <c:pt idx="8">
                  <c:v>-1.298019469686551</c:v>
                </c:pt>
                <c:pt idx="9">
                  <c:v>-1.2974851415492594</c:v>
                </c:pt>
                <c:pt idx="10">
                  <c:v>-1.2217333278385922</c:v>
                </c:pt>
                <c:pt idx="11">
                  <c:v>-1.194125616166275</c:v>
                </c:pt>
                <c:pt idx="12">
                  <c:v>-1.19194282888202</c:v>
                </c:pt>
                <c:pt idx="13">
                  <c:v>-1.1786619324993808</c:v>
                </c:pt>
                <c:pt idx="14">
                  <c:v>-1.0199573807767592</c:v>
                </c:pt>
                <c:pt idx="15">
                  <c:v>-0.98916871138499118</c:v>
                </c:pt>
                <c:pt idx="16">
                  <c:v>-0.965490016824333</c:v>
                </c:pt>
                <c:pt idx="17">
                  <c:v>-0.85901547208777629</c:v>
                </c:pt>
                <c:pt idx="18">
                  <c:v>-0.83829036157112569</c:v>
                </c:pt>
                <c:pt idx="19">
                  <c:v>-0.80346694630861748</c:v>
                </c:pt>
                <c:pt idx="20">
                  <c:v>-0.77660615716013126</c:v>
                </c:pt>
                <c:pt idx="21">
                  <c:v>-0.73697947300388478</c:v>
                </c:pt>
                <c:pt idx="22">
                  <c:v>-0.59565081755863503</c:v>
                </c:pt>
                <c:pt idx="23">
                  <c:v>-0.54435076890513301</c:v>
                </c:pt>
                <c:pt idx="24">
                  <c:v>-0.50928292694152333</c:v>
                </c:pt>
                <c:pt idx="25">
                  <c:v>-0.49756181397242472</c:v>
                </c:pt>
                <c:pt idx="26">
                  <c:v>-0.48066226554510649</c:v>
                </c:pt>
                <c:pt idx="27">
                  <c:v>-0.43630166146613192</c:v>
                </c:pt>
                <c:pt idx="28">
                  <c:v>-0.43016825657105073</c:v>
                </c:pt>
                <c:pt idx="29">
                  <c:v>-0.42053784454765264</c:v>
                </c:pt>
                <c:pt idx="30">
                  <c:v>-0.40595750760985538</c:v>
                </c:pt>
                <c:pt idx="31">
                  <c:v>-0.39435462895198725</c:v>
                </c:pt>
                <c:pt idx="32">
                  <c:v>-0.37565314414678141</c:v>
                </c:pt>
                <c:pt idx="33">
                  <c:v>-0.37524273466260638</c:v>
                </c:pt>
                <c:pt idx="34">
                  <c:v>-0.36942083170288242</c:v>
                </c:pt>
                <c:pt idx="35">
                  <c:v>-0.36663777791545726</c:v>
                </c:pt>
                <c:pt idx="36">
                  <c:v>-0.33329115467495285</c:v>
                </c:pt>
                <c:pt idx="37">
                  <c:v>-0.28179556466056965</c:v>
                </c:pt>
                <c:pt idx="38">
                  <c:v>-0.2761498762993142</c:v>
                </c:pt>
                <c:pt idx="39">
                  <c:v>-0.27027340365748387</c:v>
                </c:pt>
                <c:pt idx="40">
                  <c:v>-0.22852418624097481</c:v>
                </c:pt>
                <c:pt idx="41">
                  <c:v>-0.18849277694243938</c:v>
                </c:pt>
                <c:pt idx="42">
                  <c:v>-0.16665580915287137</c:v>
                </c:pt>
                <c:pt idx="43">
                  <c:v>-0.13107182894600555</c:v>
                </c:pt>
                <c:pt idx="44">
                  <c:v>-0.10180428944295272</c:v>
                </c:pt>
                <c:pt idx="45">
                  <c:v>-9.888253771350719E-2</c:v>
                </c:pt>
                <c:pt idx="46">
                  <c:v>-8.8739398051984608E-2</c:v>
                </c:pt>
                <c:pt idx="47">
                  <c:v>-8.4517068899003789E-2</c:v>
                </c:pt>
                <c:pt idx="48">
                  <c:v>-2.1535697669605725E-2</c:v>
                </c:pt>
                <c:pt idx="49">
                  <c:v>-1.5720615920145065E-2</c:v>
                </c:pt>
                <c:pt idx="50">
                  <c:v>1.2507825886132196E-2</c:v>
                </c:pt>
                <c:pt idx="51">
                  <c:v>1.9393837646930479E-2</c:v>
                </c:pt>
                <c:pt idx="52">
                  <c:v>6.3114384829532355E-2</c:v>
                </c:pt>
                <c:pt idx="53">
                  <c:v>0.10272628969687503</c:v>
                </c:pt>
                <c:pt idx="54">
                  <c:v>0.13045450941717718</c:v>
                </c:pt>
                <c:pt idx="55">
                  <c:v>0.14280885807238519</c:v>
                </c:pt>
                <c:pt idx="56">
                  <c:v>0.16642275113554206</c:v>
                </c:pt>
                <c:pt idx="57">
                  <c:v>0.1701471319393022</c:v>
                </c:pt>
                <c:pt idx="58">
                  <c:v>0.19542881091183517</c:v>
                </c:pt>
                <c:pt idx="59">
                  <c:v>0.21065716282464564</c:v>
                </c:pt>
                <c:pt idx="60">
                  <c:v>0.24938344722613692</c:v>
                </c:pt>
                <c:pt idx="61">
                  <c:v>0.2568879153841408</c:v>
                </c:pt>
                <c:pt idx="62">
                  <c:v>0.3538229975674767</c:v>
                </c:pt>
                <c:pt idx="63">
                  <c:v>0.36974938666389789</c:v>
                </c:pt>
                <c:pt idx="64">
                  <c:v>0.37524273466260638</c:v>
                </c:pt>
                <c:pt idx="65">
                  <c:v>0.38041889638407156</c:v>
                </c:pt>
                <c:pt idx="66">
                  <c:v>0.41669636630103923</c:v>
                </c:pt>
                <c:pt idx="67">
                  <c:v>0.43025238483096473</c:v>
                </c:pt>
                <c:pt idx="68">
                  <c:v>0.43579689190664794</c:v>
                </c:pt>
                <c:pt idx="69">
                  <c:v>0.43646991798595991</c:v>
                </c:pt>
                <c:pt idx="70">
                  <c:v>0.45014303395873867</c:v>
                </c:pt>
                <c:pt idx="71">
                  <c:v>0.47928892854542937</c:v>
                </c:pt>
                <c:pt idx="72">
                  <c:v>0.50206836021970958</c:v>
                </c:pt>
                <c:pt idx="73">
                  <c:v>0.54452812037197873</c:v>
                </c:pt>
                <c:pt idx="74">
                  <c:v>0.58019168136524968</c:v>
                </c:pt>
                <c:pt idx="75">
                  <c:v>0.63222842072718777</c:v>
                </c:pt>
                <c:pt idx="76">
                  <c:v>0.65395852288929746</c:v>
                </c:pt>
                <c:pt idx="77">
                  <c:v>0.67879341258958448</c:v>
                </c:pt>
                <c:pt idx="78">
                  <c:v>0.68004624154127669</c:v>
                </c:pt>
                <c:pt idx="79">
                  <c:v>0.7207165708678076</c:v>
                </c:pt>
                <c:pt idx="80">
                  <c:v>0.77340359894151334</c:v>
                </c:pt>
                <c:pt idx="81">
                  <c:v>0.81727648648666218</c:v>
                </c:pt>
                <c:pt idx="82">
                  <c:v>0.84472048911266029</c:v>
                </c:pt>
                <c:pt idx="83">
                  <c:v>0.87147327576531097</c:v>
                </c:pt>
                <c:pt idx="84">
                  <c:v>0.93142489276942797</c:v>
                </c:pt>
                <c:pt idx="85">
                  <c:v>0.94556526164524257</c:v>
                </c:pt>
                <c:pt idx="86">
                  <c:v>1.0312191989214625</c:v>
                </c:pt>
                <c:pt idx="87">
                  <c:v>1.0370945346949156</c:v>
                </c:pt>
                <c:pt idx="88">
                  <c:v>1.2127475201850757</c:v>
                </c:pt>
                <c:pt idx="89">
                  <c:v>1.314901965088211</c:v>
                </c:pt>
                <c:pt idx="90">
                  <c:v>1.3409498933469877</c:v>
                </c:pt>
                <c:pt idx="91">
                  <c:v>1.3466114978655241</c:v>
                </c:pt>
                <c:pt idx="92">
                  <c:v>1.3609542293124832</c:v>
                </c:pt>
                <c:pt idx="93">
                  <c:v>1.5286695997929201</c:v>
                </c:pt>
                <c:pt idx="94">
                  <c:v>1.5963269106578082</c:v>
                </c:pt>
                <c:pt idx="95">
                  <c:v>1.6020976545405574</c:v>
                </c:pt>
                <c:pt idx="96">
                  <c:v>1.7566253518452868</c:v>
                </c:pt>
                <c:pt idx="97">
                  <c:v>1.7744332581060007</c:v>
                </c:pt>
                <c:pt idx="98">
                  <c:v>2.0686820789705962</c:v>
                </c:pt>
                <c:pt idx="99">
                  <c:v>2.3146822059061378</c:v>
                </c:pt>
              </c:numCache>
            </c:numRef>
          </c:xVal>
          <c:yVal>
            <c:numRef>
              <c:f>[0]!Adistp</c:f>
              <c:numCache>
                <c:formatCode>General</c:formatCode>
                <c:ptCount val="100"/>
                <c:pt idx="0">
                  <c:v>5.130023801469652E-2</c:v>
                </c:pt>
                <c:pt idx="1">
                  <c:v>6.7074567138003527E-2</c:v>
                </c:pt>
                <c:pt idx="2">
                  <c:v>6.9375761449180368E-2</c:v>
                </c:pt>
                <c:pt idx="3">
                  <c:v>7.5517869418956093E-2</c:v>
                </c:pt>
                <c:pt idx="4">
                  <c:v>9.1843867083500549E-2</c:v>
                </c:pt>
                <c:pt idx="5">
                  <c:v>0.1017611557812841</c:v>
                </c:pt>
                <c:pt idx="6">
                  <c:v>0.12124631415689015</c:v>
                </c:pt>
                <c:pt idx="7">
                  <c:v>0.13430750942565187</c:v>
                </c:pt>
                <c:pt idx="8">
                  <c:v>0.15745505000324647</c:v>
                </c:pt>
                <c:pt idx="9">
                  <c:v>0.15758478856474911</c:v>
                </c:pt>
                <c:pt idx="10">
                  <c:v>0.17650206061044829</c:v>
                </c:pt>
                <c:pt idx="11">
                  <c:v>0.18363903093376444</c:v>
                </c:pt>
                <c:pt idx="12">
                  <c:v>0.18420842892976289</c:v>
                </c:pt>
                <c:pt idx="13">
                  <c:v>0.18768844572049487</c:v>
                </c:pt>
                <c:pt idx="14">
                  <c:v>0.23099183552108221</c:v>
                </c:pt>
                <c:pt idx="15">
                  <c:v>0.23966120085857121</c:v>
                </c:pt>
                <c:pt idx="16">
                  <c:v>0.24636238545637557</c:v>
                </c:pt>
                <c:pt idx="17">
                  <c:v>0.27662445117806761</c:v>
                </c:pt>
                <c:pt idx="18">
                  <c:v>0.28249539942928614</c:v>
                </c:pt>
                <c:pt idx="19">
                  <c:v>0.29230935118477774</c:v>
                </c:pt>
                <c:pt idx="20">
                  <c:v>0.29981935606014565</c:v>
                </c:pt>
                <c:pt idx="21">
                  <c:v>0.31077051197171912</c:v>
                </c:pt>
                <c:pt idx="22">
                  <c:v>0.34791737034553705</c:v>
                </c:pt>
                <c:pt idx="23">
                  <c:v>0.36037297065117441</c:v>
                </c:pt>
                <c:pt idx="24">
                  <c:v>0.36848627224042191</c:v>
                </c:pt>
                <c:pt idx="25">
                  <c:v>0.37111891313275014</c:v>
                </c:pt>
                <c:pt idx="26">
                  <c:v>0.37484119662264759</c:v>
                </c:pt>
                <c:pt idx="27">
                  <c:v>0.38417629839936068</c:v>
                </c:pt>
                <c:pt idx="28">
                  <c:v>0.38541497001135328</c:v>
                </c:pt>
                <c:pt idx="29">
                  <c:v>0.38733336850198591</c:v>
                </c:pt>
                <c:pt idx="30">
                  <c:v>0.39017500108449915</c:v>
                </c:pt>
                <c:pt idx="31">
                  <c:v>0.39238113701183608</c:v>
                </c:pt>
                <c:pt idx="32">
                  <c:v>0.39583134655826491</c:v>
                </c:pt>
                <c:pt idx="33">
                  <c:v>0.39590557579506824</c:v>
                </c:pt>
                <c:pt idx="34">
                  <c:v>0.39695159384863832</c:v>
                </c:pt>
                <c:pt idx="35">
                  <c:v>0.39744700318333459</c:v>
                </c:pt>
                <c:pt idx="36">
                  <c:v>0.40314564025200839</c:v>
                </c:pt>
                <c:pt idx="37">
                  <c:v>0.41104944671711258</c:v>
                </c:pt>
                <c:pt idx="38">
                  <c:v>0.41184722204625279</c:v>
                </c:pt>
                <c:pt idx="39">
                  <c:v>0.41266282483083511</c:v>
                </c:pt>
                <c:pt idx="40">
                  <c:v>0.41801496783650671</c:v>
                </c:pt>
                <c:pt idx="41">
                  <c:v>0.4223982343533324</c:v>
                </c:pt>
                <c:pt idx="42">
                  <c:v>0.42447132310173086</c:v>
                </c:pt>
                <c:pt idx="43">
                  <c:v>0.42735758686973813</c:v>
                </c:pt>
                <c:pt idx="44">
                  <c:v>0.42926690299687936</c:v>
                </c:pt>
                <c:pt idx="45">
                  <c:v>0.42943422891665933</c:v>
                </c:pt>
                <c:pt idx="46">
                  <c:v>0.42998211960867888</c:v>
                </c:pt>
                <c:pt idx="47">
                  <c:v>0.43019505615455861</c:v>
                </c:pt>
                <c:pt idx="48">
                  <c:v>0.43230665156755937</c:v>
                </c:pt>
                <c:pt idx="49">
                  <c:v>0.43240041778042398</c:v>
                </c:pt>
                <c:pt idx="50">
                  <c:v>0.43261137573947672</c:v>
                </c:pt>
                <c:pt idx="51">
                  <c:v>0.43260134606151385</c:v>
                </c:pt>
                <c:pt idx="52">
                  <c:v>0.43197535606222037</c:v>
                </c:pt>
                <c:pt idx="53">
                  <c:v>0.4305724994770263</c:v>
                </c:pt>
                <c:pt idx="54">
                  <c:v>0.42912184665083802</c:v>
                </c:pt>
                <c:pt idx="55">
                  <c:v>0.4283523468319097</c:v>
                </c:pt>
                <c:pt idx="56">
                  <c:v>0.42667224954495558</c:v>
                </c:pt>
                <c:pt idx="57">
                  <c:v>0.42638234103251077</c:v>
                </c:pt>
                <c:pt idx="58">
                  <c:v>0.42423664268313305</c:v>
                </c:pt>
                <c:pt idx="59">
                  <c:v>0.42279602055694299</c:v>
                </c:pt>
                <c:pt idx="60">
                  <c:v>0.41863984213837735</c:v>
                </c:pt>
                <c:pt idx="61">
                  <c:v>0.41775396265151166</c:v>
                </c:pt>
                <c:pt idx="62">
                  <c:v>0.40406582632574239</c:v>
                </c:pt>
                <c:pt idx="63">
                  <c:v>0.401435690362834</c:v>
                </c:pt>
                <c:pt idx="64">
                  <c:v>0.4005047685543614</c:v>
                </c:pt>
                <c:pt idx="65">
                  <c:v>0.39961659749926953</c:v>
                </c:pt>
                <c:pt idx="66">
                  <c:v>0.39309909585367614</c:v>
                </c:pt>
                <c:pt idx="67">
                  <c:v>0.39053588902490249</c:v>
                </c:pt>
                <c:pt idx="68">
                  <c:v>0.38946808994261617</c:v>
                </c:pt>
                <c:pt idx="69">
                  <c:v>0.38933771493838909</c:v>
                </c:pt>
                <c:pt idx="70">
                  <c:v>0.38665386573466676</c:v>
                </c:pt>
                <c:pt idx="71">
                  <c:v>0.38071504764228725</c:v>
                </c:pt>
                <c:pt idx="72">
                  <c:v>0.37587555363541381</c:v>
                </c:pt>
                <c:pt idx="73">
                  <c:v>0.36642130399481221</c:v>
                </c:pt>
                <c:pt idx="74">
                  <c:v>0.35807725947226093</c:v>
                </c:pt>
                <c:pt idx="75">
                  <c:v>0.34531434564431279</c:v>
                </c:pt>
                <c:pt idx="76">
                  <c:v>0.33979984947514863</c:v>
                </c:pt>
                <c:pt idx="77">
                  <c:v>0.33337844567030012</c:v>
                </c:pt>
                <c:pt idx="78">
                  <c:v>0.3330513439297213</c:v>
                </c:pt>
                <c:pt idx="79">
                  <c:v>0.32228200174288413</c:v>
                </c:pt>
                <c:pt idx="80">
                  <c:v>0.30795489912728136</c:v>
                </c:pt>
                <c:pt idx="81">
                  <c:v>0.29577420016744521</c:v>
                </c:pt>
                <c:pt idx="82">
                  <c:v>0.28806923775478949</c:v>
                </c:pt>
                <c:pt idx="83">
                  <c:v>0.28051233889706578</c:v>
                </c:pt>
                <c:pt idx="84">
                  <c:v>0.26348330454584318</c:v>
                </c:pt>
                <c:pt idx="85">
                  <c:v>0.25945997454298403</c:v>
                </c:pt>
                <c:pt idx="86">
                  <c:v>0.23518397253649664</c:v>
                </c:pt>
                <c:pt idx="87">
                  <c:v>0.23353071483204357</c:v>
                </c:pt>
                <c:pt idx="88">
                  <c:v>0.18561249124088669</c:v>
                </c:pt>
                <c:pt idx="89">
                  <c:v>0.15971906087560439</c:v>
                </c:pt>
                <c:pt idx="90">
                  <c:v>0.15341439294186152</c:v>
                </c:pt>
                <c:pt idx="91">
                  <c:v>0.15206127045727927</c:v>
                </c:pt>
                <c:pt idx="92">
                  <c:v>0.1486614531080212</c:v>
                </c:pt>
                <c:pt idx="93">
                  <c:v>0.11209069816714831</c:v>
                </c:pt>
                <c:pt idx="94">
                  <c:v>9.9090979489372025E-2</c:v>
                </c:pt>
                <c:pt idx="95">
                  <c:v>9.8030153815329132E-2</c:v>
                </c:pt>
                <c:pt idx="96">
                  <c:v>7.242084111718268E-2</c:v>
                </c:pt>
                <c:pt idx="97">
                  <c:v>6.9811375433921075E-2</c:v>
                </c:pt>
                <c:pt idx="98">
                  <c:v>3.6069377117767552E-2</c:v>
                </c:pt>
                <c:pt idx="99">
                  <c:v>1.9206155157277645E-2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2351616"/>
        <c:axId val="322351040"/>
      </c:scatterChart>
      <c:valAx>
        <c:axId val="3223498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322350464"/>
        <c:crosses val="autoZero"/>
        <c:crossBetween val="midCat"/>
      </c:valAx>
      <c:valAx>
        <c:axId val="3223504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22349888"/>
        <c:crosses val="autoZero"/>
        <c:crossBetween val="midCat"/>
      </c:valAx>
      <c:valAx>
        <c:axId val="322351040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crossAx val="322351616"/>
        <c:crosses val="max"/>
        <c:crossBetween val="midCat"/>
      </c:valAx>
      <c:valAx>
        <c:axId val="32235161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22351040"/>
        <c:crosses val="autoZero"/>
        <c:crossBetween val="midCat"/>
      </c:valAx>
    </c:plotArea>
    <c:legend>
      <c:legendPos val="r"/>
      <c:layout/>
      <c:overlay val="0"/>
      <c:spPr>
        <a:noFill/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21"/>
    </mc:Choice>
    <mc:Fallback>
      <c:style val="21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Standardized</a:t>
            </a:r>
            <a:r>
              <a:rPr lang="en-US" baseline="0"/>
              <a:t> Distributions</a:t>
            </a:r>
            <a:endParaRPr lang="en-US"/>
          </a:p>
        </c:rich>
      </c:tx>
      <c:layout>
        <c:manualLayout>
          <c:xMode val="edge"/>
          <c:yMode val="edge"/>
          <c:x val="0.3728886686407431"/>
          <c:y val="2.9354379201445083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5.7184241032024297E-2"/>
          <c:y val="0.21479889167695163"/>
          <c:w val="0.92741692953197497"/>
          <c:h val="0.6745156441697906"/>
        </c:manualLayout>
      </c:layout>
      <c:scatterChart>
        <c:scatterStyle val="lineMarker"/>
        <c:varyColors val="0"/>
        <c:ser>
          <c:idx val="0"/>
          <c:order val="0"/>
          <c:tx>
            <c:v>(A) Frequency</c:v>
          </c:tx>
          <c:spPr>
            <a:ln w="25400">
              <a:noFill/>
            </a:ln>
          </c:spPr>
          <c:marker>
            <c:symbol val="circle"/>
            <c:size val="4"/>
            <c:spPr>
              <a:solidFill>
                <a:schemeClr val="accent6"/>
              </a:solidFill>
              <a:ln>
                <a:noFill/>
              </a:ln>
            </c:spPr>
          </c:marker>
          <c:xVal>
            <c:numRef>
              <c:f>[0]!Adistz</c:f>
              <c:numCache>
                <c:formatCode>General</c:formatCode>
                <c:ptCount val="100"/>
                <c:pt idx="0">
                  <c:v>-2.0650155521034406</c:v>
                </c:pt>
                <c:pt idx="1">
                  <c:v>-1.9308211020988919</c:v>
                </c:pt>
                <c:pt idx="2">
                  <c:v>-1.9132707383916128</c:v>
                </c:pt>
                <c:pt idx="3">
                  <c:v>-1.8684061109656993</c:v>
                </c:pt>
                <c:pt idx="4">
                  <c:v>-1.7605396721533852</c:v>
                </c:pt>
                <c:pt idx="5">
                  <c:v>-1.7013004141551991</c:v>
                </c:pt>
                <c:pt idx="6">
                  <c:v>-1.5950021168598603</c:v>
                </c:pt>
                <c:pt idx="7">
                  <c:v>-1.5295149491069333</c:v>
                </c:pt>
                <c:pt idx="8">
                  <c:v>-1.4217594637038393</c:v>
                </c:pt>
                <c:pt idx="9">
                  <c:v>-1.4211800403445796</c:v>
                </c:pt>
                <c:pt idx="10">
                  <c:v>-1.3390350674207647</c:v>
                </c:pt>
                <c:pt idx="11">
                  <c:v>-1.3090973719819079</c:v>
                </c:pt>
                <c:pt idx="12">
                  <c:v>-1.306730365918549</c:v>
                </c:pt>
                <c:pt idx="13">
                  <c:v>-1.2923286134018002</c:v>
                </c:pt>
                <c:pt idx="14">
                  <c:v>-1.1202300131764025</c:v>
                </c:pt>
                <c:pt idx="15">
                  <c:v>-1.0868428995264634</c:v>
                </c:pt>
                <c:pt idx="16">
                  <c:v>-1.0611658150016523</c:v>
                </c:pt>
                <c:pt idx="17">
                  <c:v>-0.94570523173606214</c:v>
                </c:pt>
                <c:pt idx="18">
                  <c:v>-0.9232310022907334</c:v>
                </c:pt>
                <c:pt idx="19">
                  <c:v>-0.8854686258705543</c:v>
                </c:pt>
                <c:pt idx="20">
                  <c:v>-0.85634089031900296</c:v>
                </c:pt>
                <c:pt idx="21">
                  <c:v>-0.81336986774377651</c:v>
                </c:pt>
                <c:pt idx="22">
                  <c:v>-0.66011362203524138</c:v>
                </c:pt>
                <c:pt idx="23">
                  <c:v>-0.6044840482836773</c:v>
                </c:pt>
                <c:pt idx="24">
                  <c:v>-0.56645661649702839</c:v>
                </c:pt>
                <c:pt idx="25">
                  <c:v>-0.55374628706305473</c:v>
                </c:pt>
                <c:pt idx="26">
                  <c:v>-0.53542048230689399</c:v>
                </c:pt>
                <c:pt idx="27">
                  <c:v>-0.48731601533175811</c:v>
                </c:pt>
                <c:pt idx="28">
                  <c:v>-0.48066497485685145</c:v>
                </c:pt>
                <c:pt idx="29">
                  <c:v>-0.47022179341793868</c:v>
                </c:pt>
                <c:pt idx="30">
                  <c:v>-0.4544109326040966</c:v>
                </c:pt>
                <c:pt idx="31">
                  <c:v>-0.44182881599855489</c:v>
                </c:pt>
                <c:pt idx="32">
                  <c:v>-0.42154899842446508</c:v>
                </c:pt>
                <c:pt idx="33">
                  <c:v>-0.42110395197192729</c:v>
                </c:pt>
                <c:pt idx="34">
                  <c:v>-0.41479070298731247</c:v>
                </c:pt>
                <c:pt idx="35">
                  <c:v>-0.41177277025652997</c:v>
                </c:pt>
                <c:pt idx="36">
                  <c:v>-0.37561182137609211</c:v>
                </c:pt>
                <c:pt idx="37">
                  <c:v>-0.31977020333135214</c:v>
                </c:pt>
                <c:pt idx="38">
                  <c:v>-0.31364804077372721</c:v>
                </c:pt>
                <c:pt idx="39">
                  <c:v>-0.30727561663752845</c:v>
                </c:pt>
                <c:pt idx="40">
                  <c:v>-0.26200292722881713</c:v>
                </c:pt>
                <c:pt idx="41">
                  <c:v>-0.21859302227934291</c:v>
                </c:pt>
                <c:pt idx="42">
                  <c:v>-0.19491309912049079</c:v>
                </c:pt>
                <c:pt idx="43">
                  <c:v>-0.15632596902511015</c:v>
                </c:pt>
                <c:pt idx="44">
                  <c:v>-0.12458836272557408</c:v>
                </c:pt>
                <c:pt idx="45">
                  <c:v>-0.12142002648451566</c:v>
                </c:pt>
                <c:pt idx="46">
                  <c:v>-0.11042084518384518</c:v>
                </c:pt>
                <c:pt idx="47">
                  <c:v>-0.10584216783003549</c:v>
                </c:pt>
                <c:pt idx="48">
                  <c:v>-3.7545413192527743E-2</c:v>
                </c:pt>
                <c:pt idx="49">
                  <c:v>-3.1239561101860908E-2</c:v>
                </c:pt>
                <c:pt idx="50">
                  <c:v>-6.2874831373626455E-4</c:v>
                </c:pt>
                <c:pt idx="51">
                  <c:v>6.8384161267659891E-3</c:v>
                </c:pt>
                <c:pt idx="52">
                  <c:v>5.4248807886448203E-2</c:v>
                </c:pt>
                <c:pt idx="53">
                  <c:v>9.7203803858120649E-2</c:v>
                </c:pt>
                <c:pt idx="54">
                  <c:v>0.12727217775672556</c:v>
                </c:pt>
                <c:pt idx="55">
                  <c:v>0.14066918551220484</c:v>
                </c:pt>
                <c:pt idx="56">
                  <c:v>0.16627599954451</c:v>
                </c:pt>
                <c:pt idx="57">
                  <c:v>0.17031470364011597</c:v>
                </c:pt>
                <c:pt idx="58">
                  <c:v>0.19773005824270623</c:v>
                </c:pt>
                <c:pt idx="59">
                  <c:v>0.21424362398160793</c:v>
                </c:pt>
                <c:pt idx="60">
                  <c:v>0.25623825655569887</c:v>
                </c:pt>
                <c:pt idx="61">
                  <c:v>0.26437607271415281</c:v>
                </c:pt>
                <c:pt idx="62">
                  <c:v>0.36949209979347003</c:v>
                </c:pt>
                <c:pt idx="63">
                  <c:v>0.38676261434638337</c:v>
                </c:pt>
                <c:pt idx="64">
                  <c:v>0.39271957960583642</c:v>
                </c:pt>
                <c:pt idx="65">
                  <c:v>0.39833258929670756</c:v>
                </c:pt>
                <c:pt idx="66">
                  <c:v>0.43767173694346784</c:v>
                </c:pt>
                <c:pt idx="67">
                  <c:v>0.45237183084945248</c:v>
                </c:pt>
                <c:pt idx="68">
                  <c:v>0.45838427281351546</c:v>
                </c:pt>
                <c:pt idx="69">
                  <c:v>0.45911409968305106</c:v>
                </c:pt>
                <c:pt idx="70">
                  <c:v>0.47394117360180965</c:v>
                </c:pt>
                <c:pt idx="71">
                  <c:v>0.50554686862593978</c:v>
                </c:pt>
                <c:pt idx="72">
                  <c:v>0.53024879596527341</c:v>
                </c:pt>
                <c:pt idx="73">
                  <c:v>0.57629199516023433</c:v>
                </c:pt>
                <c:pt idx="74">
                  <c:v>0.61496542235167484</c:v>
                </c:pt>
                <c:pt idx="75">
                  <c:v>0.67139386064962259</c:v>
                </c:pt>
                <c:pt idx="76">
                  <c:v>0.69495789913662276</c:v>
                </c:pt>
                <c:pt idx="77">
                  <c:v>0.72188875718561929</c:v>
                </c:pt>
                <c:pt idx="78">
                  <c:v>0.72324732004073455</c:v>
                </c:pt>
                <c:pt idx="79">
                  <c:v>0.76735006739000444</c:v>
                </c:pt>
                <c:pt idx="80">
                  <c:v>0.82448367624432783</c:v>
                </c:pt>
                <c:pt idx="81">
                  <c:v>0.87205926530218192</c:v>
                </c:pt>
                <c:pt idx="82">
                  <c:v>0.90181943528628694</c:v>
                </c:pt>
                <c:pt idx="83">
                  <c:v>0.93083005335032842</c:v>
                </c:pt>
                <c:pt idx="84">
                  <c:v>0.99584135425926779</c:v>
                </c:pt>
                <c:pt idx="85">
                  <c:v>1.0111751154134641</c:v>
                </c:pt>
                <c:pt idx="86">
                  <c:v>1.1040579127184535</c:v>
                </c:pt>
                <c:pt idx="87">
                  <c:v>1.1104291040389944</c:v>
                </c:pt>
                <c:pt idx="88">
                  <c:v>1.3009065200938468</c:v>
                </c:pt>
                <c:pt idx="89">
                  <c:v>1.4116824038590392</c:v>
                </c:pt>
                <c:pt idx="90">
                  <c:v>1.4399286762151211</c:v>
                </c:pt>
                <c:pt idx="91">
                  <c:v>1.446068098191958</c:v>
                </c:pt>
                <c:pt idx="92">
                  <c:v>1.4616213005332781</c:v>
                </c:pt>
                <c:pt idx="93">
                  <c:v>1.643491197663979</c:v>
                </c:pt>
                <c:pt idx="94">
                  <c:v>1.7168585231028382</c:v>
                </c:pt>
                <c:pt idx="95">
                  <c:v>1.7231162953828429</c:v>
                </c:pt>
                <c:pt idx="96">
                  <c:v>1.8906855308807509</c:v>
                </c:pt>
                <c:pt idx="97">
                  <c:v>1.9099963553476531</c:v>
                </c:pt>
                <c:pt idx="98">
                  <c:v>2.2290786352136851</c:v>
                </c:pt>
                <c:pt idx="99">
                  <c:v>2.4958402185542234</c:v>
                </c:pt>
              </c:numCache>
            </c:numRef>
          </c:xVal>
          <c:yVal>
            <c:numRef>
              <c:f>[0]!Adistzp</c:f>
              <c:numCache>
                <c:formatCode>General</c:formatCode>
                <c:ptCount val="100"/>
                <c:pt idx="0">
                  <c:v>4.7307655418017146E-2</c:v>
                </c:pt>
                <c:pt idx="1">
                  <c:v>6.1854303844911668E-2</c:v>
                </c:pt>
                <c:pt idx="2">
                  <c:v>6.3976401358218887E-2</c:v>
                </c:pt>
                <c:pt idx="3">
                  <c:v>6.9640482824881181E-2</c:v>
                </c:pt>
                <c:pt idx="4">
                  <c:v>8.4695864666352552E-2</c:v>
                </c:pt>
                <c:pt idx="5">
                  <c:v>9.3841313002505186E-2</c:v>
                </c:pt>
                <c:pt idx="6">
                  <c:v>0.11180998515436898</c:v>
                </c:pt>
                <c:pt idx="7">
                  <c:v>0.12385465685637942</c:v>
                </c:pt>
                <c:pt idx="8">
                  <c:v>0.14520067620829166</c:v>
                </c:pt>
                <c:pt idx="9">
                  <c:v>0.14532031750820601</c:v>
                </c:pt>
                <c:pt idx="10">
                  <c:v>0.16276530065098296</c:v>
                </c:pt>
                <c:pt idx="11">
                  <c:v>0.16934681656300132</c:v>
                </c:pt>
                <c:pt idx="12">
                  <c:v>0.16987189958859444</c:v>
                </c:pt>
                <c:pt idx="13">
                  <c:v>0.1730810744687909</c:v>
                </c:pt>
                <c:pt idx="14">
                  <c:v>0.21301425845385125</c:v>
                </c:pt>
                <c:pt idx="15">
                  <c:v>0.22100890650911634</c:v>
                </c:pt>
                <c:pt idx="16">
                  <c:v>0.22718855292234807</c:v>
                </c:pt>
                <c:pt idx="17">
                  <c:v>0.25509538986507463</c:v>
                </c:pt>
                <c:pt idx="18">
                  <c:v>0.26050941536659544</c:v>
                </c:pt>
                <c:pt idx="19">
                  <c:v>0.26955956924316882</c:v>
                </c:pt>
                <c:pt idx="20">
                  <c:v>0.27648508726376264</c:v>
                </c:pt>
                <c:pt idx="21">
                  <c:v>0.28658393924463027</c:v>
                </c:pt>
                <c:pt idx="22">
                  <c:v>0.32083974085137956</c:v>
                </c:pt>
                <c:pt idx="23">
                  <c:v>0.33232594968953028</c:v>
                </c:pt>
                <c:pt idx="24">
                  <c:v>0.33980781119232906</c:v>
                </c:pt>
                <c:pt idx="25">
                  <c:v>0.34223555954191692</c:v>
                </c:pt>
                <c:pt idx="26">
                  <c:v>0.34566814604683321</c:v>
                </c:pt>
                <c:pt idx="27">
                  <c:v>0.35427671776570807</c:v>
                </c:pt>
                <c:pt idx="28">
                  <c:v>0.35541898634113722</c:v>
                </c:pt>
                <c:pt idx="29">
                  <c:v>0.35718808017503512</c:v>
                </c:pt>
                <c:pt idx="30">
                  <c:v>0.35980855485976532</c:v>
                </c:pt>
                <c:pt idx="31">
                  <c:v>0.36184299217028743</c:v>
                </c:pt>
                <c:pt idx="32">
                  <c:v>0.36502467963722757</c:v>
                </c:pt>
                <c:pt idx="33">
                  <c:v>0.36509313177882646</c:v>
                </c:pt>
                <c:pt idx="34">
                  <c:v>0.36605774059068302</c:v>
                </c:pt>
                <c:pt idx="35">
                  <c:v>0.3665145933267262</c:v>
                </c:pt>
                <c:pt idx="36">
                  <c:v>0.37176971823901078</c:v>
                </c:pt>
                <c:pt idx="37">
                  <c:v>0.3790583891538461</c:v>
                </c:pt>
                <c:pt idx="38">
                  <c:v>0.37979407541637661</c:v>
                </c:pt>
                <c:pt idx="39">
                  <c:v>0.38054620166343112</c:v>
                </c:pt>
                <c:pt idx="40">
                  <c:v>0.3854817993693857</c:v>
                </c:pt>
                <c:pt idx="41">
                  <c:v>0.38952392607304581</c:v>
                </c:pt>
                <c:pt idx="42">
                  <c:v>0.39143567096850035</c:v>
                </c:pt>
                <c:pt idx="43">
                  <c:v>0.39409730329354498</c:v>
                </c:pt>
                <c:pt idx="44">
                  <c:v>0.39585802162395473</c:v>
                </c:pt>
                <c:pt idx="45">
                  <c:v>0.3960123249422588</c:v>
                </c:pt>
                <c:pt idx="46">
                  <c:v>0.39651757452915881</c:v>
                </c:pt>
                <c:pt idx="47">
                  <c:v>0.39671393870071481</c:v>
                </c:pt>
                <c:pt idx="48">
                  <c:v>0.39866119337333222</c:v>
                </c:pt>
                <c:pt idx="49">
                  <c:v>0.39874766197191419</c:v>
                </c:pt>
                <c:pt idx="50">
                  <c:v>0.39894220154562327</c:v>
                </c:pt>
                <c:pt idx="51">
                  <c:v>0.39893295245502675</c:v>
                </c:pt>
                <c:pt idx="52">
                  <c:v>0.398355681854972</c:v>
                </c:pt>
                <c:pt idx="53">
                  <c:v>0.39706200645498169</c:v>
                </c:pt>
                <c:pt idx="54">
                  <c:v>0.39572425468835581</c:v>
                </c:pt>
                <c:pt idx="55">
                  <c:v>0.39501464331642305</c:v>
                </c:pt>
                <c:pt idx="56">
                  <c:v>0.3934653042373879</c:v>
                </c:pt>
                <c:pt idx="57">
                  <c:v>0.39319795865498419</c:v>
                </c:pt>
                <c:pt idx="58">
                  <c:v>0.39121925520112716</c:v>
                </c:pt>
                <c:pt idx="59">
                  <c:v>0.38989075346759039</c:v>
                </c:pt>
                <c:pt idx="60">
                  <c:v>0.38605804110424868</c:v>
                </c:pt>
                <c:pt idx="61">
                  <c:v>0.38524110763320851</c:v>
                </c:pt>
                <c:pt idx="62">
                  <c:v>0.37261828829212035</c:v>
                </c:pt>
                <c:pt idx="63">
                  <c:v>0.37019284991890739</c:v>
                </c:pt>
                <c:pt idx="64">
                  <c:v>0.3693343796692426</c:v>
                </c:pt>
                <c:pt idx="65">
                  <c:v>0.36851533297759753</c:v>
                </c:pt>
                <c:pt idx="66">
                  <c:v>0.3625050738839114</c:v>
                </c:pt>
                <c:pt idx="67">
                  <c:v>0.3601413557002649</c:v>
                </c:pt>
                <c:pt idx="68">
                  <c:v>0.35915666102836091</c:v>
                </c:pt>
                <c:pt idx="69">
                  <c:v>0.35903643281863351</c:v>
                </c:pt>
                <c:pt idx="70">
                  <c:v>0.35656146158580532</c:v>
                </c:pt>
                <c:pt idx="71">
                  <c:v>0.35108484840081211</c:v>
                </c:pt>
                <c:pt idx="72">
                  <c:v>0.34662200137056748</c:v>
                </c:pt>
                <c:pt idx="73">
                  <c:v>0.33790355479912348</c:v>
                </c:pt>
                <c:pt idx="74">
                  <c:v>0.33020890856858626</c:v>
                </c:pt>
                <c:pt idx="75">
                  <c:v>0.31843930373109119</c:v>
                </c:pt>
                <c:pt idx="76">
                  <c:v>0.31335398844463858</c:v>
                </c:pt>
                <c:pt idx="77">
                  <c:v>0.30743234811204034</c:v>
                </c:pt>
                <c:pt idx="78">
                  <c:v>0.30713070396712427</c:v>
                </c:pt>
                <c:pt idx="79">
                  <c:v>0.29719951555611429</c:v>
                </c:pt>
                <c:pt idx="80">
                  <c:v>0.28398745924005314</c:v>
                </c:pt>
                <c:pt idx="81">
                  <c:v>0.27275475679182193</c:v>
                </c:pt>
                <c:pt idx="82">
                  <c:v>0.26564945434230369</c:v>
                </c:pt>
                <c:pt idx="83">
                  <c:v>0.25868069199294413</c:v>
                </c:pt>
                <c:pt idx="84">
                  <c:v>0.24297698923510458</c:v>
                </c:pt>
                <c:pt idx="85">
                  <c:v>0.23926678599289533</c:v>
                </c:pt>
                <c:pt idx="86">
                  <c:v>0.21688013083700716</c:v>
                </c:pt>
                <c:pt idx="87">
                  <c:v>0.21535554247589581</c:v>
                </c:pt>
                <c:pt idx="88">
                  <c:v>0.17116668687556652</c:v>
                </c:pt>
                <c:pt idx="89">
                  <c:v>0.1472884841865211</c:v>
                </c:pt>
                <c:pt idx="90">
                  <c:v>0.14147449443370386</c:v>
                </c:pt>
                <c:pt idx="91">
                  <c:v>0.14022668244069422</c:v>
                </c:pt>
                <c:pt idx="92">
                  <c:v>0.1370914652591127</c:v>
                </c:pt>
                <c:pt idx="93">
                  <c:v>0.10336693024576774</c:v>
                </c:pt>
                <c:pt idx="94">
                  <c:v>9.1378950549392449E-2</c:v>
                </c:pt>
                <c:pt idx="95">
                  <c:v>9.0400686560990887E-2</c:v>
                </c:pt>
                <c:pt idx="96">
                  <c:v>6.678448929755737E-2</c:v>
                </c:pt>
                <c:pt idx="97">
                  <c:v>6.4378112482433913E-2</c:v>
                </c:pt>
                <c:pt idx="98">
                  <c:v>3.3262178302974371E-2</c:v>
                </c:pt>
                <c:pt idx="99">
                  <c:v>1.7711383128966536E-2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2353920"/>
        <c:axId val="322353344"/>
      </c:scatterChart>
      <c:scatterChart>
        <c:scatterStyle val="lineMarker"/>
        <c:varyColors val="0"/>
        <c:ser>
          <c:idx val="1"/>
          <c:order val="1"/>
          <c:tx>
            <c:v>(B) Frequency</c:v>
          </c:tx>
          <c:spPr>
            <a:ln w="25400">
              <a:noFill/>
            </a:ln>
          </c:spPr>
          <c:marker>
            <c:symbol val="circle"/>
            <c:size val="2"/>
            <c:spPr>
              <a:solidFill>
                <a:srgbClr val="92D050"/>
              </a:solidFill>
            </c:spPr>
          </c:marker>
          <c:xVal>
            <c:numRef>
              <c:f>[0]!Bdistz</c:f>
              <c:numCache>
                <c:formatCode>General</c:formatCode>
                <c:ptCount val="100"/>
                <c:pt idx="0">
                  <c:v>-2.6729332193204955</c:v>
                </c:pt>
                <c:pt idx="1">
                  <c:v>-2.3645892540766749</c:v>
                </c:pt>
                <c:pt idx="2">
                  <c:v>-1.9647916719101846</c:v>
                </c:pt>
                <c:pt idx="3">
                  <c:v>-1.7827884145092359</c:v>
                </c:pt>
                <c:pt idx="4">
                  <c:v>-1.5452906031726192</c:v>
                </c:pt>
                <c:pt idx="5">
                  <c:v>-1.3990704133447198</c:v>
                </c:pt>
                <c:pt idx="6">
                  <c:v>-1.2839774124116861</c:v>
                </c:pt>
                <c:pt idx="7">
                  <c:v>-1.2692537960762966</c:v>
                </c:pt>
                <c:pt idx="8">
                  <c:v>-1.1955877156500894</c:v>
                </c:pt>
                <c:pt idx="9">
                  <c:v>-1.1944557451467166</c:v>
                </c:pt>
                <c:pt idx="10">
                  <c:v>-1.1497249107325194</c:v>
                </c:pt>
                <c:pt idx="11">
                  <c:v>-1.147096979210555</c:v>
                </c:pt>
                <c:pt idx="12">
                  <c:v>-1.0388997985878203</c:v>
                </c:pt>
                <c:pt idx="13">
                  <c:v>-0.915907003505807</c:v>
                </c:pt>
                <c:pt idx="14">
                  <c:v>-0.90814520576094881</c:v>
                </c:pt>
                <c:pt idx="15">
                  <c:v>-0.84443286596245615</c:v>
                </c:pt>
                <c:pt idx="16">
                  <c:v>-0.83971898879558393</c:v>
                </c:pt>
                <c:pt idx="17">
                  <c:v>-0.79874805640672375</c:v>
                </c:pt>
                <c:pt idx="18">
                  <c:v>-0.79809207350017553</c:v>
                </c:pt>
                <c:pt idx="19">
                  <c:v>-0.78841832557647562</c:v>
                </c:pt>
                <c:pt idx="20">
                  <c:v>-0.77500267515841081</c:v>
                </c:pt>
                <c:pt idx="21">
                  <c:v>-0.73210979285127986</c:v>
                </c:pt>
                <c:pt idx="22">
                  <c:v>-0.730989822035222</c:v>
                </c:pt>
                <c:pt idx="23">
                  <c:v>-0.72208405409967602</c:v>
                </c:pt>
                <c:pt idx="24">
                  <c:v>-0.6851970152936554</c:v>
                </c:pt>
                <c:pt idx="25">
                  <c:v>-0.6633835837030424</c:v>
                </c:pt>
                <c:pt idx="26">
                  <c:v>-0.66262360350643168</c:v>
                </c:pt>
                <c:pt idx="27">
                  <c:v>-0.61393887212197285</c:v>
                </c:pt>
                <c:pt idx="28">
                  <c:v>-0.60407412917517733</c:v>
                </c:pt>
                <c:pt idx="29">
                  <c:v>-0.57796580949977083</c:v>
                </c:pt>
                <c:pt idx="30">
                  <c:v>-0.52745912559133212</c:v>
                </c:pt>
                <c:pt idx="31">
                  <c:v>-0.51860335635293164</c:v>
                </c:pt>
                <c:pt idx="32">
                  <c:v>-0.48309828153601103</c:v>
                </c:pt>
                <c:pt idx="33">
                  <c:v>-0.45383604404467015</c:v>
                </c:pt>
                <c:pt idx="34">
                  <c:v>-0.43993740621218047</c:v>
                </c:pt>
                <c:pt idx="35">
                  <c:v>-0.41134115136681687</c:v>
                </c:pt>
                <c:pt idx="36">
                  <c:v>-0.36940524412304965</c:v>
                </c:pt>
                <c:pt idx="37">
                  <c:v>-0.35137171403663198</c:v>
                </c:pt>
                <c:pt idx="38">
                  <c:v>-0.30946280608932325</c:v>
                </c:pt>
                <c:pt idx="39">
                  <c:v>-0.28598341790982412</c:v>
                </c:pt>
                <c:pt idx="40">
                  <c:v>-0.20719147105226648</c:v>
                </c:pt>
                <c:pt idx="41">
                  <c:v>-0.15938071689390992</c:v>
                </c:pt>
                <c:pt idx="42">
                  <c:v>-0.14542408057273148</c:v>
                </c:pt>
                <c:pt idx="43">
                  <c:v>-0.12358764958143156</c:v>
                </c:pt>
                <c:pt idx="44">
                  <c:v>-9.9540276202360223E-2</c:v>
                </c:pt>
                <c:pt idx="45">
                  <c:v>-9.3171442159973944E-2</c:v>
                </c:pt>
                <c:pt idx="46">
                  <c:v>-8.3942682640868432E-2</c:v>
                </c:pt>
                <c:pt idx="47">
                  <c:v>-8.3873684438807716E-2</c:v>
                </c:pt>
                <c:pt idx="48">
                  <c:v>-8.025477873942069E-2</c:v>
                </c:pt>
                <c:pt idx="49">
                  <c:v>-6.9073070109814255E-2</c:v>
                </c:pt>
                <c:pt idx="50">
                  <c:v>-6.1313272312841803E-2</c:v>
                </c:pt>
                <c:pt idx="51">
                  <c:v>7.2211118339274717E-4</c:v>
                </c:pt>
                <c:pt idx="52">
                  <c:v>0.10623836166518867</c:v>
                </c:pt>
                <c:pt idx="53">
                  <c:v>0.10839430548610009</c:v>
                </c:pt>
                <c:pt idx="54">
                  <c:v>0.10893229146738503</c:v>
                </c:pt>
                <c:pt idx="55">
                  <c:v>0.11607410536763983</c:v>
                </c:pt>
                <c:pt idx="56">
                  <c:v>0.13212168720344059</c:v>
                </c:pt>
                <c:pt idx="57">
                  <c:v>0.1334036537982497</c:v>
                </c:pt>
                <c:pt idx="58">
                  <c:v>0.13711455710038434</c:v>
                </c:pt>
                <c:pt idx="59">
                  <c:v>0.1601559566928894</c:v>
                </c:pt>
                <c:pt idx="60">
                  <c:v>0.18136140412621388</c:v>
                </c:pt>
                <c:pt idx="61">
                  <c:v>0.18258237231050553</c:v>
                </c:pt>
                <c:pt idx="62">
                  <c:v>0.19929693676622648</c:v>
                </c:pt>
                <c:pt idx="63">
                  <c:v>0.20746772385373446</c:v>
                </c:pt>
                <c:pt idx="64">
                  <c:v>0.22405029174899146</c:v>
                </c:pt>
                <c:pt idx="65">
                  <c:v>0.26655718411415963</c:v>
                </c:pt>
                <c:pt idx="66">
                  <c:v>0.26987209773490239</c:v>
                </c:pt>
                <c:pt idx="67">
                  <c:v>0.40437459289979627</c:v>
                </c:pt>
                <c:pt idx="68">
                  <c:v>0.41780424295306179</c:v>
                </c:pt>
                <c:pt idx="69">
                  <c:v>0.43821571107571661</c:v>
                </c:pt>
                <c:pt idx="70">
                  <c:v>0.44897643067535847</c:v>
                </c:pt>
                <c:pt idx="71">
                  <c:v>0.49920212190583985</c:v>
                </c:pt>
                <c:pt idx="72">
                  <c:v>0.50741590787289292</c:v>
                </c:pt>
                <c:pt idx="73">
                  <c:v>0.52395747683649063</c:v>
                </c:pt>
                <c:pt idx="74">
                  <c:v>0.53097429399388185</c:v>
                </c:pt>
                <c:pt idx="75">
                  <c:v>0.55056278356152266</c:v>
                </c:pt>
                <c:pt idx="76">
                  <c:v>0.56217848088235156</c:v>
                </c:pt>
                <c:pt idx="77">
                  <c:v>0.56351844596584943</c:v>
                </c:pt>
                <c:pt idx="78">
                  <c:v>0.59748156096280458</c:v>
                </c:pt>
                <c:pt idx="79">
                  <c:v>0.60346140514139934</c:v>
                </c:pt>
                <c:pt idx="80">
                  <c:v>0.74155180681345012</c:v>
                </c:pt>
                <c:pt idx="81">
                  <c:v>0.746071689035398</c:v>
                </c:pt>
                <c:pt idx="82">
                  <c:v>0.7825147394107671</c:v>
                </c:pt>
                <c:pt idx="83">
                  <c:v>0.82236370103568357</c:v>
                </c:pt>
                <c:pt idx="84">
                  <c:v>0.9160812589650984</c:v>
                </c:pt>
                <c:pt idx="85">
                  <c:v>0.98253352736716115</c:v>
                </c:pt>
                <c:pt idx="86">
                  <c:v>1.0251844159801082</c:v>
                </c:pt>
                <c:pt idx="87">
                  <c:v>1.1033643787846057</c:v>
                </c:pt>
                <c:pt idx="88">
                  <c:v>1.1103881957595971</c:v>
                </c:pt>
                <c:pt idx="89">
                  <c:v>1.160246896553031</c:v>
                </c:pt>
                <c:pt idx="90">
                  <c:v>1.2823617145131705</c:v>
                </c:pt>
                <c:pt idx="91">
                  <c:v>1.3206587165786925</c:v>
                </c:pt>
                <c:pt idx="92">
                  <c:v>1.4423795448053258</c:v>
                </c:pt>
                <c:pt idx="93">
                  <c:v>1.5621924227488893</c:v>
                </c:pt>
                <c:pt idx="94">
                  <c:v>1.9852653984105251</c:v>
                </c:pt>
                <c:pt idx="95">
                  <c:v>2.0607034326635665</c:v>
                </c:pt>
                <c:pt idx="96">
                  <c:v>2.1295336391018664</c:v>
                </c:pt>
                <c:pt idx="97">
                  <c:v>2.3262645127339763</c:v>
                </c:pt>
                <c:pt idx="98">
                  <c:v>2.3430000766424985</c:v>
                </c:pt>
                <c:pt idx="99">
                  <c:v>3.0014149198198394</c:v>
                </c:pt>
              </c:numCache>
            </c:numRef>
          </c:xVal>
          <c:yVal>
            <c:numRef>
              <c:f>[0]!Bdistzp</c:f>
              <c:numCache>
                <c:formatCode>General</c:formatCode>
                <c:ptCount val="100"/>
                <c:pt idx="0">
                  <c:v>1.1206912196122062E-2</c:v>
                </c:pt>
                <c:pt idx="1">
                  <c:v>2.4365679774332415E-2</c:v>
                </c:pt>
                <c:pt idx="2">
                  <c:v>5.7893990534757488E-2</c:v>
                </c:pt>
                <c:pt idx="3">
                  <c:v>8.142232353592263E-2</c:v>
                </c:pt>
                <c:pt idx="4">
                  <c:v>0.12088687871329583</c:v>
                </c:pt>
                <c:pt idx="5">
                  <c:v>0.14992238622652754</c:v>
                </c:pt>
                <c:pt idx="6">
                  <c:v>0.17495306675553118</c:v>
                </c:pt>
                <c:pt idx="7">
                  <c:v>0.17827265470726411</c:v>
                </c:pt>
                <c:pt idx="8">
                  <c:v>0.19521504637954573</c:v>
                </c:pt>
                <c:pt idx="9">
                  <c:v>0.19547929819258239</c:v>
                </c:pt>
                <c:pt idx="10">
                  <c:v>0.20600141971742952</c:v>
                </c:pt>
                <c:pt idx="11">
                  <c:v>0.20662405981278398</c:v>
                </c:pt>
                <c:pt idx="12">
                  <c:v>0.23256281254507394</c:v>
                </c:pt>
                <c:pt idx="13">
                  <c:v>0.26226984755973126</c:v>
                </c:pt>
                <c:pt idx="14">
                  <c:v>0.26413303281524436</c:v>
                </c:pt>
                <c:pt idx="15">
                  <c:v>0.27929911748812086</c:v>
                </c:pt>
                <c:pt idx="16">
                  <c:v>0.28040998257053479</c:v>
                </c:pt>
                <c:pt idx="17">
                  <c:v>0.28998161284008811</c:v>
                </c:pt>
                <c:pt idx="18">
                  <c:v>0.29013353046507134</c:v>
                </c:pt>
                <c:pt idx="19">
                  <c:v>0.29236850724804953</c:v>
                </c:pt>
                <c:pt idx="20">
                  <c:v>0.29545075479725275</c:v>
                </c:pt>
                <c:pt idx="21">
                  <c:v>0.30515638148332419</c:v>
                </c:pt>
                <c:pt idx="22">
                  <c:v>0.3054065029616308</c:v>
                </c:pt>
                <c:pt idx="23">
                  <c:v>0.30738900267905322</c:v>
                </c:pt>
                <c:pt idx="24">
                  <c:v>0.31547179206297304</c:v>
                </c:pt>
                <c:pt idx="25">
                  <c:v>0.32014622873502813</c:v>
                </c:pt>
                <c:pt idx="26">
                  <c:v>0.32030758133461867</c:v>
                </c:pt>
                <c:pt idx="27">
                  <c:v>0.33041725882187883</c:v>
                </c:pt>
                <c:pt idx="28">
                  <c:v>0.33240827886640367</c:v>
                </c:pt>
                <c:pt idx="29">
                  <c:v>0.33757729533382363</c:v>
                </c:pt>
                <c:pt idx="30">
                  <c:v>0.34713376000627999</c:v>
                </c:pt>
                <c:pt idx="31">
                  <c:v>0.3487453588769116</c:v>
                </c:pt>
                <c:pt idx="32">
                  <c:v>0.35500247843778798</c:v>
                </c:pt>
                <c:pt idx="33">
                  <c:v>0.35990250248532635</c:v>
                </c:pt>
                <c:pt idx="34">
                  <c:v>0.36214485549435482</c:v>
                </c:pt>
                <c:pt idx="35">
                  <c:v>0.36657970520743349</c:v>
                </c:pt>
                <c:pt idx="36">
                  <c:v>0.37263024532493427</c:v>
                </c:pt>
                <c:pt idx="37">
                  <c:v>0.37505988444146943</c:v>
                </c:pt>
                <c:pt idx="38">
                  <c:v>0.38028962428996904</c:v>
                </c:pt>
                <c:pt idx="39">
                  <c:v>0.38295729747365198</c:v>
                </c:pt>
                <c:pt idx="40">
                  <c:v>0.39047056664826857</c:v>
                </c:pt>
                <c:pt idx="41">
                  <c:v>0.39390731453164618</c:v>
                </c:pt>
                <c:pt idx="42">
                  <c:v>0.39474605687635256</c:v>
                </c:pt>
                <c:pt idx="43">
                  <c:v>0.39590718093924987</c:v>
                </c:pt>
                <c:pt idx="44">
                  <c:v>0.39697075480066385</c:v>
                </c:pt>
                <c:pt idx="45">
                  <c:v>0.39721444038482168</c:v>
                </c:pt>
                <c:pt idx="46">
                  <c:v>0.39753920525096675</c:v>
                </c:pt>
                <c:pt idx="47">
                  <c:v>0.39754150681634504</c:v>
                </c:pt>
                <c:pt idx="48">
                  <c:v>0.39765958730559325</c:v>
                </c:pt>
                <c:pt idx="49">
                  <c:v>0.39799172008848793</c:v>
                </c:pt>
                <c:pt idx="50">
                  <c:v>0.39819310939438546</c:v>
                </c:pt>
                <c:pt idx="51">
                  <c:v>0.39894217638830509</c:v>
                </c:pt>
                <c:pt idx="52">
                  <c:v>0.39669727210679911</c:v>
                </c:pt>
                <c:pt idx="53">
                  <c:v>0.39660549967480957</c:v>
                </c:pt>
                <c:pt idx="54">
                  <c:v>0.39658231506020947</c:v>
                </c:pt>
                <c:pt idx="55">
                  <c:v>0.39626379830618258</c:v>
                </c:pt>
                <c:pt idx="56">
                  <c:v>0.39547543564683085</c:v>
                </c:pt>
                <c:pt idx="57">
                  <c:v>0.39540813251962659</c:v>
                </c:pt>
                <c:pt idx="58">
                  <c:v>0.39520971374781766</c:v>
                </c:pt>
                <c:pt idx="59">
                  <c:v>0.39385852867621524</c:v>
                </c:pt>
                <c:pt idx="60">
                  <c:v>0.39243494031506171</c:v>
                </c:pt>
                <c:pt idx="61">
                  <c:v>0.39234775806542671</c:v>
                </c:pt>
                <c:pt idx="62">
                  <c:v>0.39109758673029088</c:v>
                </c:pt>
                <c:pt idx="63">
                  <c:v>0.39044820293780691</c:v>
                </c:pt>
                <c:pt idx="64">
                  <c:v>0.38905373843758551</c:v>
                </c:pt>
                <c:pt idx="65">
                  <c:v>0.38501811286203347</c:v>
                </c:pt>
                <c:pt idx="66">
                  <c:v>0.38467594217259243</c:v>
                </c:pt>
                <c:pt idx="67">
                  <c:v>0.36762277338000582</c:v>
                </c:pt>
                <c:pt idx="68">
                  <c:v>0.36559879845124188</c:v>
                </c:pt>
                <c:pt idx="69">
                  <c:v>0.36241872456531943</c:v>
                </c:pt>
                <c:pt idx="70">
                  <c:v>0.36069287271668121</c:v>
                </c:pt>
                <c:pt idx="71">
                  <c:v>0.35220569528125373</c:v>
                </c:pt>
                <c:pt idx="72">
                  <c:v>0.35075265694610375</c:v>
                </c:pt>
                <c:pt idx="73">
                  <c:v>0.34777336826627225</c:v>
                </c:pt>
                <c:pt idx="74">
                  <c:v>0.34648859226654344</c:v>
                </c:pt>
                <c:pt idx="75">
                  <c:v>0.34283766541335053</c:v>
                </c:pt>
                <c:pt idx="76">
                  <c:v>0.3406291754669149</c:v>
                </c:pt>
                <c:pt idx="77">
                  <c:v>0.34037237071936066</c:v>
                </c:pt>
                <c:pt idx="78">
                  <c:v>0.33372744867959253</c:v>
                </c:pt>
                <c:pt idx="79">
                  <c:v>0.33253127373868963</c:v>
                </c:pt>
                <c:pt idx="80">
                  <c:v>0.30304072568639456</c:v>
                </c:pt>
                <c:pt idx="81">
                  <c:v>0.30202363115989134</c:v>
                </c:pt>
                <c:pt idx="82">
                  <c:v>0.29372738847163948</c:v>
                </c:pt>
                <c:pt idx="83">
                  <c:v>0.2844836314278365</c:v>
                </c:pt>
                <c:pt idx="84">
                  <c:v>0.26222798818005372</c:v>
                </c:pt>
                <c:pt idx="85">
                  <c:v>0.24619666790911493</c:v>
                </c:pt>
                <c:pt idx="86">
                  <c:v>0.23587811326497235</c:v>
                </c:pt>
                <c:pt idx="87">
                  <c:v>0.21704620770221106</c:v>
                </c:pt>
                <c:pt idx="88">
                  <c:v>0.21536532520363638</c:v>
                </c:pt>
                <c:pt idx="89">
                  <c:v>0.20351308759014883</c:v>
                </c:pt>
                <c:pt idx="90">
                  <c:v>0.17531615822026819</c:v>
                </c:pt>
                <c:pt idx="91">
                  <c:v>0.16679191590283926</c:v>
                </c:pt>
                <c:pt idx="92">
                  <c:v>0.14097567674475422</c:v>
                </c:pt>
                <c:pt idx="93">
                  <c:v>0.11775358319101153</c:v>
                </c:pt>
                <c:pt idx="94">
                  <c:v>5.5599677157195271E-2</c:v>
                </c:pt>
                <c:pt idx="95">
                  <c:v>4.773034824240302E-2</c:v>
                </c:pt>
                <c:pt idx="96">
                  <c:v>4.1320551274160205E-2</c:v>
                </c:pt>
                <c:pt idx="97">
                  <c:v>2.6657311192648241E-2</c:v>
                </c:pt>
                <c:pt idx="98">
                  <c:v>2.5635857786276636E-2</c:v>
                </c:pt>
                <c:pt idx="99">
                  <c:v>4.4130717340369737E-3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4837376"/>
        <c:axId val="322354496"/>
      </c:scatterChart>
      <c:valAx>
        <c:axId val="322353344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322353920"/>
        <c:crosses val="autoZero"/>
        <c:crossBetween val="midCat"/>
      </c:valAx>
      <c:valAx>
        <c:axId val="32235392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322353344"/>
        <c:crosses val="autoZero"/>
        <c:crossBetween val="midCat"/>
      </c:valAx>
      <c:valAx>
        <c:axId val="322354496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crossAx val="324837376"/>
        <c:crosses val="max"/>
        <c:crossBetween val="midCat"/>
      </c:valAx>
      <c:valAx>
        <c:axId val="32483737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22354496"/>
        <c:crosses val="autoZero"/>
        <c:crossBetween val="midCat"/>
      </c:valAx>
    </c:plotArea>
    <c:legend>
      <c:legendPos val="t"/>
      <c:layout>
        <c:manualLayout>
          <c:xMode val="edge"/>
          <c:yMode val="edge"/>
          <c:x val="0.25691944952823853"/>
          <c:y val="0.11760639619816576"/>
          <c:w val="0.37593026240208138"/>
          <c:h val="5.9022164698601526E-2"/>
        </c:manualLayout>
      </c:layout>
      <c:overlay val="0"/>
    </c:legend>
    <c:plotVisOnly val="1"/>
    <c:dispBlanksAs val="span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21"/>
    </mc:Choice>
    <mc:Fallback>
      <c:style val="21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Standardized</a:t>
            </a:r>
            <a:r>
              <a:rPr lang="en-US" baseline="0"/>
              <a:t> Sampling Distributions</a:t>
            </a:r>
          </a:p>
        </c:rich>
      </c:tx>
      <c:layout>
        <c:manualLayout>
          <c:xMode val="edge"/>
          <c:yMode val="edge"/>
          <c:x val="0.32593776566545435"/>
          <c:y val="2.2666724601614296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3.4813674606463667E-2"/>
          <c:y val="0.22785470534022179"/>
          <c:w val="0.92741692953197497"/>
          <c:h val="0.6745156441697906"/>
        </c:manualLayout>
      </c:layout>
      <c:scatterChart>
        <c:scatterStyle val="lineMarker"/>
        <c:varyColors val="0"/>
        <c:ser>
          <c:idx val="0"/>
          <c:order val="0"/>
          <c:tx>
            <c:v>(A) Frequency</c:v>
          </c:tx>
          <c:spPr>
            <a:ln w="25400">
              <a:noFill/>
            </a:ln>
          </c:spPr>
          <c:marker>
            <c:symbol val="circle"/>
            <c:size val="3"/>
            <c:spPr>
              <a:solidFill>
                <a:schemeClr val="accent6"/>
              </a:solidFill>
              <a:ln>
                <a:noFill/>
              </a:ln>
            </c:spPr>
          </c:marker>
          <c:xVal>
            <c:numRef>
              <c:f>[0]!Asampz</c:f>
              <c:numCache>
                <c:formatCode>General</c:formatCode>
                <c:ptCount val="100"/>
                <c:pt idx="0">
                  <c:v>-20.650155521034407</c:v>
                </c:pt>
                <c:pt idx="1">
                  <c:v>-19.308211020988921</c:v>
                </c:pt>
                <c:pt idx="2">
                  <c:v>-19.132707383916127</c:v>
                </c:pt>
                <c:pt idx="3">
                  <c:v>-18.684061109656994</c:v>
                </c:pt>
                <c:pt idx="4">
                  <c:v>-17.605396721533854</c:v>
                </c:pt>
                <c:pt idx="5">
                  <c:v>-17.013004141551992</c:v>
                </c:pt>
                <c:pt idx="6">
                  <c:v>-15.950021168598605</c:v>
                </c:pt>
                <c:pt idx="7">
                  <c:v>-15.295149491069333</c:v>
                </c:pt>
                <c:pt idx="8">
                  <c:v>-14.217594637038394</c:v>
                </c:pt>
                <c:pt idx="9">
                  <c:v>-14.211800403445796</c:v>
                </c:pt>
                <c:pt idx="10">
                  <c:v>-13.390350674207649</c:v>
                </c:pt>
                <c:pt idx="11">
                  <c:v>-13.090973719819079</c:v>
                </c:pt>
                <c:pt idx="12">
                  <c:v>-13.067303659185491</c:v>
                </c:pt>
                <c:pt idx="13">
                  <c:v>-12.923286134018003</c:v>
                </c:pt>
                <c:pt idx="14">
                  <c:v>-11.202300131764027</c:v>
                </c:pt>
                <c:pt idx="15">
                  <c:v>-10.868428995264633</c:v>
                </c:pt>
                <c:pt idx="16">
                  <c:v>-10.611658150016522</c:v>
                </c:pt>
                <c:pt idx="17">
                  <c:v>-9.4570523173606222</c:v>
                </c:pt>
                <c:pt idx="18">
                  <c:v>-9.2323100229073347</c:v>
                </c:pt>
                <c:pt idx="19">
                  <c:v>-8.8546862587055433</c:v>
                </c:pt>
                <c:pt idx="20">
                  <c:v>-8.5634089031900302</c:v>
                </c:pt>
                <c:pt idx="21">
                  <c:v>-8.1336986774377653</c:v>
                </c:pt>
                <c:pt idx="22">
                  <c:v>-6.6011362203524149</c:v>
                </c:pt>
                <c:pt idx="23">
                  <c:v>-6.0448404828367739</c:v>
                </c:pt>
                <c:pt idx="24">
                  <c:v>-5.6645661649702843</c:v>
                </c:pt>
                <c:pt idx="25">
                  <c:v>-5.5374628706305478</c:v>
                </c:pt>
                <c:pt idx="26">
                  <c:v>-5.3542048230689403</c:v>
                </c:pt>
                <c:pt idx="27">
                  <c:v>-4.8731601533175812</c:v>
                </c:pt>
                <c:pt idx="28">
                  <c:v>-4.8066497485685149</c:v>
                </c:pt>
                <c:pt idx="29">
                  <c:v>-4.7022179341793873</c:v>
                </c:pt>
                <c:pt idx="30">
                  <c:v>-4.5441093260409664</c:v>
                </c:pt>
                <c:pt idx="31">
                  <c:v>-4.4182881599855497</c:v>
                </c:pt>
                <c:pt idx="32">
                  <c:v>-4.2154899842446509</c:v>
                </c:pt>
                <c:pt idx="33">
                  <c:v>-4.2110395197192734</c:v>
                </c:pt>
                <c:pt idx="34">
                  <c:v>-4.1479070298731253</c:v>
                </c:pt>
                <c:pt idx="35">
                  <c:v>-4.1177277025653005</c:v>
                </c:pt>
                <c:pt idx="36">
                  <c:v>-3.7561182137609217</c:v>
                </c:pt>
                <c:pt idx="37">
                  <c:v>-3.1977020333135218</c:v>
                </c:pt>
                <c:pt idx="38">
                  <c:v>-3.1364804077372725</c:v>
                </c:pt>
                <c:pt idx="39">
                  <c:v>-3.0727561663752843</c:v>
                </c:pt>
                <c:pt idx="40">
                  <c:v>-2.6200292722881713</c:v>
                </c:pt>
                <c:pt idx="41">
                  <c:v>-2.1859302227934294</c:v>
                </c:pt>
                <c:pt idx="42">
                  <c:v>-1.949130991204908</c:v>
                </c:pt>
                <c:pt idx="43">
                  <c:v>-1.5632596902511016</c:v>
                </c:pt>
                <c:pt idx="44">
                  <c:v>-1.2458836272557408</c:v>
                </c:pt>
                <c:pt idx="45">
                  <c:v>-1.2142002648451566</c:v>
                </c:pt>
                <c:pt idx="46">
                  <c:v>-1.1042084518384518</c:v>
                </c:pt>
                <c:pt idx="47">
                  <c:v>-1.0584216783003548</c:v>
                </c:pt>
                <c:pt idx="48">
                  <c:v>-0.37545413192527743</c:v>
                </c:pt>
                <c:pt idx="49">
                  <c:v>-0.31239561101860908</c:v>
                </c:pt>
                <c:pt idx="50">
                  <c:v>-6.2874831373626464E-3</c:v>
                </c:pt>
                <c:pt idx="51">
                  <c:v>6.8384161267659893E-2</c:v>
                </c:pt>
                <c:pt idx="52">
                  <c:v>0.54248807886448203</c:v>
                </c:pt>
                <c:pt idx="53">
                  <c:v>0.97203803858120663</c:v>
                </c:pt>
                <c:pt idx="54">
                  <c:v>1.2727217775672557</c:v>
                </c:pt>
                <c:pt idx="55">
                  <c:v>1.4066918551220486</c:v>
                </c:pt>
                <c:pt idx="56">
                  <c:v>1.6627599954451</c:v>
                </c:pt>
                <c:pt idx="57">
                  <c:v>1.7031470364011598</c:v>
                </c:pt>
                <c:pt idx="58">
                  <c:v>1.9773005824270624</c:v>
                </c:pt>
                <c:pt idx="59">
                  <c:v>2.1424362398160794</c:v>
                </c:pt>
                <c:pt idx="60">
                  <c:v>2.5623825655569887</c:v>
                </c:pt>
                <c:pt idx="61">
                  <c:v>2.6437607271415282</c:v>
                </c:pt>
                <c:pt idx="62">
                  <c:v>3.6949209979347009</c:v>
                </c:pt>
                <c:pt idx="63">
                  <c:v>3.8676261434638342</c:v>
                </c:pt>
                <c:pt idx="64">
                  <c:v>3.9271957960583643</c:v>
                </c:pt>
                <c:pt idx="65">
                  <c:v>3.9833258929670761</c:v>
                </c:pt>
                <c:pt idx="66">
                  <c:v>4.3767173694346786</c:v>
                </c:pt>
                <c:pt idx="67">
                  <c:v>4.5237183084945247</c:v>
                </c:pt>
                <c:pt idx="68">
                  <c:v>4.5838427281351546</c:v>
                </c:pt>
                <c:pt idx="69">
                  <c:v>4.5911409968305108</c:v>
                </c:pt>
                <c:pt idx="70">
                  <c:v>4.7394117360180967</c:v>
                </c:pt>
                <c:pt idx="71">
                  <c:v>5.055468686259398</c:v>
                </c:pt>
                <c:pt idx="72">
                  <c:v>5.3024879596527343</c:v>
                </c:pt>
                <c:pt idx="73">
                  <c:v>5.7629199516023437</c:v>
                </c:pt>
                <c:pt idx="74">
                  <c:v>6.1496542235167491</c:v>
                </c:pt>
                <c:pt idx="75">
                  <c:v>6.7139386064962263</c:v>
                </c:pt>
                <c:pt idx="76">
                  <c:v>6.949578991366228</c:v>
                </c:pt>
                <c:pt idx="77">
                  <c:v>7.2188875718561931</c:v>
                </c:pt>
                <c:pt idx="78">
                  <c:v>7.2324732004073464</c:v>
                </c:pt>
                <c:pt idx="79">
                  <c:v>7.6735006739000449</c:v>
                </c:pt>
                <c:pt idx="80">
                  <c:v>8.2448367624432777</c:v>
                </c:pt>
                <c:pt idx="81">
                  <c:v>8.7205926530218196</c:v>
                </c:pt>
                <c:pt idx="82">
                  <c:v>9.0181943528628707</c:v>
                </c:pt>
                <c:pt idx="83">
                  <c:v>9.3083005335032851</c:v>
                </c:pt>
                <c:pt idx="84">
                  <c:v>9.9584135425926785</c:v>
                </c:pt>
                <c:pt idx="85">
                  <c:v>10.111751154134641</c:v>
                </c:pt>
                <c:pt idx="86">
                  <c:v>11.040579127184536</c:v>
                </c:pt>
                <c:pt idx="87">
                  <c:v>11.104291040389944</c:v>
                </c:pt>
                <c:pt idx="88">
                  <c:v>13.009065200938469</c:v>
                </c:pt>
                <c:pt idx="89">
                  <c:v>14.116824038590392</c:v>
                </c:pt>
                <c:pt idx="90">
                  <c:v>14.399286762151212</c:v>
                </c:pt>
                <c:pt idx="91">
                  <c:v>14.46068098191958</c:v>
                </c:pt>
                <c:pt idx="92">
                  <c:v>14.616213005332781</c:v>
                </c:pt>
                <c:pt idx="93">
                  <c:v>16.434911976639789</c:v>
                </c:pt>
                <c:pt idx="94">
                  <c:v>17.168585231028381</c:v>
                </c:pt>
                <c:pt idx="95">
                  <c:v>17.231162953828431</c:v>
                </c:pt>
                <c:pt idx="96">
                  <c:v>18.906855308807511</c:v>
                </c:pt>
                <c:pt idx="97">
                  <c:v>19.099963553476535</c:v>
                </c:pt>
                <c:pt idx="98">
                  <c:v>22.290786352136852</c:v>
                </c:pt>
                <c:pt idx="99">
                  <c:v>24.958402185542234</c:v>
                </c:pt>
              </c:numCache>
            </c:numRef>
          </c:xVal>
          <c:yVal>
            <c:numRef>
              <c:f>[0]!Asampzp</c:f>
              <c:numCache>
                <c:formatCode>0.000</c:formatCode>
                <c:ptCount val="100"/>
                <c:pt idx="0">
                  <c:v>1.0070382466379108E-93</c:v>
                </c:pt>
                <c:pt idx="1">
                  <c:v>4.4350224457093805E-82</c:v>
                </c:pt>
                <c:pt idx="2">
                  <c:v>1.2938509280908309E-80</c:v>
                </c:pt>
                <c:pt idx="3">
                  <c:v>6.252890598801693E-77</c:v>
                </c:pt>
                <c:pt idx="4">
                  <c:v>1.9775346232299058E-68</c:v>
                </c:pt>
                <c:pt idx="5">
                  <c:v>5.6144995573033434E-64</c:v>
                </c:pt>
                <c:pt idx="6">
                  <c:v>2.2801449946523084E-56</c:v>
                </c:pt>
                <c:pt idx="7">
                  <c:v>6.3261214636746082E-52</c:v>
                </c:pt>
                <c:pt idx="8">
                  <c:v>5.09058125719899E-45</c:v>
                </c:pt>
                <c:pt idx="9">
                  <c:v>5.527608694308866E-45</c:v>
                </c:pt>
                <c:pt idx="10">
                  <c:v>4.6353865677622432E-40</c:v>
                </c:pt>
                <c:pt idx="11">
                  <c:v>2.4412215128865468E-38</c:v>
                </c:pt>
                <c:pt idx="12">
                  <c:v>3.3270384032884476E-38</c:v>
                </c:pt>
                <c:pt idx="13">
                  <c:v>2.16203013310015E-37</c:v>
                </c:pt>
                <c:pt idx="14">
                  <c:v>2.2426987719389431E-28</c:v>
                </c:pt>
                <c:pt idx="15">
                  <c:v>8.9306087805615722E-27</c:v>
                </c:pt>
                <c:pt idx="16">
                  <c:v>1.4078228671494458E-25</c:v>
                </c:pt>
                <c:pt idx="17">
                  <c:v>1.5141346081732991E-20</c:v>
                </c:pt>
                <c:pt idx="18">
                  <c:v>1.2366474566749775E-19</c:v>
                </c:pt>
                <c:pt idx="19">
                  <c:v>3.7616540614645657E-18</c:v>
                </c:pt>
                <c:pt idx="20">
                  <c:v>4.7541695170608687E-17</c:v>
                </c:pt>
                <c:pt idx="21">
                  <c:v>1.7182576342189051E-15</c:v>
                </c:pt>
                <c:pt idx="22">
                  <c:v>1.3763192104030552E-10</c:v>
                </c:pt>
                <c:pt idx="23">
                  <c:v>4.6379806755221643E-9</c:v>
                </c:pt>
                <c:pt idx="24">
                  <c:v>4.297731357024756E-8</c:v>
                </c:pt>
                <c:pt idx="25">
                  <c:v>8.7582375251075567E-8</c:v>
                </c:pt>
                <c:pt idx="26">
                  <c:v>2.3759621567179461E-7</c:v>
                </c:pt>
                <c:pt idx="27">
                  <c:v>2.7807678227972995E-6</c:v>
                </c:pt>
                <c:pt idx="28">
                  <c:v>3.8367709793282813E-6</c:v>
                </c:pt>
                <c:pt idx="29">
                  <c:v>6.3037536567539357E-6</c:v>
                </c:pt>
                <c:pt idx="30">
                  <c:v>1.309338631476544E-5</c:v>
                </c:pt>
                <c:pt idx="31">
                  <c:v>2.3010183813313798E-5</c:v>
                </c:pt>
                <c:pt idx="32">
                  <c:v>5.522380559667247E-5</c:v>
                </c:pt>
                <c:pt idx="33">
                  <c:v>5.6269075660057314E-5</c:v>
                </c:pt>
                <c:pt idx="34">
                  <c:v>7.3259333569520826E-5</c:v>
                </c:pt>
                <c:pt idx="35">
                  <c:v>8.2990928656025142E-5</c:v>
                </c:pt>
                <c:pt idx="36">
                  <c:v>3.4459162039218142E-4</c:v>
                </c:pt>
                <c:pt idx="37">
                  <c:v>2.4016778538130594E-3</c:v>
                </c:pt>
                <c:pt idx="38">
                  <c:v>2.915560468206407E-3</c:v>
                </c:pt>
                <c:pt idx="39">
                  <c:v>3.5533880078606845E-3</c:v>
                </c:pt>
                <c:pt idx="40">
                  <c:v>1.28911373993662E-2</c:v>
                </c:pt>
                <c:pt idx="41">
                  <c:v>3.6586205714418084E-2</c:v>
                </c:pt>
                <c:pt idx="42">
                  <c:v>5.9695756372820347E-2</c:v>
                </c:pt>
                <c:pt idx="43">
                  <c:v>0.11755735194906257</c:v>
                </c:pt>
                <c:pt idx="44">
                  <c:v>0.18358976665237284</c:v>
                </c:pt>
                <c:pt idx="45">
                  <c:v>0.1908858497700241</c:v>
                </c:pt>
                <c:pt idx="46">
                  <c:v>0.21684408505028732</c:v>
                </c:pt>
                <c:pt idx="47">
                  <c:v>0.22785022865203347</c:v>
                </c:pt>
                <c:pt idx="48">
                  <c:v>0.37179173419719225</c:v>
                </c:pt>
                <c:pt idx="49">
                  <c:v>0.37994299825846023</c:v>
                </c:pt>
                <c:pt idx="50">
                  <c:v>0.39893439489764626</c:v>
                </c:pt>
                <c:pt idx="51">
                  <c:v>0.39801056454749134</c:v>
                </c:pt>
                <c:pt idx="52">
                  <c:v>0.34435396209038116</c:v>
                </c:pt>
                <c:pt idx="53">
                  <c:v>0.24873492509100587</c:v>
                </c:pt>
                <c:pt idx="54">
                  <c:v>0.17748860048448448</c:v>
                </c:pt>
                <c:pt idx="55">
                  <c:v>0.14832795851986655</c:v>
                </c:pt>
                <c:pt idx="56">
                  <c:v>0.10012619541579611</c:v>
                </c:pt>
                <c:pt idx="57">
                  <c:v>9.354679870420618E-2</c:v>
                </c:pt>
                <c:pt idx="58">
                  <c:v>5.6484030328372264E-2</c:v>
                </c:pt>
                <c:pt idx="59">
                  <c:v>4.0197315908027428E-2</c:v>
                </c:pt>
                <c:pt idx="60">
                  <c:v>1.4967999261635582E-2</c:v>
                </c:pt>
                <c:pt idx="61">
                  <c:v>1.2110603056981945E-2</c:v>
                </c:pt>
                <c:pt idx="62">
                  <c:v>4.3283276711651345E-4</c:v>
                </c:pt>
                <c:pt idx="63">
                  <c:v>2.2527143028369613E-4</c:v>
                </c:pt>
                <c:pt idx="64">
                  <c:v>1.7859820436961991E-4</c:v>
                </c:pt>
                <c:pt idx="65">
                  <c:v>1.4304073358873198E-4</c:v>
                </c:pt>
                <c:pt idx="66">
                  <c:v>2.7625646404000487E-5</c:v>
                </c:pt>
                <c:pt idx="67">
                  <c:v>1.4361605449212064E-5</c:v>
                </c:pt>
                <c:pt idx="68">
                  <c:v>1.0921845377148595E-5</c:v>
                </c:pt>
                <c:pt idx="69">
                  <c:v>1.0562227551086787E-5</c:v>
                </c:pt>
                <c:pt idx="70">
                  <c:v>5.2886352351291815E-6</c:v>
                </c:pt>
                <c:pt idx="71">
                  <c:v>1.1248955713542435E-6</c:v>
                </c:pt>
                <c:pt idx="72">
                  <c:v>3.1297960310267832E-7</c:v>
                </c:pt>
                <c:pt idx="73">
                  <c:v>2.4500759558394289E-8</c:v>
                </c:pt>
                <c:pt idx="74">
                  <c:v>2.4478345322563782E-9</c:v>
                </c:pt>
                <c:pt idx="75">
                  <c:v>6.4948638253546582E-11</c:v>
                </c:pt>
                <c:pt idx="76">
                  <c:v>1.2984528120556152E-11</c:v>
                </c:pt>
                <c:pt idx="77">
                  <c:v>1.9269023146404061E-12</c:v>
                </c:pt>
                <c:pt idx="78">
                  <c:v>1.7467349203168164E-12</c:v>
                </c:pt>
                <c:pt idx="79">
                  <c:v>6.5269938181941877E-14</c:v>
                </c:pt>
                <c:pt idx="80">
                  <c:v>6.9154382168487801E-16</c:v>
                </c:pt>
                <c:pt idx="81">
                  <c:v>1.2221846300105439E-17</c:v>
                </c:pt>
                <c:pt idx="82">
                  <c:v>8.7256201303830146E-19</c:v>
                </c:pt>
                <c:pt idx="83">
                  <c:v>6.1137107669451781E-20</c:v>
                </c:pt>
                <c:pt idx="84">
                  <c:v>1.1652473359467271E-22</c:v>
                </c:pt>
                <c:pt idx="85">
                  <c:v>2.5011807092586108E-23</c:v>
                </c:pt>
                <c:pt idx="86">
                  <c:v>1.3548154500398677E-27</c:v>
                </c:pt>
                <c:pt idx="87">
                  <c:v>6.691274175937832E-28</c:v>
                </c:pt>
                <c:pt idx="88">
                  <c:v>7.1093178681806127E-38</c:v>
                </c:pt>
                <c:pt idx="89">
                  <c:v>2.1221826061257763E-44</c:v>
                </c:pt>
                <c:pt idx="90">
                  <c:v>3.7819740743034026E-46</c:v>
                </c:pt>
                <c:pt idx="91">
                  <c:v>1.559442700391572E-46</c:v>
                </c:pt>
                <c:pt idx="92">
                  <c:v>1.6253440702151439E-47</c:v>
                </c:pt>
                <c:pt idx="93">
                  <c:v>8.8728957307586842E-60</c:v>
                </c:pt>
                <c:pt idx="94">
                  <c:v>3.931154284657833E-65</c:v>
                </c:pt>
                <c:pt idx="95">
                  <c:v>1.3399122687181362E-65</c:v>
                </c:pt>
                <c:pt idx="96">
                  <c:v>9.4943319075388562E-79</c:v>
                </c:pt>
                <c:pt idx="97">
                  <c:v>2.419509985301375E-80</c:v>
                </c:pt>
                <c:pt idx="98">
                  <c:v>5.0695826914714958E-109</c:v>
                </c:pt>
                <c:pt idx="99">
                  <c:v>2.1634718869347315E-136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4839680"/>
        <c:axId val="324839104"/>
      </c:scatterChart>
      <c:scatterChart>
        <c:scatterStyle val="lineMarker"/>
        <c:varyColors val="0"/>
        <c:ser>
          <c:idx val="1"/>
          <c:order val="1"/>
          <c:tx>
            <c:v>(B) Frequency</c:v>
          </c:tx>
          <c:spPr>
            <a:ln w="25400">
              <a:noFill/>
            </a:ln>
          </c:spPr>
          <c:marker>
            <c:symbol val="circle"/>
            <c:size val="3"/>
            <c:spPr>
              <a:solidFill>
                <a:srgbClr val="92D050"/>
              </a:solidFill>
            </c:spPr>
          </c:marker>
          <c:xVal>
            <c:numRef>
              <c:f>[0]!Bsampz</c:f>
              <c:numCache>
                <c:formatCode>General</c:formatCode>
                <c:ptCount val="100"/>
                <c:pt idx="0">
                  <c:v>-26.729332193204957</c:v>
                </c:pt>
                <c:pt idx="1">
                  <c:v>-23.645892540766749</c:v>
                </c:pt>
                <c:pt idx="2">
                  <c:v>-19.647916719101847</c:v>
                </c:pt>
                <c:pt idx="3">
                  <c:v>-17.827884145092359</c:v>
                </c:pt>
                <c:pt idx="4">
                  <c:v>-15.452906031726192</c:v>
                </c:pt>
                <c:pt idx="5">
                  <c:v>-13.990704133447197</c:v>
                </c:pt>
                <c:pt idx="6">
                  <c:v>-12.839774124116861</c:v>
                </c:pt>
                <c:pt idx="7">
                  <c:v>-12.692537960762966</c:v>
                </c:pt>
                <c:pt idx="8">
                  <c:v>-11.955877156500895</c:v>
                </c:pt>
                <c:pt idx="9">
                  <c:v>-11.944557451467167</c:v>
                </c:pt>
                <c:pt idx="10">
                  <c:v>-11.497249107325192</c:v>
                </c:pt>
                <c:pt idx="11">
                  <c:v>-11.470969792105549</c:v>
                </c:pt>
                <c:pt idx="12">
                  <c:v>-10.388997985878206</c:v>
                </c:pt>
                <c:pt idx="13">
                  <c:v>-9.15907003505807</c:v>
                </c:pt>
                <c:pt idx="14">
                  <c:v>-9.0814520576094875</c:v>
                </c:pt>
                <c:pt idx="15">
                  <c:v>-8.4443286596245617</c:v>
                </c:pt>
                <c:pt idx="16">
                  <c:v>-8.3971898879558395</c:v>
                </c:pt>
                <c:pt idx="17">
                  <c:v>-7.9874805640672371</c:v>
                </c:pt>
                <c:pt idx="18">
                  <c:v>-7.9809207350017557</c:v>
                </c:pt>
                <c:pt idx="19">
                  <c:v>-7.8841832557647562</c:v>
                </c:pt>
                <c:pt idx="20">
                  <c:v>-7.7500267515841088</c:v>
                </c:pt>
                <c:pt idx="21">
                  <c:v>-7.3210979285127991</c:v>
                </c:pt>
                <c:pt idx="22">
                  <c:v>-7.3098982203522205</c:v>
                </c:pt>
                <c:pt idx="23">
                  <c:v>-7.2208405409967602</c:v>
                </c:pt>
                <c:pt idx="24">
                  <c:v>-6.8519701529365546</c:v>
                </c:pt>
                <c:pt idx="25">
                  <c:v>-6.633835837030424</c:v>
                </c:pt>
                <c:pt idx="26">
                  <c:v>-6.6262360350643172</c:v>
                </c:pt>
                <c:pt idx="27">
                  <c:v>-6.1393887212197287</c:v>
                </c:pt>
                <c:pt idx="28">
                  <c:v>-6.0407412917517735</c:v>
                </c:pt>
                <c:pt idx="29">
                  <c:v>-5.7796580949977088</c:v>
                </c:pt>
                <c:pt idx="30">
                  <c:v>-5.2745912559133217</c:v>
                </c:pt>
                <c:pt idx="31">
                  <c:v>-5.1860335635293167</c:v>
                </c:pt>
                <c:pt idx="32">
                  <c:v>-4.8309828153601098</c:v>
                </c:pt>
                <c:pt idx="33">
                  <c:v>-4.5383604404467022</c:v>
                </c:pt>
                <c:pt idx="34">
                  <c:v>-4.3993740621218045</c:v>
                </c:pt>
                <c:pt idx="35">
                  <c:v>-4.1134115136681695</c:v>
                </c:pt>
                <c:pt idx="36">
                  <c:v>-3.6940524412304967</c:v>
                </c:pt>
                <c:pt idx="37">
                  <c:v>-3.5137171403663197</c:v>
                </c:pt>
                <c:pt idx="38">
                  <c:v>-3.0946280608932328</c:v>
                </c:pt>
                <c:pt idx="39">
                  <c:v>-2.8598341790982413</c:v>
                </c:pt>
                <c:pt idx="40">
                  <c:v>-2.0719147105226647</c:v>
                </c:pt>
                <c:pt idx="41">
                  <c:v>-1.5938071689390991</c:v>
                </c:pt>
                <c:pt idx="42">
                  <c:v>-1.4542408057273148</c:v>
                </c:pt>
                <c:pt idx="43">
                  <c:v>-1.2358764958143156</c:v>
                </c:pt>
                <c:pt idx="44">
                  <c:v>-0.99540276202360223</c:v>
                </c:pt>
                <c:pt idx="45">
                  <c:v>-0.93171442159973938</c:v>
                </c:pt>
                <c:pt idx="46">
                  <c:v>-0.83942682640868427</c:v>
                </c:pt>
                <c:pt idx="47">
                  <c:v>-0.83873684438807727</c:v>
                </c:pt>
                <c:pt idx="48">
                  <c:v>-0.80254778739420696</c:v>
                </c:pt>
                <c:pt idx="49">
                  <c:v>-0.69073070109814261</c:v>
                </c:pt>
                <c:pt idx="50">
                  <c:v>-0.61313272312841804</c:v>
                </c:pt>
                <c:pt idx="51">
                  <c:v>7.2211118339274719E-3</c:v>
                </c:pt>
                <c:pt idx="52">
                  <c:v>1.0623836166518867</c:v>
                </c:pt>
                <c:pt idx="53">
                  <c:v>1.083943054861001</c:v>
                </c:pt>
                <c:pt idx="54">
                  <c:v>1.0893229146738503</c:v>
                </c:pt>
                <c:pt idx="55">
                  <c:v>1.1607410536763985</c:v>
                </c:pt>
                <c:pt idx="56">
                  <c:v>1.321216872034406</c:v>
                </c:pt>
                <c:pt idx="57">
                  <c:v>1.334036537982497</c:v>
                </c:pt>
                <c:pt idx="58">
                  <c:v>1.3711455710038434</c:v>
                </c:pt>
                <c:pt idx="59">
                  <c:v>1.601559566928894</c:v>
                </c:pt>
                <c:pt idx="60">
                  <c:v>1.8136140412621387</c:v>
                </c:pt>
                <c:pt idx="61">
                  <c:v>1.8258237231050554</c:v>
                </c:pt>
                <c:pt idx="62">
                  <c:v>1.9929693676622648</c:v>
                </c:pt>
                <c:pt idx="63">
                  <c:v>2.0746772385373449</c:v>
                </c:pt>
                <c:pt idx="64">
                  <c:v>2.2405029174899145</c:v>
                </c:pt>
                <c:pt idx="65">
                  <c:v>2.6655718411415963</c:v>
                </c:pt>
                <c:pt idx="66">
                  <c:v>2.6987209773490237</c:v>
                </c:pt>
                <c:pt idx="67">
                  <c:v>4.0437459289979634</c:v>
                </c:pt>
                <c:pt idx="68">
                  <c:v>4.1780424295306178</c:v>
                </c:pt>
                <c:pt idx="69">
                  <c:v>4.3821571107571664</c:v>
                </c:pt>
                <c:pt idx="70">
                  <c:v>4.4897643067535844</c:v>
                </c:pt>
                <c:pt idx="71">
                  <c:v>4.9920212190583984</c:v>
                </c:pt>
                <c:pt idx="72">
                  <c:v>5.074159078728929</c:v>
                </c:pt>
                <c:pt idx="73">
                  <c:v>5.2395747683649061</c:v>
                </c:pt>
                <c:pt idx="74">
                  <c:v>5.3097429399388183</c:v>
                </c:pt>
                <c:pt idx="75">
                  <c:v>5.5056278356152273</c:v>
                </c:pt>
                <c:pt idx="76">
                  <c:v>5.6217848088235156</c:v>
                </c:pt>
                <c:pt idx="77">
                  <c:v>5.6351844596584941</c:v>
                </c:pt>
                <c:pt idx="78">
                  <c:v>5.9748156096280463</c:v>
                </c:pt>
                <c:pt idx="79">
                  <c:v>6.0346140514139934</c:v>
                </c:pt>
                <c:pt idx="80">
                  <c:v>7.4155180681345012</c:v>
                </c:pt>
                <c:pt idx="81">
                  <c:v>7.4607168903539804</c:v>
                </c:pt>
                <c:pt idx="82">
                  <c:v>7.8251473941076712</c:v>
                </c:pt>
                <c:pt idx="83">
                  <c:v>8.2236370103568355</c:v>
                </c:pt>
                <c:pt idx="84">
                  <c:v>9.160812589650984</c:v>
                </c:pt>
                <c:pt idx="85">
                  <c:v>9.8253352736716124</c:v>
                </c:pt>
                <c:pt idx="86">
                  <c:v>10.251844159801083</c:v>
                </c:pt>
                <c:pt idx="87">
                  <c:v>11.033643787846056</c:v>
                </c:pt>
                <c:pt idx="88">
                  <c:v>11.103881957595974</c:v>
                </c:pt>
                <c:pt idx="89">
                  <c:v>11.602468965530312</c:v>
                </c:pt>
                <c:pt idx="90">
                  <c:v>12.823617145131706</c:v>
                </c:pt>
                <c:pt idx="91">
                  <c:v>13.206587165786926</c:v>
                </c:pt>
                <c:pt idx="92">
                  <c:v>14.42379544805326</c:v>
                </c:pt>
                <c:pt idx="93">
                  <c:v>15.621924227488893</c:v>
                </c:pt>
                <c:pt idx="94">
                  <c:v>19.852653984105249</c:v>
                </c:pt>
                <c:pt idx="95">
                  <c:v>20.607034326635667</c:v>
                </c:pt>
                <c:pt idx="96">
                  <c:v>21.295336391018665</c:v>
                </c:pt>
                <c:pt idx="97">
                  <c:v>23.262645127339763</c:v>
                </c:pt>
                <c:pt idx="98">
                  <c:v>23.430000766424985</c:v>
                </c:pt>
                <c:pt idx="99">
                  <c:v>30.014149198198396</c:v>
                </c:pt>
              </c:numCache>
            </c:numRef>
          </c:xVal>
          <c:yVal>
            <c:numRef>
              <c:f>[0]!Bsampzp</c:f>
              <c:numCache>
                <c:formatCode>General</c:formatCode>
                <c:ptCount val="100"/>
                <c:pt idx="0">
                  <c:v>2.874090356698764E-156</c:v>
                </c:pt>
                <c:pt idx="1">
                  <c:v>1.5408370185697422E-122</c:v>
                </c:pt>
                <c:pt idx="2">
                  <c:v>5.9326955477990511E-85</c:v>
                </c:pt>
                <c:pt idx="3">
                  <c:v>3.8393052699993431E-70</c:v>
                </c:pt>
                <c:pt idx="4">
                  <c:v>5.5952553674239482E-53</c:v>
                </c:pt>
                <c:pt idx="5">
                  <c:v>1.2489702236548769E-43</c:v>
                </c:pt>
                <c:pt idx="6">
                  <c:v>6.3395648370523865E-37</c:v>
                </c:pt>
                <c:pt idx="7">
                  <c:v>4.1531408191048409E-36</c:v>
                </c:pt>
                <c:pt idx="8">
                  <c:v>3.641097517267777E-32</c:v>
                </c:pt>
                <c:pt idx="9">
                  <c:v>4.1685076201764363E-32</c:v>
                </c:pt>
                <c:pt idx="10">
                  <c:v>7.8872358583926706E-30</c:v>
                </c:pt>
                <c:pt idx="11">
                  <c:v>1.0665777709429472E-29</c:v>
                </c:pt>
                <c:pt idx="12">
                  <c:v>1.4585811138685899E-24</c:v>
                </c:pt>
                <c:pt idx="13">
                  <c:v>2.4251570377623051E-19</c:v>
                </c:pt>
                <c:pt idx="14">
                  <c:v>4.9223816882544515E-19</c:v>
                </c:pt>
                <c:pt idx="15">
                  <c:v>1.3087594434755317E-16</c:v>
                </c:pt>
                <c:pt idx="16">
                  <c:v>1.9464825972734321E-16</c:v>
                </c:pt>
                <c:pt idx="17">
                  <c:v>5.584053693601067E-15</c:v>
                </c:pt>
                <c:pt idx="18">
                  <c:v>5.8843128592812276E-15</c:v>
                </c:pt>
                <c:pt idx="19">
                  <c:v>1.2675424708189354E-14</c:v>
                </c:pt>
                <c:pt idx="20">
                  <c:v>3.6175443654866636E-14</c:v>
                </c:pt>
                <c:pt idx="21">
                  <c:v>9.1653515302161028E-13</c:v>
                </c:pt>
                <c:pt idx="22">
                  <c:v>9.9479020507082694E-13</c:v>
                </c:pt>
                <c:pt idx="23">
                  <c:v>1.8999233124182179E-12</c:v>
                </c:pt>
                <c:pt idx="24">
                  <c:v>2.546576737439687E-11</c:v>
                </c:pt>
                <c:pt idx="25">
                  <c:v>1.108517392863908E-10</c:v>
                </c:pt>
                <c:pt idx="26">
                  <c:v>1.1658033270977221E-10</c:v>
                </c:pt>
                <c:pt idx="27">
                  <c:v>2.6072091775700749E-9</c:v>
                </c:pt>
                <c:pt idx="28">
                  <c:v>4.7543007374082537E-9</c:v>
                </c:pt>
                <c:pt idx="29">
                  <c:v>2.2244692841991943E-8</c:v>
                </c:pt>
                <c:pt idx="30">
                  <c:v>3.6273438521777497E-7</c:v>
                </c:pt>
                <c:pt idx="31">
                  <c:v>5.7643076824049766E-7</c:v>
                </c:pt>
                <c:pt idx="32">
                  <c:v>3.4122590283241391E-6</c:v>
                </c:pt>
                <c:pt idx="33">
                  <c:v>1.3439717036665132E-5</c:v>
                </c:pt>
                <c:pt idx="34">
                  <c:v>2.5011255799508838E-5</c:v>
                </c:pt>
                <c:pt idx="35">
                  <c:v>8.4478315858373758E-5</c:v>
                </c:pt>
                <c:pt idx="36">
                  <c:v>4.3422390251464697E-4</c:v>
                </c:pt>
                <c:pt idx="37">
                  <c:v>8.316968018143541E-4</c:v>
                </c:pt>
                <c:pt idx="38">
                  <c:v>3.3216290096331111E-3</c:v>
                </c:pt>
                <c:pt idx="39">
                  <c:v>6.6824920530238431E-3</c:v>
                </c:pt>
                <c:pt idx="40">
                  <c:v>4.663733785988667E-2</c:v>
                </c:pt>
                <c:pt idx="41">
                  <c:v>0.11202321200838505</c:v>
                </c:pt>
                <c:pt idx="42">
                  <c:v>0.13857456902554424</c:v>
                </c:pt>
                <c:pt idx="43">
                  <c:v>0.18588373345728487</c:v>
                </c:pt>
                <c:pt idx="44">
                  <c:v>0.24308311367740992</c:v>
                </c:pt>
                <c:pt idx="45">
                  <c:v>0.25846773349010654</c:v>
                </c:pt>
                <c:pt idx="46">
                  <c:v>0.28047877322727183</c:v>
                </c:pt>
                <c:pt idx="47">
                  <c:v>0.28064120381533009</c:v>
                </c:pt>
                <c:pt idx="48">
                  <c:v>0.2891007577984403</c:v>
                </c:pt>
                <c:pt idx="49">
                  <c:v>0.31427308175196128</c:v>
                </c:pt>
                <c:pt idx="50">
                  <c:v>0.33058072403804195</c:v>
                </c:pt>
                <c:pt idx="51">
                  <c:v>0.39893187922290718</c:v>
                </c:pt>
                <c:pt idx="52">
                  <c:v>0.22689498092007454</c:v>
                </c:pt>
                <c:pt idx="53">
                  <c:v>0.22170562151076884</c:v>
                </c:pt>
                <c:pt idx="54">
                  <c:v>0.22041332628980417</c:v>
                </c:pt>
                <c:pt idx="55">
                  <c:v>0.20339641313732962</c:v>
                </c:pt>
                <c:pt idx="56">
                  <c:v>0.16666898744102324</c:v>
                </c:pt>
                <c:pt idx="57">
                  <c:v>0.16385632936862346</c:v>
                </c:pt>
                <c:pt idx="58">
                  <c:v>0.15583482891588055</c:v>
                </c:pt>
                <c:pt idx="59">
                  <c:v>0.11064426361780882</c:v>
                </c:pt>
                <c:pt idx="60">
                  <c:v>7.7031836731456679E-2</c:v>
                </c:pt>
                <c:pt idx="61">
                  <c:v>7.5339202122506985E-2</c:v>
                </c:pt>
                <c:pt idx="62">
                  <c:v>5.4754157153446073E-2</c:v>
                </c:pt>
                <c:pt idx="63">
                  <c:v>4.6370984228608927E-2</c:v>
                </c:pt>
                <c:pt idx="64">
                  <c:v>3.2423714501810343E-2</c:v>
                </c:pt>
                <c:pt idx="65">
                  <c:v>1.1429298766176743E-2</c:v>
                </c:pt>
                <c:pt idx="66">
                  <c:v>1.0456975722734671E-2</c:v>
                </c:pt>
                <c:pt idx="67">
                  <c:v>1.1223910430834968E-4</c:v>
                </c:pt>
                <c:pt idx="68">
                  <c:v>6.4621860622962913E-5</c:v>
                </c:pt>
                <c:pt idx="69">
                  <c:v>2.6975297857857389E-5</c:v>
                </c:pt>
                <c:pt idx="70">
                  <c:v>1.6736304125637218E-5</c:v>
                </c:pt>
                <c:pt idx="71">
                  <c:v>1.5471802783975079E-6</c:v>
                </c:pt>
                <c:pt idx="72">
                  <c:v>1.0232940111802893E-6</c:v>
                </c:pt>
                <c:pt idx="73">
                  <c:v>4.3604935090764394E-7</c:v>
                </c:pt>
                <c:pt idx="74">
                  <c:v>3.0116017306006392E-7</c:v>
                </c:pt>
                <c:pt idx="75">
                  <c:v>1.044134367418968E-7</c:v>
                </c:pt>
                <c:pt idx="76">
                  <c:v>5.4712657728994983E-8</c:v>
                </c:pt>
                <c:pt idx="77">
                  <c:v>5.0738011151857464E-8</c:v>
                </c:pt>
                <c:pt idx="78">
                  <c:v>7.0647421539497349E-9</c:v>
                </c:pt>
                <c:pt idx="79">
                  <c:v>4.9334765840120835E-9</c:v>
                </c:pt>
                <c:pt idx="80">
                  <c:v>4.570915743321885E-13</c:v>
                </c:pt>
                <c:pt idx="81">
                  <c:v>3.2658478803273026E-13</c:v>
                </c:pt>
                <c:pt idx="82">
                  <c:v>2.0153379510069379E-14</c:v>
                </c:pt>
                <c:pt idx="83">
                  <c:v>8.2343968249352639E-16</c:v>
                </c:pt>
                <c:pt idx="84">
                  <c:v>2.3867547124807184E-19</c:v>
                </c:pt>
                <c:pt idx="85">
                  <c:v>4.3463086239044122E-22</c:v>
                </c:pt>
                <c:pt idx="86">
                  <c:v>6.0071435952104631E-24</c:v>
                </c:pt>
                <c:pt idx="87">
                  <c:v>1.4625936892498974E-27</c:v>
                </c:pt>
                <c:pt idx="88">
                  <c:v>6.7217383661175792E-28</c:v>
                </c:pt>
                <c:pt idx="89">
                  <c:v>2.3395794911163939E-30</c:v>
                </c:pt>
                <c:pt idx="90">
                  <c:v>7.8000610853272787E-37</c:v>
                </c:pt>
                <c:pt idx="91">
                  <c:v>5.3383029871626047E-39</c:v>
                </c:pt>
                <c:pt idx="92">
                  <c:v>2.6565762797606659E-46</c:v>
                </c:pt>
                <c:pt idx="93">
                  <c:v>4.048709562372653E-54</c:v>
                </c:pt>
                <c:pt idx="94">
                  <c:v>1.0402326166287613E-86</c:v>
                </c:pt>
                <c:pt idx="95">
                  <c:v>2.4511155456214442E-93</c:v>
                </c:pt>
                <c:pt idx="96">
                  <c:v>1.3381789135028372E-99</c:v>
                </c:pt>
                <c:pt idx="97">
                  <c:v>1.234632407246731E-118</c:v>
                </c:pt>
                <c:pt idx="98">
                  <c:v>2.4813547191224376E-120</c:v>
                </c:pt>
                <c:pt idx="99">
                  <c:v>9.638338517057188E-197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4840832"/>
        <c:axId val="324840256"/>
      </c:scatterChart>
      <c:valAx>
        <c:axId val="324839104"/>
        <c:scaling>
          <c:orientation val="minMax"/>
        </c:scaling>
        <c:delete val="0"/>
        <c:axPos val="r"/>
        <c:numFmt formatCode="0.000" sourceLinked="1"/>
        <c:majorTickMark val="out"/>
        <c:minorTickMark val="none"/>
        <c:tickLblPos val="nextTo"/>
        <c:crossAx val="324839680"/>
        <c:crosses val="max"/>
        <c:crossBetween val="midCat"/>
      </c:valAx>
      <c:valAx>
        <c:axId val="3248396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324839104"/>
        <c:crosses val="autoZero"/>
        <c:crossBetween val="midCat"/>
      </c:valAx>
      <c:valAx>
        <c:axId val="324840256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324840832"/>
        <c:crosses val="autoZero"/>
        <c:crossBetween val="midCat"/>
      </c:valAx>
      <c:valAx>
        <c:axId val="32484083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24840256"/>
        <c:crosses val="autoZero"/>
        <c:crossBetween val="midCat"/>
      </c:valAx>
    </c:plotArea>
    <c:legend>
      <c:legendPos val="t"/>
      <c:layout>
        <c:manualLayout>
          <c:xMode val="edge"/>
          <c:yMode val="edge"/>
          <c:x val="0.34434151068869934"/>
          <c:y val="0.11398854684343947"/>
          <c:w val="0.17348444096650012"/>
          <c:h val="5.5746932380934582E-2"/>
        </c:manualLayout>
      </c:layout>
      <c:overlay val="0"/>
    </c:legend>
    <c:plotVisOnly val="1"/>
    <c:dispBlanksAs val="span"/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21"/>
    </mc:Choice>
    <mc:Fallback>
      <c:style val="21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 Distributions</a:t>
            </a:r>
            <a:r>
              <a:rPr lang="en-US" baseline="0"/>
              <a:t> of Data</a:t>
            </a:r>
            <a:endParaRPr lang="en-US"/>
          </a:p>
        </c:rich>
      </c:tx>
      <c:layout>
        <c:manualLayout>
          <c:xMode val="edge"/>
          <c:yMode val="edge"/>
          <c:x val="0.21836584383434418"/>
          <c:y val="2.1650870339415752E-2"/>
        </c:manualLayout>
      </c:layout>
      <c:overlay val="0"/>
    </c:title>
    <c:autoTitleDeleted val="0"/>
    <c:plotArea>
      <c:layout/>
      <c:scatterChart>
        <c:scatterStyle val="lineMarker"/>
        <c:varyColors val="0"/>
        <c:ser>
          <c:idx val="1"/>
          <c:order val="1"/>
          <c:tx>
            <c:v>(B)</c:v>
          </c:tx>
          <c:spPr>
            <a:ln w="25400">
              <a:noFill/>
            </a:ln>
          </c:spPr>
          <c:marker>
            <c:symbol val="circle"/>
            <c:size val="2"/>
            <c:spPr>
              <a:solidFill>
                <a:srgbClr val="92D050"/>
              </a:solidFill>
            </c:spPr>
          </c:marker>
          <c:xVal>
            <c:numRef>
              <c:f>[0]!Bdata</c:f>
              <c:numCache>
                <c:formatCode>General</c:formatCode>
                <c:ptCount val="100"/>
                <c:pt idx="0">
                  <c:v>0.38356183469295502</c:v>
                </c:pt>
                <c:pt idx="1">
                  <c:v>0.73411747254431248</c:v>
                </c:pt>
                <c:pt idx="2">
                  <c:v>1.1886465447023511</c:v>
                </c:pt>
                <c:pt idx="3">
                  <c:v>1.39556568430271</c:v>
                </c:pt>
                <c:pt idx="4">
                  <c:v>1.6655764713650569</c:v>
                </c:pt>
                <c:pt idx="5">
                  <c:v>1.8318139129551128</c:v>
                </c:pt>
                <c:pt idx="6">
                  <c:v>1.9626629156991839</c:v>
                </c:pt>
                <c:pt idx="7">
                  <c:v>1.9794021656853147</c:v>
                </c:pt>
                <c:pt idx="8">
                  <c:v>2.0631529852980748</c:v>
                </c:pt>
                <c:pt idx="9">
                  <c:v>2.0644399203010835</c:v>
                </c:pt>
                <c:pt idx="10">
                  <c:v>2.1152943165507168</c:v>
                </c:pt>
                <c:pt idx="11">
                  <c:v>2.1182820066460408</c:v>
                </c:pt>
                <c:pt idx="12">
                  <c:v>2.2412911650608294</c:v>
                </c:pt>
                <c:pt idx="13">
                  <c:v>2.3811214279849082</c:v>
                </c:pt>
                <c:pt idx="14">
                  <c:v>2.3899458003288601</c:v>
                </c:pt>
                <c:pt idx="15">
                  <c:v>2.4623802321148105</c:v>
                </c:pt>
                <c:pt idx="16">
                  <c:v>2.4677394296450075</c:v>
                </c:pt>
                <c:pt idx="17">
                  <c:v>2.514319200796308</c:v>
                </c:pt>
                <c:pt idx="18">
                  <c:v>2.5150649864517618</c:v>
                </c:pt>
                <c:pt idx="19">
                  <c:v>2.5260630511329509</c:v>
                </c:pt>
                <c:pt idx="20">
                  <c:v>2.5413152772816829</c:v>
                </c:pt>
                <c:pt idx="21">
                  <c:v>2.5900801094539929</c:v>
                </c:pt>
                <c:pt idx="22">
                  <c:v>2.591353402036475</c:v>
                </c:pt>
                <c:pt idx="23">
                  <c:v>2.6014783518039621</c:v>
                </c:pt>
                <c:pt idx="24">
                  <c:v>2.6434151525027119</c:v>
                </c:pt>
                <c:pt idx="25">
                  <c:v>2.6682147992833052</c:v>
                </c:pt>
                <c:pt idx="26">
                  <c:v>2.6690788192499895</c:v>
                </c:pt>
                <c:pt idx="27">
                  <c:v>2.7244283930631354</c:v>
                </c:pt>
                <c:pt idx="28">
                  <c:v>2.7356435996043729</c:v>
                </c:pt>
                <c:pt idx="29">
                  <c:v>2.7653260960651096</c:v>
                </c:pt>
                <c:pt idx="30">
                  <c:v>2.8227470440615434</c:v>
                </c:pt>
                <c:pt idx="31">
                  <c:v>2.8328151504101697</c:v>
                </c:pt>
                <c:pt idx="32">
                  <c:v>2.8731807990116067</c:v>
                </c:pt>
                <c:pt idx="33">
                  <c:v>2.9064489783340832</c:v>
                </c:pt>
                <c:pt idx="34">
                  <c:v>2.9222503119090106</c:v>
                </c:pt>
                <c:pt idx="35">
                  <c:v>2.9547613368922612</c:v>
                </c:pt>
                <c:pt idx="36">
                  <c:v>3.0024381860275753</c:v>
                </c:pt>
                <c:pt idx="37">
                  <c:v>3.0229404703422915</c:v>
                </c:pt>
                <c:pt idx="38">
                  <c:v>3.0705866240314208</c:v>
                </c:pt>
                <c:pt idx="39">
                  <c:v>3.0972802935284562</c:v>
                </c:pt>
                <c:pt idx="40">
                  <c:v>3.1868587004428264</c:v>
                </c:pt>
                <c:pt idx="41">
                  <c:v>3.2412146512942854</c:v>
                </c:pt>
                <c:pt idx="42">
                  <c:v>3.2570819232350914</c:v>
                </c:pt>
                <c:pt idx="43">
                  <c:v>3.2819077179883607</c:v>
                </c:pt>
                <c:pt idx="44">
                  <c:v>3.3092471287236549</c:v>
                </c:pt>
                <c:pt idx="45">
                  <c:v>3.3164878434181446</c:v>
                </c:pt>
                <c:pt idx="46">
                  <c:v>3.3269800016714726</c:v>
                </c:pt>
                <c:pt idx="47">
                  <c:v>3.3270584455895005</c:v>
                </c:pt>
                <c:pt idx="48">
                  <c:v>3.3311727722466458</c:v>
                </c:pt>
                <c:pt idx="49">
                  <c:v>3.3438852344406769</c:v>
                </c:pt>
                <c:pt idx="50">
                  <c:v>3.3527073330478743</c:v>
                </c:pt>
                <c:pt idx="51">
                  <c:v>3.4232352365652332</c:v>
                </c:pt>
                <c:pt idx="52">
                  <c:v>3.5431964508607052</c:v>
                </c:pt>
                <c:pt idx="53">
                  <c:v>3.5456475390819833</c:v>
                </c:pt>
                <c:pt idx="54">
                  <c:v>3.5462591742689256</c:v>
                </c:pt>
                <c:pt idx="55">
                  <c:v>3.5543786882190034</c:v>
                </c:pt>
                <c:pt idx="56">
                  <c:v>3.5726231519365683</c:v>
                </c:pt>
                <c:pt idx="57">
                  <c:v>3.5740806171961594</c:v>
                </c:pt>
                <c:pt idx="58">
                  <c:v>3.5782995357440086</c:v>
                </c:pt>
                <c:pt idx="59">
                  <c:v>3.6044952568918234</c:v>
                </c:pt>
                <c:pt idx="60">
                  <c:v>3.6286036876990693</c:v>
                </c:pt>
                <c:pt idx="61">
                  <c:v>3.6299918039876502</c:v>
                </c:pt>
                <c:pt idx="62">
                  <c:v>3.6489945589128183</c:v>
                </c:pt>
                <c:pt idx="63">
                  <c:v>3.6582839104230516</c:v>
                </c:pt>
                <c:pt idx="64">
                  <c:v>3.6771365987224272</c:v>
                </c:pt>
                <c:pt idx="65">
                  <c:v>3.7254625997011317</c:v>
                </c:pt>
                <c:pt idx="66">
                  <c:v>3.7292313183716033</c:v>
                </c:pt>
                <c:pt idx="67">
                  <c:v>3.8821469363174401</c:v>
                </c:pt>
                <c:pt idx="68">
                  <c:v>3.8974150786234532</c:v>
                </c:pt>
                <c:pt idx="69">
                  <c:v>3.9206208359391894</c:v>
                </c:pt>
                <c:pt idx="70">
                  <c:v>3.9328546765464125</c:v>
                </c:pt>
                <c:pt idx="71">
                  <c:v>3.9899561645288486</c:v>
                </c:pt>
                <c:pt idx="72">
                  <c:v>3.9992944013793021</c:v>
                </c:pt>
                <c:pt idx="73">
                  <c:v>4.0181004780752119</c:v>
                </c:pt>
                <c:pt idx="74">
                  <c:v>4.0260778834781377</c:v>
                </c:pt>
                <c:pt idx="75">
                  <c:v>4.048347998119425</c:v>
                </c:pt>
                <c:pt idx="76">
                  <c:v>4.0615538611891679</c:v>
                </c:pt>
                <c:pt idx="77">
                  <c:v>4.0630772648146376</c:v>
                </c:pt>
                <c:pt idx="78">
                  <c:v>4.1016898623784073</c:v>
                </c:pt>
                <c:pt idx="79">
                  <c:v>4.1084883352741599</c:v>
                </c:pt>
                <c:pt idx="80">
                  <c:v>4.2654830369574483</c:v>
                </c:pt>
                <c:pt idx="81">
                  <c:v>4.2706216820224654</c:v>
                </c:pt>
                <c:pt idx="82">
                  <c:v>4.3120537131617311</c:v>
                </c:pt>
                <c:pt idx="83">
                  <c:v>4.3573579179937951</c:v>
                </c:pt>
                <c:pt idx="84">
                  <c:v>4.4639052223064937</c:v>
                </c:pt>
                <c:pt idx="85">
                  <c:v>4.5394546734460164</c:v>
                </c:pt>
                <c:pt idx="86">
                  <c:v>4.5879443834710401</c:v>
                </c:pt>
                <c:pt idx="87">
                  <c:v>4.6768270269385539</c:v>
                </c:pt>
                <c:pt idx="88">
                  <c:v>4.6848123904201202</c:v>
                </c:pt>
                <c:pt idx="89">
                  <c:v>4.741496647708118</c:v>
                </c:pt>
                <c:pt idx="90">
                  <c:v>4.880328740197001</c:v>
                </c:pt>
                <c:pt idx="91">
                  <c:v>4.9238685253076255</c:v>
                </c:pt>
                <c:pt idx="92">
                  <c:v>5.0622526916558854</c:v>
                </c:pt>
                <c:pt idx="93">
                  <c:v>5.1984677131404169</c:v>
                </c:pt>
                <c:pt idx="94">
                  <c:v>5.6794585336465389</c:v>
                </c:pt>
                <c:pt idx="95">
                  <c:v>5.765223884023726</c:v>
                </c:pt>
                <c:pt idx="96">
                  <c:v>5.8434768081642687</c:v>
                </c:pt>
                <c:pt idx="97">
                  <c:v>6.0671397452242672</c:v>
                </c:pt>
                <c:pt idx="98">
                  <c:v>6.0861663743853569</c:v>
                </c:pt>
                <c:pt idx="99">
                  <c:v>6.8347168937325478</c:v>
                </c:pt>
              </c:numCache>
            </c:numRef>
          </c:xVal>
          <c:yVal>
            <c:numRef>
              <c:f>[0]!Bdistp</c:f>
              <c:numCache>
                <c:formatCode>General</c:formatCode>
                <c:ptCount val="100"/>
                <c:pt idx="0">
                  <c:v>9.8574473537831088E-3</c:v>
                </c:pt>
                <c:pt idx="1">
                  <c:v>2.1431720121598753E-2</c:v>
                </c:pt>
                <c:pt idx="2">
                  <c:v>5.0922765683331123E-2</c:v>
                </c:pt>
                <c:pt idx="3">
                  <c:v>7.161796698610548E-2</c:v>
                </c:pt>
                <c:pt idx="4">
                  <c:v>0.10633045229816473</c:v>
                </c:pt>
                <c:pt idx="5">
                  <c:v>0.13186968930593704</c:v>
                </c:pt>
                <c:pt idx="6">
                  <c:v>0.15388633503547142</c:v>
                </c:pt>
                <c:pt idx="7">
                  <c:v>0.15680619939220147</c:v>
                </c:pt>
                <c:pt idx="8">
                  <c:v>0.17170849638837851</c:v>
                </c:pt>
                <c:pt idx="9">
                  <c:v>0.17194092868458691</c:v>
                </c:pt>
                <c:pt idx="10">
                  <c:v>0.18119604348928567</c:v>
                </c:pt>
                <c:pt idx="11">
                  <c:v>0.18174370923814687</c:v>
                </c:pt>
                <c:pt idx="12">
                  <c:v>0.20455908291171082</c:v>
                </c:pt>
                <c:pt idx="13">
                  <c:v>0.23068898636498369</c:v>
                </c:pt>
                <c:pt idx="14">
                  <c:v>0.23232781874317626</c:v>
                </c:pt>
                <c:pt idx="15">
                  <c:v>0.24566770029213925</c:v>
                </c:pt>
                <c:pt idx="16">
                  <c:v>0.24664480209104866</c:v>
                </c:pt>
                <c:pt idx="17">
                  <c:v>0.25506387773122791</c:v>
                </c:pt>
                <c:pt idx="18">
                  <c:v>0.25519750240537337</c:v>
                </c:pt>
                <c:pt idx="19">
                  <c:v>0.25716335754812703</c:v>
                </c:pt>
                <c:pt idx="20">
                  <c:v>0.25987446051885532</c:v>
                </c:pt>
                <c:pt idx="21">
                  <c:v>0.26841139758226223</c:v>
                </c:pt>
                <c:pt idx="22">
                  <c:v>0.26863140102846678</c:v>
                </c:pt>
                <c:pt idx="23">
                  <c:v>0.27037518078254963</c:v>
                </c:pt>
                <c:pt idx="24">
                  <c:v>0.27748469225452105</c:v>
                </c:pt>
                <c:pt idx="25">
                  <c:v>0.2815962630955347</c:v>
                </c:pt>
                <c:pt idx="26">
                  <c:v>0.28173818664486078</c:v>
                </c:pt>
                <c:pt idx="27">
                  <c:v>0.29063052129069461</c:v>
                </c:pt>
                <c:pt idx="28">
                  <c:v>0.29238179540846826</c:v>
                </c:pt>
                <c:pt idx="29">
                  <c:v>0.29692839190237691</c:v>
                </c:pt>
                <c:pt idx="30">
                  <c:v>0.30533412808987231</c:v>
                </c:pt>
                <c:pt idx="31">
                  <c:v>0.30675166850998592</c:v>
                </c:pt>
                <c:pt idx="32">
                  <c:v>0.31225534566728608</c:v>
                </c:pt>
                <c:pt idx="33">
                  <c:v>0.31656534009176229</c:v>
                </c:pt>
                <c:pt idx="34">
                  <c:v>0.31853768326250154</c:v>
                </c:pt>
                <c:pt idx="35">
                  <c:v>0.32243851667705614</c:v>
                </c:pt>
                <c:pt idx="36">
                  <c:v>0.32776048936912866</c:v>
                </c:pt>
                <c:pt idx="37">
                  <c:v>0.3298975668495987</c:v>
                </c:pt>
                <c:pt idx="38">
                  <c:v>0.3344975748025838</c:v>
                </c:pt>
                <c:pt idx="39">
                  <c:v>0.3368440238070074</c:v>
                </c:pt>
                <c:pt idx="40">
                  <c:v>0.34345259305851028</c:v>
                </c:pt>
                <c:pt idx="41">
                  <c:v>0.34647550969564989</c:v>
                </c:pt>
                <c:pt idx="42">
                  <c:v>0.34721325604019537</c:v>
                </c:pt>
                <c:pt idx="43">
                  <c:v>0.34823456495391936</c:v>
                </c:pt>
                <c:pt idx="44">
                  <c:v>0.34917007003884148</c:v>
                </c:pt>
                <c:pt idx="45">
                  <c:v>0.34938441256019565</c:v>
                </c:pt>
                <c:pt idx="46">
                  <c:v>0.34967007131386119</c:v>
                </c:pt>
                <c:pt idx="47">
                  <c:v>0.34967209573942559</c:v>
                </c:pt>
                <c:pt idx="48">
                  <c:v>0.34977595772976727</c:v>
                </c:pt>
                <c:pt idx="49">
                  <c:v>0.35006809720267063</c:v>
                </c:pt>
                <c:pt idx="50">
                  <c:v>0.35024523649365097</c:v>
                </c:pt>
                <c:pt idx="51">
                  <c:v>0.35090410562082897</c:v>
                </c:pt>
                <c:pt idx="52">
                  <c:v>0.34892951838556135</c:v>
                </c:pt>
                <c:pt idx="53">
                  <c:v>0.34884879660412554</c:v>
                </c:pt>
                <c:pt idx="54">
                  <c:v>0.34882840373284763</c:v>
                </c:pt>
                <c:pt idx="55">
                  <c:v>0.34854824073351548</c:v>
                </c:pt>
                <c:pt idx="56">
                  <c:v>0.34785480767414545</c:v>
                </c:pt>
                <c:pt idx="57">
                  <c:v>0.34779560875997972</c:v>
                </c:pt>
                <c:pt idx="58">
                  <c:v>0.34762108231033145</c:v>
                </c:pt>
                <c:pt idx="59">
                  <c:v>0.34643259832157081</c:v>
                </c:pt>
                <c:pt idx="60">
                  <c:v>0.34518042938529714</c:v>
                </c:pt>
                <c:pt idx="61">
                  <c:v>0.34510374506575209</c:v>
                </c:pt>
                <c:pt idx="62">
                  <c:v>0.3440041113839985</c:v>
                </c:pt>
                <c:pt idx="63">
                  <c:v>0.3434329222433336</c:v>
                </c:pt>
                <c:pt idx="64">
                  <c:v>0.34220637025853184</c:v>
                </c:pt>
                <c:pt idx="65">
                  <c:v>0.3386566889587756</c:v>
                </c:pt>
                <c:pt idx="66">
                  <c:v>0.33835572027996863</c:v>
                </c:pt>
                <c:pt idx="67">
                  <c:v>0.32335598523731635</c:v>
                </c:pt>
                <c:pt idx="68">
                  <c:v>0.32157572445214028</c:v>
                </c:pt>
                <c:pt idx="69">
                  <c:v>0.31877857476781707</c:v>
                </c:pt>
                <c:pt idx="70">
                  <c:v>0.31726053898412748</c:v>
                </c:pt>
                <c:pt idx="71">
                  <c:v>0.30979533328894127</c:v>
                </c:pt>
                <c:pt idx="72">
                  <c:v>0.30851726055658535</c:v>
                </c:pt>
                <c:pt idx="73">
                  <c:v>0.30589671880527919</c:v>
                </c:pt>
                <c:pt idx="74">
                  <c:v>0.30476664733179037</c:v>
                </c:pt>
                <c:pt idx="75">
                  <c:v>0.30155534178945598</c:v>
                </c:pt>
                <c:pt idx="76">
                  <c:v>0.2996127841074317</c:v>
                </c:pt>
                <c:pt idx="77">
                  <c:v>0.29938690214860869</c:v>
                </c:pt>
                <c:pt idx="78">
                  <c:v>0.29354211921190709</c:v>
                </c:pt>
                <c:pt idx="79">
                  <c:v>0.29248998002320664</c:v>
                </c:pt>
                <c:pt idx="80">
                  <c:v>0.26655049555394295</c:v>
                </c:pt>
                <c:pt idx="81">
                  <c:v>0.26565587305906019</c:v>
                </c:pt>
                <c:pt idx="82">
                  <c:v>0.25835861096737106</c:v>
                </c:pt>
                <c:pt idx="83">
                  <c:v>0.25022792815163702</c:v>
                </c:pt>
                <c:pt idx="84">
                  <c:v>0.23065216742465364</c:v>
                </c:pt>
                <c:pt idx="85">
                  <c:v>0.21655123642627414</c:v>
                </c:pt>
                <c:pt idx="86">
                  <c:v>0.20747517627770207</c:v>
                </c:pt>
                <c:pt idx="87">
                  <c:v>0.19091088859455507</c:v>
                </c:pt>
                <c:pt idx="88">
                  <c:v>0.18943240723879601</c:v>
                </c:pt>
                <c:pt idx="89">
                  <c:v>0.17900734043583585</c:v>
                </c:pt>
                <c:pt idx="90">
                  <c:v>0.154205705343333</c:v>
                </c:pt>
                <c:pt idx="91">
                  <c:v>0.14670789788268188</c:v>
                </c:pt>
                <c:pt idx="92">
                  <c:v>0.12400028548061846</c:v>
                </c:pt>
                <c:pt idx="93">
                  <c:v>0.1035744482254774</c:v>
                </c:pt>
                <c:pt idx="94">
                  <c:v>4.8904718880017566E-2</c:v>
                </c:pt>
                <c:pt idx="95">
                  <c:v>4.1982964329820419E-2</c:v>
                </c:pt>
                <c:pt idx="96">
                  <c:v>3.6344994204137109E-2</c:v>
                </c:pt>
                <c:pt idx="97">
                  <c:v>2.3447407910081677E-2</c:v>
                </c:pt>
                <c:pt idx="98">
                  <c:v>2.2548951403825238E-2</c:v>
                </c:pt>
                <c:pt idx="99">
                  <c:v>3.8816778007585988E-3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4842560"/>
        <c:axId val="324843136"/>
      </c:scatterChart>
      <c:scatterChart>
        <c:scatterStyle val="lineMarker"/>
        <c:varyColors val="0"/>
        <c:ser>
          <c:idx val="0"/>
          <c:order val="0"/>
          <c:tx>
            <c:v>(A)</c:v>
          </c:tx>
          <c:spPr>
            <a:ln w="25400">
              <a:noFill/>
            </a:ln>
          </c:spPr>
          <c:marker>
            <c:symbol val="circle"/>
            <c:size val="3"/>
            <c:spPr>
              <a:solidFill>
                <a:schemeClr val="accent6"/>
              </a:solidFill>
              <a:ln>
                <a:noFill/>
              </a:ln>
            </c:spPr>
          </c:marker>
          <c:xVal>
            <c:numRef>
              <c:f>[0]!Adata</c:f>
              <c:numCache>
                <c:formatCode>General</c:formatCode>
                <c:ptCount val="100"/>
                <c:pt idx="0">
                  <c:v>-1.8912123778136447</c:v>
                </c:pt>
                <c:pt idx="1">
                  <c:v>-1.7674619812169112</c:v>
                </c:pt>
                <c:pt idx="2">
                  <c:v>-1.751277522998862</c:v>
                </c:pt>
                <c:pt idx="3">
                  <c:v>-1.7099046090152115</c:v>
                </c:pt>
                <c:pt idx="4">
                  <c:v>-1.6104331734823063</c:v>
                </c:pt>
                <c:pt idx="5">
                  <c:v>-1.5558043742203154</c:v>
                </c:pt>
                <c:pt idx="6">
                  <c:v>-1.4577790352632292</c:v>
                </c:pt>
                <c:pt idx="7">
                  <c:v>-1.3973885870655067</c:v>
                </c:pt>
                <c:pt idx="8">
                  <c:v>-1.298019469686551</c:v>
                </c:pt>
                <c:pt idx="9">
                  <c:v>-1.2974851415492594</c:v>
                </c:pt>
                <c:pt idx="10">
                  <c:v>-1.2217333278385922</c:v>
                </c:pt>
                <c:pt idx="11">
                  <c:v>-1.194125616166275</c:v>
                </c:pt>
                <c:pt idx="12">
                  <c:v>-1.19194282888202</c:v>
                </c:pt>
                <c:pt idx="13">
                  <c:v>-1.1786619324993808</c:v>
                </c:pt>
                <c:pt idx="14">
                  <c:v>-1.0199573807767592</c:v>
                </c:pt>
                <c:pt idx="15">
                  <c:v>-0.98916871138499118</c:v>
                </c:pt>
                <c:pt idx="16">
                  <c:v>-0.965490016824333</c:v>
                </c:pt>
                <c:pt idx="17">
                  <c:v>-0.85901547208777629</c:v>
                </c:pt>
                <c:pt idx="18">
                  <c:v>-0.83829036157112569</c:v>
                </c:pt>
                <c:pt idx="19">
                  <c:v>-0.80346694630861748</c:v>
                </c:pt>
                <c:pt idx="20">
                  <c:v>-0.77660615716013126</c:v>
                </c:pt>
                <c:pt idx="21">
                  <c:v>-0.73697947300388478</c:v>
                </c:pt>
                <c:pt idx="22">
                  <c:v>-0.59565081755863503</c:v>
                </c:pt>
                <c:pt idx="23">
                  <c:v>-0.54435076890513301</c:v>
                </c:pt>
                <c:pt idx="24">
                  <c:v>-0.50928292694152333</c:v>
                </c:pt>
                <c:pt idx="25">
                  <c:v>-0.49756181397242472</c:v>
                </c:pt>
                <c:pt idx="26">
                  <c:v>-0.48066226554510649</c:v>
                </c:pt>
                <c:pt idx="27">
                  <c:v>-0.43630166146613192</c:v>
                </c:pt>
                <c:pt idx="28">
                  <c:v>-0.43016825657105073</c:v>
                </c:pt>
                <c:pt idx="29">
                  <c:v>-0.42053784454765264</c:v>
                </c:pt>
                <c:pt idx="30">
                  <c:v>-0.40595750760985538</c:v>
                </c:pt>
                <c:pt idx="31">
                  <c:v>-0.39435462895198725</c:v>
                </c:pt>
                <c:pt idx="32">
                  <c:v>-0.37565314414678141</c:v>
                </c:pt>
                <c:pt idx="33">
                  <c:v>-0.37524273466260638</c:v>
                </c:pt>
                <c:pt idx="34">
                  <c:v>-0.36942083170288242</c:v>
                </c:pt>
                <c:pt idx="35">
                  <c:v>-0.36663777791545726</c:v>
                </c:pt>
                <c:pt idx="36">
                  <c:v>-0.33329115467495285</c:v>
                </c:pt>
                <c:pt idx="37">
                  <c:v>-0.28179556466056965</c:v>
                </c:pt>
                <c:pt idx="38">
                  <c:v>-0.2761498762993142</c:v>
                </c:pt>
                <c:pt idx="39">
                  <c:v>-0.27027340365748387</c:v>
                </c:pt>
                <c:pt idx="40">
                  <c:v>-0.22852418624097481</c:v>
                </c:pt>
                <c:pt idx="41">
                  <c:v>-0.18849277694243938</c:v>
                </c:pt>
                <c:pt idx="42">
                  <c:v>-0.16665580915287137</c:v>
                </c:pt>
                <c:pt idx="43">
                  <c:v>-0.13107182894600555</c:v>
                </c:pt>
                <c:pt idx="44">
                  <c:v>-0.10180428944295272</c:v>
                </c:pt>
                <c:pt idx="45">
                  <c:v>-9.888253771350719E-2</c:v>
                </c:pt>
                <c:pt idx="46">
                  <c:v>-8.8739398051984608E-2</c:v>
                </c:pt>
                <c:pt idx="47">
                  <c:v>-8.4517068899003789E-2</c:v>
                </c:pt>
                <c:pt idx="48">
                  <c:v>-2.1535697669605725E-2</c:v>
                </c:pt>
                <c:pt idx="49">
                  <c:v>-1.5720615920145065E-2</c:v>
                </c:pt>
                <c:pt idx="50">
                  <c:v>1.2507825886132196E-2</c:v>
                </c:pt>
                <c:pt idx="51">
                  <c:v>1.9393837646930479E-2</c:v>
                </c:pt>
                <c:pt idx="52">
                  <c:v>6.3114384829532355E-2</c:v>
                </c:pt>
                <c:pt idx="53">
                  <c:v>0.10272628969687503</c:v>
                </c:pt>
                <c:pt idx="54">
                  <c:v>0.13045450941717718</c:v>
                </c:pt>
                <c:pt idx="55">
                  <c:v>0.14280885807238519</c:v>
                </c:pt>
                <c:pt idx="56">
                  <c:v>0.16642275113554206</c:v>
                </c:pt>
                <c:pt idx="57">
                  <c:v>0.1701471319393022</c:v>
                </c:pt>
                <c:pt idx="58">
                  <c:v>0.19542881091183517</c:v>
                </c:pt>
                <c:pt idx="59">
                  <c:v>0.21065716282464564</c:v>
                </c:pt>
                <c:pt idx="60">
                  <c:v>0.24938344722613692</c:v>
                </c:pt>
                <c:pt idx="61">
                  <c:v>0.2568879153841408</c:v>
                </c:pt>
                <c:pt idx="62">
                  <c:v>0.3538229975674767</c:v>
                </c:pt>
                <c:pt idx="63">
                  <c:v>0.36974938666389789</c:v>
                </c:pt>
                <c:pt idx="64">
                  <c:v>0.37524273466260638</c:v>
                </c:pt>
                <c:pt idx="65">
                  <c:v>0.38041889638407156</c:v>
                </c:pt>
                <c:pt idx="66">
                  <c:v>0.41669636630103923</c:v>
                </c:pt>
                <c:pt idx="67">
                  <c:v>0.43025238483096473</c:v>
                </c:pt>
                <c:pt idx="68">
                  <c:v>0.43579689190664794</c:v>
                </c:pt>
                <c:pt idx="69">
                  <c:v>0.43646991798595991</c:v>
                </c:pt>
                <c:pt idx="70">
                  <c:v>0.45014303395873867</c:v>
                </c:pt>
                <c:pt idx="71">
                  <c:v>0.47928892854542937</c:v>
                </c:pt>
                <c:pt idx="72">
                  <c:v>0.50206836021970958</c:v>
                </c:pt>
                <c:pt idx="73">
                  <c:v>0.54452812037197873</c:v>
                </c:pt>
                <c:pt idx="74">
                  <c:v>0.58019168136524968</c:v>
                </c:pt>
                <c:pt idx="75">
                  <c:v>0.63222842072718777</c:v>
                </c:pt>
                <c:pt idx="76">
                  <c:v>0.65395852288929746</c:v>
                </c:pt>
                <c:pt idx="77">
                  <c:v>0.67879341258958448</c:v>
                </c:pt>
                <c:pt idx="78">
                  <c:v>0.68004624154127669</c:v>
                </c:pt>
                <c:pt idx="79">
                  <c:v>0.7207165708678076</c:v>
                </c:pt>
                <c:pt idx="80">
                  <c:v>0.77340359894151334</c:v>
                </c:pt>
                <c:pt idx="81">
                  <c:v>0.81727648648666218</c:v>
                </c:pt>
                <c:pt idx="82">
                  <c:v>0.84472048911266029</c:v>
                </c:pt>
                <c:pt idx="83">
                  <c:v>0.87147327576531097</c:v>
                </c:pt>
                <c:pt idx="84">
                  <c:v>0.93142489276942797</c:v>
                </c:pt>
                <c:pt idx="85">
                  <c:v>0.94556526164524257</c:v>
                </c:pt>
                <c:pt idx="86">
                  <c:v>1.0312191989214625</c:v>
                </c:pt>
                <c:pt idx="87">
                  <c:v>1.0370945346949156</c:v>
                </c:pt>
                <c:pt idx="88">
                  <c:v>1.2127475201850757</c:v>
                </c:pt>
                <c:pt idx="89">
                  <c:v>1.314901965088211</c:v>
                </c:pt>
                <c:pt idx="90">
                  <c:v>1.3409498933469877</c:v>
                </c:pt>
                <c:pt idx="91">
                  <c:v>1.3466114978655241</c:v>
                </c:pt>
                <c:pt idx="92">
                  <c:v>1.3609542293124832</c:v>
                </c:pt>
                <c:pt idx="93">
                  <c:v>1.5286695997929201</c:v>
                </c:pt>
                <c:pt idx="94">
                  <c:v>1.5963269106578082</c:v>
                </c:pt>
                <c:pt idx="95">
                  <c:v>1.6020976545405574</c:v>
                </c:pt>
                <c:pt idx="96">
                  <c:v>1.7566253518452868</c:v>
                </c:pt>
                <c:pt idx="97">
                  <c:v>1.7744332581060007</c:v>
                </c:pt>
                <c:pt idx="98">
                  <c:v>2.0686820789705962</c:v>
                </c:pt>
                <c:pt idx="99">
                  <c:v>2.3146822059061378</c:v>
                </c:pt>
              </c:numCache>
            </c:numRef>
          </c:xVal>
          <c:yVal>
            <c:numRef>
              <c:f>[0]!Adistp</c:f>
              <c:numCache>
                <c:formatCode>General</c:formatCode>
                <c:ptCount val="100"/>
                <c:pt idx="0">
                  <c:v>5.130023801469652E-2</c:v>
                </c:pt>
                <c:pt idx="1">
                  <c:v>6.7074567138003527E-2</c:v>
                </c:pt>
                <c:pt idx="2">
                  <c:v>6.9375761449180368E-2</c:v>
                </c:pt>
                <c:pt idx="3">
                  <c:v>7.5517869418956093E-2</c:v>
                </c:pt>
                <c:pt idx="4">
                  <c:v>9.1843867083500549E-2</c:v>
                </c:pt>
                <c:pt idx="5">
                  <c:v>0.1017611557812841</c:v>
                </c:pt>
                <c:pt idx="6">
                  <c:v>0.12124631415689015</c:v>
                </c:pt>
                <c:pt idx="7">
                  <c:v>0.13430750942565187</c:v>
                </c:pt>
                <c:pt idx="8">
                  <c:v>0.15745505000324647</c:v>
                </c:pt>
                <c:pt idx="9">
                  <c:v>0.15758478856474911</c:v>
                </c:pt>
                <c:pt idx="10">
                  <c:v>0.17650206061044829</c:v>
                </c:pt>
                <c:pt idx="11">
                  <c:v>0.18363903093376444</c:v>
                </c:pt>
                <c:pt idx="12">
                  <c:v>0.18420842892976289</c:v>
                </c:pt>
                <c:pt idx="13">
                  <c:v>0.18768844572049487</c:v>
                </c:pt>
                <c:pt idx="14">
                  <c:v>0.23099183552108221</c:v>
                </c:pt>
                <c:pt idx="15">
                  <c:v>0.23966120085857121</c:v>
                </c:pt>
                <c:pt idx="16">
                  <c:v>0.24636238545637557</c:v>
                </c:pt>
                <c:pt idx="17">
                  <c:v>0.27662445117806761</c:v>
                </c:pt>
                <c:pt idx="18">
                  <c:v>0.28249539942928614</c:v>
                </c:pt>
                <c:pt idx="19">
                  <c:v>0.29230935118477774</c:v>
                </c:pt>
                <c:pt idx="20">
                  <c:v>0.29981935606014565</c:v>
                </c:pt>
                <c:pt idx="21">
                  <c:v>0.31077051197171912</c:v>
                </c:pt>
                <c:pt idx="22">
                  <c:v>0.34791737034553705</c:v>
                </c:pt>
                <c:pt idx="23">
                  <c:v>0.36037297065117441</c:v>
                </c:pt>
                <c:pt idx="24">
                  <c:v>0.36848627224042191</c:v>
                </c:pt>
                <c:pt idx="25">
                  <c:v>0.37111891313275014</c:v>
                </c:pt>
                <c:pt idx="26">
                  <c:v>0.37484119662264759</c:v>
                </c:pt>
                <c:pt idx="27">
                  <c:v>0.38417629839936068</c:v>
                </c:pt>
                <c:pt idx="28">
                  <c:v>0.38541497001135328</c:v>
                </c:pt>
                <c:pt idx="29">
                  <c:v>0.38733336850198591</c:v>
                </c:pt>
                <c:pt idx="30">
                  <c:v>0.39017500108449915</c:v>
                </c:pt>
                <c:pt idx="31">
                  <c:v>0.39238113701183608</c:v>
                </c:pt>
                <c:pt idx="32">
                  <c:v>0.39583134655826491</c:v>
                </c:pt>
                <c:pt idx="33">
                  <c:v>0.39590557579506824</c:v>
                </c:pt>
                <c:pt idx="34">
                  <c:v>0.39695159384863832</c:v>
                </c:pt>
                <c:pt idx="35">
                  <c:v>0.39744700318333459</c:v>
                </c:pt>
                <c:pt idx="36">
                  <c:v>0.40314564025200839</c:v>
                </c:pt>
                <c:pt idx="37">
                  <c:v>0.41104944671711258</c:v>
                </c:pt>
                <c:pt idx="38">
                  <c:v>0.41184722204625279</c:v>
                </c:pt>
                <c:pt idx="39">
                  <c:v>0.41266282483083511</c:v>
                </c:pt>
                <c:pt idx="40">
                  <c:v>0.41801496783650671</c:v>
                </c:pt>
                <c:pt idx="41">
                  <c:v>0.4223982343533324</c:v>
                </c:pt>
                <c:pt idx="42">
                  <c:v>0.42447132310173086</c:v>
                </c:pt>
                <c:pt idx="43">
                  <c:v>0.42735758686973813</c:v>
                </c:pt>
                <c:pt idx="44">
                  <c:v>0.42926690299687936</c:v>
                </c:pt>
                <c:pt idx="45">
                  <c:v>0.42943422891665933</c:v>
                </c:pt>
                <c:pt idx="46">
                  <c:v>0.42998211960867888</c:v>
                </c:pt>
                <c:pt idx="47">
                  <c:v>0.43019505615455861</c:v>
                </c:pt>
                <c:pt idx="48">
                  <c:v>0.43230665156755937</c:v>
                </c:pt>
                <c:pt idx="49">
                  <c:v>0.43240041778042398</c:v>
                </c:pt>
                <c:pt idx="50">
                  <c:v>0.43261137573947672</c:v>
                </c:pt>
                <c:pt idx="51">
                  <c:v>0.43260134606151385</c:v>
                </c:pt>
                <c:pt idx="52">
                  <c:v>0.43197535606222037</c:v>
                </c:pt>
                <c:pt idx="53">
                  <c:v>0.4305724994770263</c:v>
                </c:pt>
                <c:pt idx="54">
                  <c:v>0.42912184665083802</c:v>
                </c:pt>
                <c:pt idx="55">
                  <c:v>0.4283523468319097</c:v>
                </c:pt>
                <c:pt idx="56">
                  <c:v>0.42667224954495558</c:v>
                </c:pt>
                <c:pt idx="57">
                  <c:v>0.42638234103251077</c:v>
                </c:pt>
                <c:pt idx="58">
                  <c:v>0.42423664268313305</c:v>
                </c:pt>
                <c:pt idx="59">
                  <c:v>0.42279602055694299</c:v>
                </c:pt>
                <c:pt idx="60">
                  <c:v>0.41863984213837735</c:v>
                </c:pt>
                <c:pt idx="61">
                  <c:v>0.41775396265151166</c:v>
                </c:pt>
                <c:pt idx="62">
                  <c:v>0.40406582632574239</c:v>
                </c:pt>
                <c:pt idx="63">
                  <c:v>0.401435690362834</c:v>
                </c:pt>
                <c:pt idx="64">
                  <c:v>0.4005047685543614</c:v>
                </c:pt>
                <c:pt idx="65">
                  <c:v>0.39961659749926953</c:v>
                </c:pt>
                <c:pt idx="66">
                  <c:v>0.39309909585367614</c:v>
                </c:pt>
                <c:pt idx="67">
                  <c:v>0.39053588902490249</c:v>
                </c:pt>
                <c:pt idx="68">
                  <c:v>0.38946808994261617</c:v>
                </c:pt>
                <c:pt idx="69">
                  <c:v>0.38933771493838909</c:v>
                </c:pt>
                <c:pt idx="70">
                  <c:v>0.38665386573466676</c:v>
                </c:pt>
                <c:pt idx="71">
                  <c:v>0.38071504764228725</c:v>
                </c:pt>
                <c:pt idx="72">
                  <c:v>0.37587555363541381</c:v>
                </c:pt>
                <c:pt idx="73">
                  <c:v>0.36642130399481221</c:v>
                </c:pt>
                <c:pt idx="74">
                  <c:v>0.35807725947226093</c:v>
                </c:pt>
                <c:pt idx="75">
                  <c:v>0.34531434564431279</c:v>
                </c:pt>
                <c:pt idx="76">
                  <c:v>0.33979984947514863</c:v>
                </c:pt>
                <c:pt idx="77">
                  <c:v>0.33337844567030012</c:v>
                </c:pt>
                <c:pt idx="78">
                  <c:v>0.3330513439297213</c:v>
                </c:pt>
                <c:pt idx="79">
                  <c:v>0.32228200174288413</c:v>
                </c:pt>
                <c:pt idx="80">
                  <c:v>0.30795489912728136</c:v>
                </c:pt>
                <c:pt idx="81">
                  <c:v>0.29577420016744521</c:v>
                </c:pt>
                <c:pt idx="82">
                  <c:v>0.28806923775478949</c:v>
                </c:pt>
                <c:pt idx="83">
                  <c:v>0.28051233889706578</c:v>
                </c:pt>
                <c:pt idx="84">
                  <c:v>0.26348330454584318</c:v>
                </c:pt>
                <c:pt idx="85">
                  <c:v>0.25945997454298403</c:v>
                </c:pt>
                <c:pt idx="86">
                  <c:v>0.23518397253649664</c:v>
                </c:pt>
                <c:pt idx="87">
                  <c:v>0.23353071483204357</c:v>
                </c:pt>
                <c:pt idx="88">
                  <c:v>0.18561249124088669</c:v>
                </c:pt>
                <c:pt idx="89">
                  <c:v>0.15971906087560439</c:v>
                </c:pt>
                <c:pt idx="90">
                  <c:v>0.15341439294186152</c:v>
                </c:pt>
                <c:pt idx="91">
                  <c:v>0.15206127045727927</c:v>
                </c:pt>
                <c:pt idx="92">
                  <c:v>0.1486614531080212</c:v>
                </c:pt>
                <c:pt idx="93">
                  <c:v>0.11209069816714831</c:v>
                </c:pt>
                <c:pt idx="94">
                  <c:v>9.9090979489372025E-2</c:v>
                </c:pt>
                <c:pt idx="95">
                  <c:v>9.8030153815329132E-2</c:v>
                </c:pt>
                <c:pt idx="96">
                  <c:v>7.242084111718268E-2</c:v>
                </c:pt>
                <c:pt idx="97">
                  <c:v>6.9811375433921075E-2</c:v>
                </c:pt>
                <c:pt idx="98">
                  <c:v>3.6069377117767552E-2</c:v>
                </c:pt>
                <c:pt idx="99">
                  <c:v>1.9206155157277645E-2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4844288"/>
        <c:axId val="324843712"/>
      </c:scatterChart>
      <c:valAx>
        <c:axId val="3248425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324843136"/>
        <c:crosses val="autoZero"/>
        <c:crossBetween val="midCat"/>
      </c:valAx>
      <c:valAx>
        <c:axId val="32484313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24842560"/>
        <c:crosses val="autoZero"/>
        <c:crossBetween val="midCat"/>
      </c:valAx>
      <c:valAx>
        <c:axId val="324843712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crossAx val="324844288"/>
        <c:crosses val="max"/>
        <c:crossBetween val="midCat"/>
      </c:valAx>
      <c:valAx>
        <c:axId val="32484428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24843712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layout/>
      <c:overlay val="0"/>
      <c:spPr>
        <a:noFill/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4" Type="http://schemas.openxmlformats.org/officeDocument/2006/relationships/chart" Target="../charts/chart8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13608</xdr:colOff>
      <xdr:row>50</xdr:row>
      <xdr:rowOff>20411</xdr:rowOff>
    </xdr:from>
    <xdr:to>
      <xdr:col>1</xdr:col>
      <xdr:colOff>4704480</xdr:colOff>
      <xdr:row>64</xdr:row>
      <xdr:rowOff>189242</xdr:rowOff>
    </xdr:to>
    <xdr:graphicFrame macro="">
      <xdr:nvGraphicFramePr>
        <xdr:cNvPr id="2" name="Chart 1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13611</xdr:colOff>
      <xdr:row>80</xdr:row>
      <xdr:rowOff>14966</xdr:rowOff>
    </xdr:from>
    <xdr:to>
      <xdr:col>1</xdr:col>
      <xdr:colOff>4701268</xdr:colOff>
      <xdr:row>94</xdr:row>
      <xdr:rowOff>183696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13609</xdr:colOff>
      <xdr:row>65</xdr:row>
      <xdr:rowOff>14289</xdr:rowOff>
    </xdr:from>
    <xdr:to>
      <xdr:col>1</xdr:col>
      <xdr:colOff>4704481</xdr:colOff>
      <xdr:row>79</xdr:row>
      <xdr:rowOff>190500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19050</xdr:colOff>
      <xdr:row>95</xdr:row>
      <xdr:rowOff>19050</xdr:rowOff>
    </xdr:from>
    <xdr:to>
      <xdr:col>1</xdr:col>
      <xdr:colOff>4706707</xdr:colOff>
      <xdr:row>110</xdr:row>
      <xdr:rowOff>6805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19049</xdr:colOff>
      <xdr:row>65</xdr:row>
      <xdr:rowOff>19050</xdr:rowOff>
    </xdr:from>
    <xdr:to>
      <xdr:col>1</xdr:col>
      <xdr:colOff>4709921</xdr:colOff>
      <xdr:row>80</xdr:row>
      <xdr:rowOff>180975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19049</xdr:colOff>
      <xdr:row>50</xdr:row>
      <xdr:rowOff>12700</xdr:rowOff>
    </xdr:from>
    <xdr:to>
      <xdr:col>1</xdr:col>
      <xdr:colOff>4709921</xdr:colOff>
      <xdr:row>64</xdr:row>
      <xdr:rowOff>180975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19049</xdr:colOff>
      <xdr:row>97</xdr:row>
      <xdr:rowOff>19049</xdr:rowOff>
    </xdr:from>
    <xdr:to>
      <xdr:col>1</xdr:col>
      <xdr:colOff>4709921</xdr:colOff>
      <xdr:row>112</xdr:row>
      <xdr:rowOff>190499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19049</xdr:colOff>
      <xdr:row>81</xdr:row>
      <xdr:rowOff>19050</xdr:rowOff>
    </xdr:from>
    <xdr:to>
      <xdr:col>1</xdr:col>
      <xdr:colOff>4709921</xdr:colOff>
      <xdr:row>96</xdr:row>
      <xdr:rowOff>190500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9524</xdr:colOff>
      <xdr:row>0</xdr:row>
      <xdr:rowOff>0</xdr:rowOff>
    </xdr:from>
    <xdr:to>
      <xdr:col>9</xdr:col>
      <xdr:colOff>2847974</xdr:colOff>
      <xdr:row>16</xdr:row>
      <xdr:rowOff>204789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9524</xdr:colOff>
      <xdr:row>16</xdr:row>
      <xdr:rowOff>161925</xdr:rowOff>
    </xdr:from>
    <xdr:to>
      <xdr:col>9</xdr:col>
      <xdr:colOff>2676525</xdr:colOff>
      <xdr:row>45</xdr:row>
      <xdr:rowOff>161925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17</xdr:row>
      <xdr:rowOff>4761</xdr:rowOff>
    </xdr:from>
    <xdr:to>
      <xdr:col>9</xdr:col>
      <xdr:colOff>2714624</xdr:colOff>
      <xdr:row>45</xdr:row>
      <xdr:rowOff>190499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9525</xdr:colOff>
      <xdr:row>0</xdr:row>
      <xdr:rowOff>14286</xdr:rowOff>
    </xdr:from>
    <xdr:to>
      <xdr:col>9</xdr:col>
      <xdr:colOff>3505200</xdr:colOff>
      <xdr:row>16</xdr:row>
      <xdr:rowOff>190500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1002"/>
  <sheetViews>
    <sheetView tabSelected="1" workbookViewId="0">
      <selection activeCell="C74" sqref="C74"/>
    </sheetView>
  </sheetViews>
  <sheetFormatPr defaultRowHeight="15" x14ac:dyDescent="0.25"/>
  <cols>
    <col min="1" max="1" width="20.7109375" style="100" customWidth="1"/>
    <col min="2" max="2" width="20.7109375" style="30" customWidth="1"/>
    <col min="3" max="3" width="189" customWidth="1"/>
    <col min="4" max="4" width="19.140625" bestFit="1" customWidth="1"/>
    <col min="5" max="5" width="17.85546875" bestFit="1" customWidth="1"/>
  </cols>
  <sheetData>
    <row r="1" spans="1:5" ht="18.75" thickTop="1" thickBot="1" x14ac:dyDescent="0.35">
      <c r="A1" s="60" t="s">
        <v>39</v>
      </c>
      <c r="B1" s="99" t="s">
        <v>40</v>
      </c>
      <c r="C1" s="89" t="s">
        <v>38</v>
      </c>
      <c r="D1" s="28" t="s">
        <v>37</v>
      </c>
      <c r="E1" s="29" t="s">
        <v>34</v>
      </c>
    </row>
    <row r="2" spans="1:5" ht="24" thickTop="1" thickBot="1" x14ac:dyDescent="0.35">
      <c r="A2">
        <v>-1.8912123778136447</v>
      </c>
      <c r="B2">
        <v>0.38356183469295502</v>
      </c>
      <c r="C2" s="90" t="s">
        <v>111</v>
      </c>
      <c r="D2" s="54" t="s">
        <v>35</v>
      </c>
      <c r="E2" s="55">
        <f>COUNT(A:A)</f>
        <v>100</v>
      </c>
    </row>
    <row r="3" spans="1:5" ht="16.5" thickTop="1" x14ac:dyDescent="0.25">
      <c r="A3">
        <v>-1.7674619812169112</v>
      </c>
      <c r="B3">
        <v>0.73411747254431248</v>
      </c>
      <c r="C3" s="94" t="s">
        <v>91</v>
      </c>
      <c r="D3" s="54" t="s">
        <v>36</v>
      </c>
      <c r="E3" s="55">
        <f>COUNT(B:B)</f>
        <v>100</v>
      </c>
    </row>
    <row r="4" spans="1:5" ht="15.75" x14ac:dyDescent="0.25">
      <c r="A4">
        <v>-1.751277522998862</v>
      </c>
      <c r="B4">
        <v>1.1886465447023511</v>
      </c>
      <c r="C4" s="94"/>
    </row>
    <row r="5" spans="1:5" ht="22.5" x14ac:dyDescent="0.3">
      <c r="A5">
        <v>-1.7099046090152115</v>
      </c>
      <c r="B5">
        <v>1.39556568430271</v>
      </c>
      <c r="C5" s="108" t="s">
        <v>124</v>
      </c>
      <c r="D5" s="56"/>
      <c r="E5" s="56"/>
    </row>
    <row r="6" spans="1:5" ht="15.75" x14ac:dyDescent="0.25">
      <c r="A6">
        <v>-1.6104331734823063</v>
      </c>
      <c r="B6">
        <v>1.6655764713650569</v>
      </c>
      <c r="C6" s="96" t="s">
        <v>125</v>
      </c>
    </row>
    <row r="7" spans="1:5" x14ac:dyDescent="0.25">
      <c r="A7">
        <v>-1.5558043742203154</v>
      </c>
      <c r="B7">
        <v>1.8318139129551128</v>
      </c>
      <c r="C7" s="61"/>
      <c r="D7" s="30"/>
      <c r="E7" s="30"/>
    </row>
    <row r="8" spans="1:5" ht="20.25" x14ac:dyDescent="0.3">
      <c r="A8">
        <v>-1.4577790352632292</v>
      </c>
      <c r="B8">
        <v>1.9626629156991839</v>
      </c>
      <c r="C8" s="107" t="s">
        <v>98</v>
      </c>
    </row>
    <row r="9" spans="1:5" ht="15.75" x14ac:dyDescent="0.25">
      <c r="A9">
        <v>-1.3973885870655067</v>
      </c>
      <c r="B9">
        <v>1.9794021656853147</v>
      </c>
      <c r="C9" s="96" t="s">
        <v>102</v>
      </c>
    </row>
    <row r="10" spans="1:5" x14ac:dyDescent="0.25">
      <c r="A10">
        <v>-1.298019469686551</v>
      </c>
      <c r="B10">
        <v>2.0631529852980748</v>
      </c>
      <c r="C10" s="61" t="s">
        <v>103</v>
      </c>
    </row>
    <row r="11" spans="1:5" x14ac:dyDescent="0.25">
      <c r="A11">
        <v>-1.2974851415492594</v>
      </c>
      <c r="B11">
        <v>2.0644399203010835</v>
      </c>
      <c r="C11" s="61" t="s">
        <v>104</v>
      </c>
    </row>
    <row r="12" spans="1:5" ht="15.75" x14ac:dyDescent="0.25">
      <c r="A12">
        <v>-1.2217333278385922</v>
      </c>
      <c r="B12">
        <v>2.1152943165507168</v>
      </c>
      <c r="C12" s="105"/>
    </row>
    <row r="13" spans="1:5" ht="15.75" x14ac:dyDescent="0.25">
      <c r="A13">
        <v>-1.194125616166275</v>
      </c>
      <c r="B13">
        <v>2.1182820066460408</v>
      </c>
      <c r="C13" s="105" t="s">
        <v>101</v>
      </c>
    </row>
    <row r="14" spans="1:5" x14ac:dyDescent="0.25">
      <c r="A14">
        <v>-1.19194282888202</v>
      </c>
      <c r="B14">
        <v>2.2412911650608294</v>
      </c>
      <c r="C14" s="61" t="s">
        <v>106</v>
      </c>
    </row>
    <row r="15" spans="1:5" x14ac:dyDescent="0.25">
      <c r="A15">
        <v>-1.1786619324993808</v>
      </c>
      <c r="B15">
        <v>2.3811214279849082</v>
      </c>
      <c r="C15" s="61" t="s">
        <v>107</v>
      </c>
      <c r="D15" s="30"/>
      <c r="E15" s="30"/>
    </row>
    <row r="16" spans="1:5" ht="15.75" x14ac:dyDescent="0.25">
      <c r="A16">
        <v>-1.0199573807767592</v>
      </c>
      <c r="B16">
        <v>2.3899458003288601</v>
      </c>
      <c r="C16" s="95" t="s">
        <v>105</v>
      </c>
      <c r="D16" s="30"/>
      <c r="E16" s="30"/>
    </row>
    <row r="17" spans="1:5" ht="15.75" x14ac:dyDescent="0.25">
      <c r="A17">
        <v>-0.98916871138499118</v>
      </c>
      <c r="B17">
        <v>2.4623802321148105</v>
      </c>
      <c r="C17" s="95" t="s">
        <v>109</v>
      </c>
      <c r="D17" s="30"/>
      <c r="E17" s="30"/>
    </row>
    <row r="18" spans="1:5" x14ac:dyDescent="0.25">
      <c r="A18">
        <v>-0.965490016824333</v>
      </c>
      <c r="B18">
        <v>2.4677394296450075</v>
      </c>
      <c r="C18" s="61" t="s">
        <v>108</v>
      </c>
      <c r="D18" s="30"/>
      <c r="E18" s="30"/>
    </row>
    <row r="19" spans="1:5" ht="15.75" x14ac:dyDescent="0.25">
      <c r="A19">
        <v>-0.85901547208777629</v>
      </c>
      <c r="B19">
        <v>2.514319200796308</v>
      </c>
      <c r="C19" s="96"/>
      <c r="D19" s="30"/>
      <c r="E19" s="30"/>
    </row>
    <row r="20" spans="1:5" ht="15.75" x14ac:dyDescent="0.25">
      <c r="A20">
        <v>-0.83829036157112569</v>
      </c>
      <c r="B20">
        <v>2.5150649864517618</v>
      </c>
      <c r="C20" s="96" t="s">
        <v>99</v>
      </c>
      <c r="D20" s="30"/>
      <c r="E20" s="30"/>
    </row>
    <row r="21" spans="1:5" ht="15.75" x14ac:dyDescent="0.25">
      <c r="A21">
        <v>-0.80346694630861748</v>
      </c>
      <c r="B21">
        <v>2.5260630511329509</v>
      </c>
      <c r="C21" s="95" t="s">
        <v>110</v>
      </c>
      <c r="D21" s="30"/>
      <c r="E21" s="30"/>
    </row>
    <row r="22" spans="1:5" ht="15.75" x14ac:dyDescent="0.25">
      <c r="A22">
        <v>-0.77660615716013126</v>
      </c>
      <c r="B22">
        <v>2.5413152772816829</v>
      </c>
      <c r="C22" s="95" t="s">
        <v>112</v>
      </c>
      <c r="D22" s="30"/>
      <c r="E22" s="30"/>
    </row>
    <row r="23" spans="1:5" ht="15.75" x14ac:dyDescent="0.25">
      <c r="A23">
        <v>-0.73697947300388478</v>
      </c>
      <c r="B23">
        <v>2.5900801094539929</v>
      </c>
      <c r="C23" s="95" t="s">
        <v>113</v>
      </c>
      <c r="D23" s="30"/>
      <c r="E23" s="30"/>
    </row>
    <row r="24" spans="1:5" ht="15.75" x14ac:dyDescent="0.25">
      <c r="A24">
        <v>-0.59565081755863503</v>
      </c>
      <c r="B24">
        <v>2.591353402036475</v>
      </c>
      <c r="C24" s="95" t="s">
        <v>114</v>
      </c>
      <c r="D24" s="30"/>
      <c r="E24" s="30"/>
    </row>
    <row r="25" spans="1:5" ht="15.75" x14ac:dyDescent="0.25">
      <c r="A25">
        <v>-0.54435076890513301</v>
      </c>
      <c r="B25">
        <v>2.6014783518039621</v>
      </c>
      <c r="C25" s="95" t="s">
        <v>115</v>
      </c>
      <c r="D25" s="30"/>
      <c r="E25" s="30"/>
    </row>
    <row r="26" spans="1:5" ht="15.75" x14ac:dyDescent="0.25">
      <c r="A26">
        <v>-0.50928292694152333</v>
      </c>
      <c r="B26">
        <v>2.6434151525027119</v>
      </c>
      <c r="C26" s="95" t="s">
        <v>139</v>
      </c>
      <c r="D26" s="30"/>
      <c r="E26" s="30"/>
    </row>
    <row r="27" spans="1:5" ht="15.75" x14ac:dyDescent="0.25">
      <c r="A27">
        <v>-0.49756181397242472</v>
      </c>
      <c r="B27">
        <v>2.6682147992833052</v>
      </c>
      <c r="C27" s="96"/>
      <c r="D27" s="30"/>
      <c r="E27" s="30"/>
    </row>
    <row r="28" spans="1:5" ht="15.75" x14ac:dyDescent="0.25">
      <c r="A28">
        <v>-0.48066226554510649</v>
      </c>
      <c r="B28">
        <v>2.6690788192499895</v>
      </c>
      <c r="C28" s="96" t="s">
        <v>100</v>
      </c>
      <c r="D28" s="30"/>
      <c r="E28" s="30"/>
    </row>
    <row r="29" spans="1:5" ht="15.75" x14ac:dyDescent="0.25">
      <c r="A29">
        <v>-0.43630166146613192</v>
      </c>
      <c r="B29">
        <v>2.7244283930631354</v>
      </c>
      <c r="C29" s="95" t="s">
        <v>116</v>
      </c>
      <c r="D29" s="30"/>
      <c r="E29" s="30"/>
    </row>
    <row r="30" spans="1:5" ht="15.75" x14ac:dyDescent="0.25">
      <c r="A30">
        <v>-0.43016825657105073</v>
      </c>
      <c r="B30">
        <v>2.7356435996043729</v>
      </c>
      <c r="C30" s="95"/>
      <c r="D30" s="32"/>
      <c r="E30" s="32"/>
    </row>
    <row r="31" spans="1:5" ht="15.75" x14ac:dyDescent="0.25">
      <c r="A31">
        <v>-0.42053784454765264</v>
      </c>
      <c r="B31">
        <v>2.7653260960651096</v>
      </c>
      <c r="C31" s="96" t="s">
        <v>119</v>
      </c>
      <c r="D31" s="32"/>
      <c r="E31" s="32"/>
    </row>
    <row r="32" spans="1:5" ht="15.75" x14ac:dyDescent="0.25">
      <c r="A32">
        <v>-0.40595750760985538</v>
      </c>
      <c r="B32">
        <v>2.8227470440615434</v>
      </c>
      <c r="C32" s="95" t="s">
        <v>120</v>
      </c>
      <c r="D32" s="30"/>
      <c r="E32" s="30"/>
    </row>
    <row r="33" spans="1:5" ht="15.75" x14ac:dyDescent="0.25">
      <c r="A33">
        <v>-0.39435462895198725</v>
      </c>
      <c r="B33">
        <v>2.8328151504101697</v>
      </c>
      <c r="C33" s="95" t="s">
        <v>121</v>
      </c>
      <c r="D33" s="30"/>
      <c r="E33" s="30"/>
    </row>
    <row r="34" spans="1:5" ht="15.75" x14ac:dyDescent="0.25">
      <c r="A34">
        <v>-0.37565314414678141</v>
      </c>
      <c r="B34">
        <v>2.8731807990116067</v>
      </c>
      <c r="C34" s="95" t="s">
        <v>122</v>
      </c>
      <c r="D34" s="30"/>
      <c r="E34" s="30"/>
    </row>
    <row r="35" spans="1:5" x14ac:dyDescent="0.25">
      <c r="A35">
        <v>-0.37524273466260638</v>
      </c>
      <c r="B35">
        <v>2.9064489783340832</v>
      </c>
      <c r="C35" s="61" t="s">
        <v>123</v>
      </c>
      <c r="D35" s="30"/>
      <c r="E35" s="30"/>
    </row>
    <row r="36" spans="1:5" x14ac:dyDescent="0.25">
      <c r="A36">
        <v>-0.36942083170288242</v>
      </c>
      <c r="B36">
        <v>2.9222503119090106</v>
      </c>
      <c r="C36" s="61"/>
      <c r="D36" s="30"/>
      <c r="E36" s="30"/>
    </row>
    <row r="37" spans="1:5" ht="20.25" x14ac:dyDescent="0.3">
      <c r="A37">
        <v>-0.36663777791545726</v>
      </c>
      <c r="B37">
        <v>2.9547613368922612</v>
      </c>
      <c r="C37" s="107" t="s">
        <v>126</v>
      </c>
      <c r="D37" s="30"/>
      <c r="E37" s="30"/>
    </row>
    <row r="38" spans="1:5" ht="15.75" x14ac:dyDescent="0.25">
      <c r="A38">
        <v>-0.33329115467495285</v>
      </c>
      <c r="B38">
        <v>3.0024381860275753</v>
      </c>
      <c r="C38" s="95"/>
      <c r="D38" s="30"/>
      <c r="E38" s="30"/>
    </row>
    <row r="39" spans="1:5" ht="15.75" x14ac:dyDescent="0.25">
      <c r="A39">
        <v>-0.28179556466056965</v>
      </c>
      <c r="B39">
        <v>3.0229404703422915</v>
      </c>
      <c r="C39" s="96" t="s">
        <v>127</v>
      </c>
      <c r="D39" s="30"/>
      <c r="E39" s="30"/>
    </row>
    <row r="40" spans="1:5" ht="15.75" x14ac:dyDescent="0.25">
      <c r="A40">
        <v>-0.2761498762993142</v>
      </c>
      <c r="B40">
        <v>3.0705866240314208</v>
      </c>
      <c r="C40" s="95" t="s">
        <v>128</v>
      </c>
      <c r="D40" s="30"/>
      <c r="E40" s="30"/>
    </row>
    <row r="41" spans="1:5" ht="15.75" x14ac:dyDescent="0.25">
      <c r="A41">
        <v>-0.27027340365748387</v>
      </c>
      <c r="B41">
        <v>3.0972802935284562</v>
      </c>
      <c r="C41" s="94"/>
      <c r="D41" s="30"/>
      <c r="E41" s="30"/>
    </row>
    <row r="42" spans="1:5" ht="15.75" x14ac:dyDescent="0.25">
      <c r="A42">
        <v>-0.22852418624097481</v>
      </c>
      <c r="B42">
        <v>3.1868587004428264</v>
      </c>
      <c r="C42" s="96" t="s">
        <v>129</v>
      </c>
      <c r="D42" s="30"/>
      <c r="E42" s="30"/>
    </row>
    <row r="43" spans="1:5" ht="15.75" x14ac:dyDescent="0.25">
      <c r="A43">
        <v>-0.18849277694243938</v>
      </c>
      <c r="B43">
        <v>3.2412146512942854</v>
      </c>
      <c r="C43" s="95" t="s">
        <v>130</v>
      </c>
      <c r="D43" s="30"/>
      <c r="E43" s="30"/>
    </row>
    <row r="44" spans="1:5" ht="15.75" x14ac:dyDescent="0.25">
      <c r="A44">
        <v>-0.16665580915287137</v>
      </c>
      <c r="B44">
        <v>3.2570819232350914</v>
      </c>
      <c r="C44" s="95" t="s">
        <v>93</v>
      </c>
      <c r="D44" s="30"/>
      <c r="E44" s="30"/>
    </row>
    <row r="45" spans="1:5" ht="15.75" x14ac:dyDescent="0.25">
      <c r="A45">
        <v>-0.13107182894600555</v>
      </c>
      <c r="B45">
        <v>3.2819077179883607</v>
      </c>
      <c r="C45" s="94"/>
      <c r="D45" s="30"/>
      <c r="E45" s="30"/>
    </row>
    <row r="46" spans="1:5" ht="15.75" x14ac:dyDescent="0.25">
      <c r="A46">
        <v>-0.10180428944295272</v>
      </c>
      <c r="B46">
        <v>3.3092471287236549</v>
      </c>
      <c r="C46" s="96" t="s">
        <v>131</v>
      </c>
      <c r="D46" s="30"/>
      <c r="E46" s="30"/>
    </row>
    <row r="47" spans="1:5" ht="15.75" x14ac:dyDescent="0.25">
      <c r="A47">
        <v>-9.888253771350719E-2</v>
      </c>
      <c r="B47">
        <v>3.3164878434181446</v>
      </c>
      <c r="C47" s="95" t="s">
        <v>132</v>
      </c>
      <c r="D47" s="30"/>
      <c r="E47" s="30"/>
    </row>
    <row r="48" spans="1:5" ht="15.75" x14ac:dyDescent="0.25">
      <c r="A48">
        <v>-8.8739398051984608E-2</v>
      </c>
      <c r="B48">
        <v>3.3269800016714726</v>
      </c>
      <c r="C48" s="95"/>
      <c r="D48" s="30"/>
      <c r="E48" s="30"/>
    </row>
    <row r="49" spans="1:5" ht="15.75" x14ac:dyDescent="0.25">
      <c r="A49">
        <v>-8.4517068899003789E-2</v>
      </c>
      <c r="B49">
        <v>3.3270584455895005</v>
      </c>
      <c r="C49" s="96" t="s">
        <v>133</v>
      </c>
      <c r="D49" s="30"/>
      <c r="E49" s="30"/>
    </row>
    <row r="50" spans="1:5" ht="15.75" x14ac:dyDescent="0.25">
      <c r="A50">
        <v>-2.1535697669605725E-2</v>
      </c>
      <c r="B50">
        <v>3.3311727722466458</v>
      </c>
      <c r="C50" s="95" t="s">
        <v>134</v>
      </c>
      <c r="D50" s="30"/>
      <c r="E50" s="30"/>
    </row>
    <row r="51" spans="1:5" ht="15.75" x14ac:dyDescent="0.25">
      <c r="A51">
        <v>-1.5720615920145065E-2</v>
      </c>
      <c r="B51">
        <v>3.3438852344406769</v>
      </c>
      <c r="C51" s="95" t="s">
        <v>92</v>
      </c>
      <c r="D51" s="30"/>
      <c r="E51" s="30"/>
    </row>
    <row r="52" spans="1:5" ht="15.75" x14ac:dyDescent="0.25">
      <c r="A52">
        <v>1.2507825886132196E-2</v>
      </c>
      <c r="B52">
        <v>3.3527073330478743</v>
      </c>
      <c r="C52" s="95"/>
      <c r="D52" s="30"/>
      <c r="E52" s="30"/>
    </row>
    <row r="53" spans="1:5" ht="15.75" x14ac:dyDescent="0.25">
      <c r="A53">
        <v>1.9393837646930479E-2</v>
      </c>
      <c r="B53">
        <v>3.4232352365652332</v>
      </c>
      <c r="C53" s="96" t="s">
        <v>135</v>
      </c>
      <c r="D53" s="30"/>
      <c r="E53" s="30"/>
    </row>
    <row r="54" spans="1:5" ht="15.75" x14ac:dyDescent="0.25">
      <c r="A54">
        <v>6.3114384829532355E-2</v>
      </c>
      <c r="B54">
        <v>3.5431964508607052</v>
      </c>
      <c r="C54" s="95" t="s">
        <v>136</v>
      </c>
      <c r="D54" s="30"/>
      <c r="E54" s="30"/>
    </row>
    <row r="55" spans="1:5" ht="15.75" x14ac:dyDescent="0.25">
      <c r="A55">
        <v>0.10272628969687503</v>
      </c>
      <c r="B55">
        <v>3.5456475390819833</v>
      </c>
      <c r="C55" s="94" t="s">
        <v>95</v>
      </c>
      <c r="D55" s="30"/>
      <c r="E55" s="30"/>
    </row>
    <row r="56" spans="1:5" ht="15.75" x14ac:dyDescent="0.25">
      <c r="A56">
        <v>0.13045450941717718</v>
      </c>
      <c r="B56">
        <v>3.5462591742689256</v>
      </c>
      <c r="C56" s="94"/>
      <c r="D56" s="30"/>
      <c r="E56" s="30"/>
    </row>
    <row r="57" spans="1:5" ht="15.75" x14ac:dyDescent="0.25">
      <c r="A57">
        <v>0.14280885807238519</v>
      </c>
      <c r="B57">
        <v>3.5543786882190034</v>
      </c>
      <c r="C57" s="96" t="s">
        <v>137</v>
      </c>
      <c r="D57" s="30"/>
      <c r="E57" s="30"/>
    </row>
    <row r="58" spans="1:5" ht="15.75" x14ac:dyDescent="0.25">
      <c r="A58">
        <v>0.16642275113554206</v>
      </c>
      <c r="B58">
        <v>3.5726231519365683</v>
      </c>
      <c r="C58" s="95" t="s">
        <v>138</v>
      </c>
      <c r="D58" s="30"/>
      <c r="E58" s="30"/>
    </row>
    <row r="59" spans="1:5" ht="15.75" x14ac:dyDescent="0.25">
      <c r="A59">
        <v>0.1701471319393022</v>
      </c>
      <c r="B59">
        <v>3.5740806171961594</v>
      </c>
      <c r="C59" s="95" t="s">
        <v>94</v>
      </c>
      <c r="D59" s="30"/>
      <c r="E59" s="30"/>
    </row>
    <row r="60" spans="1:5" ht="15.75" x14ac:dyDescent="0.25">
      <c r="A60">
        <v>0.19542881091183517</v>
      </c>
      <c r="B60">
        <v>3.5782995357440086</v>
      </c>
      <c r="C60" s="94"/>
      <c r="D60" s="30"/>
      <c r="E60" s="30"/>
    </row>
    <row r="61" spans="1:5" ht="15.75" x14ac:dyDescent="0.25">
      <c r="A61">
        <v>0.21065716282464564</v>
      </c>
      <c r="B61">
        <v>3.6044952568918234</v>
      </c>
      <c r="C61" s="98" t="s">
        <v>96</v>
      </c>
      <c r="D61" s="30"/>
      <c r="E61" s="30"/>
    </row>
    <row r="62" spans="1:5" ht="15.75" x14ac:dyDescent="0.25">
      <c r="A62">
        <v>0.24938344722613692</v>
      </c>
      <c r="B62">
        <v>3.6286036876990693</v>
      </c>
      <c r="C62" s="97" t="s">
        <v>41</v>
      </c>
      <c r="D62" s="30"/>
      <c r="E62" s="30"/>
    </row>
    <row r="63" spans="1:5" ht="15.75" x14ac:dyDescent="0.25">
      <c r="A63">
        <v>0.2568879153841408</v>
      </c>
      <c r="B63">
        <v>3.6299918039876502</v>
      </c>
      <c r="C63" s="97"/>
      <c r="D63" s="30"/>
      <c r="E63" s="30"/>
    </row>
    <row r="64" spans="1:5" ht="15.75" x14ac:dyDescent="0.25">
      <c r="A64">
        <v>0.3538229975674767</v>
      </c>
      <c r="B64">
        <v>3.6489945589128183</v>
      </c>
      <c r="C64" s="94"/>
      <c r="D64" s="30"/>
      <c r="E64" s="30"/>
    </row>
    <row r="65" spans="1:5" ht="15.75" x14ac:dyDescent="0.25">
      <c r="A65">
        <v>0.36974938666389789</v>
      </c>
      <c r="B65">
        <v>3.6582839104230516</v>
      </c>
      <c r="C65" s="94"/>
      <c r="D65" s="30"/>
      <c r="E65" s="30"/>
    </row>
    <row r="66" spans="1:5" ht="15.75" x14ac:dyDescent="0.25">
      <c r="A66">
        <v>0.37524273466260638</v>
      </c>
      <c r="B66">
        <v>3.6771365987224272</v>
      </c>
      <c r="C66" s="95"/>
      <c r="D66" s="30"/>
      <c r="E66" s="30"/>
    </row>
    <row r="67" spans="1:5" ht="15.75" x14ac:dyDescent="0.25">
      <c r="A67">
        <v>0.38041889638407156</v>
      </c>
      <c r="B67">
        <v>3.7254625997011317</v>
      </c>
      <c r="C67" s="95"/>
      <c r="D67" s="30"/>
      <c r="E67" s="30"/>
    </row>
    <row r="68" spans="1:5" ht="15.75" x14ac:dyDescent="0.25">
      <c r="A68">
        <v>0.41669636630103923</v>
      </c>
      <c r="B68">
        <v>3.7292313183716033</v>
      </c>
      <c r="C68" s="95"/>
      <c r="D68" s="30"/>
      <c r="E68" s="30"/>
    </row>
    <row r="69" spans="1:5" ht="15.75" x14ac:dyDescent="0.25">
      <c r="A69">
        <v>0.43025238483096473</v>
      </c>
      <c r="B69">
        <v>3.8821469363174401</v>
      </c>
      <c r="C69" s="94"/>
      <c r="D69" s="30"/>
      <c r="E69" s="30"/>
    </row>
    <row r="70" spans="1:5" ht="15.75" x14ac:dyDescent="0.25">
      <c r="A70">
        <v>0.43579689190664794</v>
      </c>
      <c r="B70">
        <v>3.8974150786234532</v>
      </c>
      <c r="C70" s="95"/>
      <c r="D70" s="30"/>
      <c r="E70" s="30"/>
    </row>
    <row r="71" spans="1:5" ht="15.75" x14ac:dyDescent="0.25">
      <c r="A71">
        <v>0.43646991798595991</v>
      </c>
      <c r="B71">
        <v>3.9206208359391894</v>
      </c>
      <c r="C71" s="95"/>
      <c r="D71" s="30"/>
      <c r="E71" s="30"/>
    </row>
    <row r="72" spans="1:5" ht="15.75" x14ac:dyDescent="0.25">
      <c r="A72">
        <v>0.45014303395873867</v>
      </c>
      <c r="B72">
        <v>3.9328546765464125</v>
      </c>
      <c r="C72" s="95"/>
      <c r="D72" s="32"/>
      <c r="E72" s="32"/>
    </row>
    <row r="73" spans="1:5" ht="15.75" x14ac:dyDescent="0.25">
      <c r="A73">
        <v>0.47928892854542937</v>
      </c>
      <c r="B73">
        <v>3.9899561645288486</v>
      </c>
      <c r="C73" s="96"/>
      <c r="D73" s="32"/>
      <c r="E73" s="32"/>
    </row>
    <row r="74" spans="1:5" ht="15.75" x14ac:dyDescent="0.25">
      <c r="A74">
        <v>0.50206836021970958</v>
      </c>
      <c r="B74">
        <v>3.9992944013793021</v>
      </c>
      <c r="C74" s="95"/>
      <c r="D74" s="32"/>
      <c r="E74" s="32"/>
    </row>
    <row r="75" spans="1:5" ht="15.75" x14ac:dyDescent="0.25">
      <c r="A75">
        <v>0.54452812037197873</v>
      </c>
      <c r="B75">
        <v>4.0181004780752119</v>
      </c>
      <c r="C75" s="95"/>
      <c r="D75" s="32"/>
      <c r="E75" s="32"/>
    </row>
    <row r="76" spans="1:5" ht="15.75" x14ac:dyDescent="0.25">
      <c r="A76">
        <v>0.58019168136524968</v>
      </c>
      <c r="B76">
        <v>4.0260778834781377</v>
      </c>
      <c r="C76" s="97"/>
      <c r="D76" s="32"/>
      <c r="E76" s="32"/>
    </row>
    <row r="77" spans="1:5" ht="15.75" x14ac:dyDescent="0.25">
      <c r="A77">
        <v>0.63222842072718777</v>
      </c>
      <c r="B77">
        <v>4.048347998119425</v>
      </c>
      <c r="C77" s="96"/>
      <c r="D77" s="32"/>
      <c r="E77" s="32"/>
    </row>
    <row r="78" spans="1:5" ht="15.75" x14ac:dyDescent="0.25">
      <c r="A78">
        <v>0.65395852288929746</v>
      </c>
      <c r="B78">
        <v>4.0615538611891679</v>
      </c>
      <c r="C78" s="95"/>
      <c r="D78" s="32"/>
      <c r="E78" s="32"/>
    </row>
    <row r="79" spans="1:5" ht="15.75" x14ac:dyDescent="0.25">
      <c r="A79">
        <v>0.67879341258958448</v>
      </c>
      <c r="B79">
        <v>4.0630772648146376</v>
      </c>
      <c r="C79" s="95"/>
      <c r="D79" s="32"/>
      <c r="E79" s="32"/>
    </row>
    <row r="80" spans="1:5" ht="15.75" x14ac:dyDescent="0.25">
      <c r="A80">
        <v>0.68004624154127669</v>
      </c>
      <c r="B80">
        <v>4.1016898623784073</v>
      </c>
      <c r="C80" s="95"/>
      <c r="D80" s="32"/>
      <c r="E80" s="32"/>
    </row>
    <row r="81" spans="1:5" ht="15.75" x14ac:dyDescent="0.25">
      <c r="A81">
        <v>0.7207165708678076</v>
      </c>
      <c r="B81">
        <v>4.1084883352741599</v>
      </c>
      <c r="C81" s="98"/>
      <c r="D81" s="32"/>
      <c r="E81" s="32"/>
    </row>
    <row r="82" spans="1:5" ht="15.75" x14ac:dyDescent="0.25">
      <c r="A82">
        <v>0.77340359894151334</v>
      </c>
      <c r="B82">
        <v>4.2654830369574483</v>
      </c>
      <c r="C82" s="98"/>
      <c r="D82" s="32"/>
      <c r="E82" s="32"/>
    </row>
    <row r="83" spans="1:5" ht="15.75" x14ac:dyDescent="0.25">
      <c r="A83">
        <v>0.81727648648666218</v>
      </c>
      <c r="B83">
        <v>4.2706216820224654</v>
      </c>
      <c r="C83" s="97"/>
      <c r="D83" s="32"/>
      <c r="E83" s="32"/>
    </row>
    <row r="84" spans="1:5" x14ac:dyDescent="0.25">
      <c r="A84">
        <v>0.84472048911266029</v>
      </c>
      <c r="B84">
        <v>4.3120537131617311</v>
      </c>
      <c r="C84" s="31"/>
      <c r="D84" s="32"/>
      <c r="E84" s="32"/>
    </row>
    <row r="85" spans="1:5" x14ac:dyDescent="0.25">
      <c r="A85">
        <v>0.87147327576531097</v>
      </c>
      <c r="B85">
        <v>4.3573579179937951</v>
      </c>
      <c r="C85" s="31"/>
      <c r="D85" s="32"/>
      <c r="E85" s="32"/>
    </row>
    <row r="86" spans="1:5" x14ac:dyDescent="0.25">
      <c r="A86">
        <v>0.93142489276942797</v>
      </c>
      <c r="B86">
        <v>4.4639052223064937</v>
      </c>
      <c r="C86" s="31"/>
      <c r="D86" s="32"/>
      <c r="E86" s="32"/>
    </row>
    <row r="87" spans="1:5" x14ac:dyDescent="0.25">
      <c r="A87">
        <v>0.94556526164524257</v>
      </c>
      <c r="B87">
        <v>4.5394546734460164</v>
      </c>
      <c r="C87" s="31"/>
      <c r="D87" s="32"/>
      <c r="E87" s="32"/>
    </row>
    <row r="88" spans="1:5" x14ac:dyDescent="0.25">
      <c r="A88">
        <v>1.0312191989214625</v>
      </c>
      <c r="B88">
        <v>4.5879443834710401</v>
      </c>
      <c r="C88" s="31"/>
      <c r="D88" s="32"/>
      <c r="E88" s="32"/>
    </row>
    <row r="89" spans="1:5" x14ac:dyDescent="0.25">
      <c r="A89">
        <v>1.0370945346949156</v>
      </c>
      <c r="B89">
        <v>4.6768270269385539</v>
      </c>
      <c r="C89" s="31"/>
      <c r="D89" s="32"/>
      <c r="E89" s="32"/>
    </row>
    <row r="90" spans="1:5" x14ac:dyDescent="0.25">
      <c r="A90">
        <v>1.2127475201850757</v>
      </c>
      <c r="B90">
        <v>4.6848123904201202</v>
      </c>
      <c r="C90" s="31"/>
      <c r="D90" s="32"/>
      <c r="E90" s="32"/>
    </row>
    <row r="91" spans="1:5" x14ac:dyDescent="0.25">
      <c r="A91">
        <v>1.314901965088211</v>
      </c>
      <c r="B91">
        <v>4.741496647708118</v>
      </c>
      <c r="C91" s="31"/>
      <c r="D91" s="32"/>
      <c r="E91" s="32"/>
    </row>
    <row r="92" spans="1:5" x14ac:dyDescent="0.25">
      <c r="A92">
        <v>1.3409498933469877</v>
      </c>
      <c r="B92">
        <v>4.880328740197001</v>
      </c>
      <c r="C92" s="31"/>
      <c r="D92" s="32"/>
      <c r="E92" s="32"/>
    </row>
    <row r="93" spans="1:5" x14ac:dyDescent="0.25">
      <c r="A93">
        <v>1.3466114978655241</v>
      </c>
      <c r="B93">
        <v>4.9238685253076255</v>
      </c>
      <c r="C93" s="31"/>
      <c r="D93" s="32"/>
      <c r="E93" s="32"/>
    </row>
    <row r="94" spans="1:5" x14ac:dyDescent="0.25">
      <c r="A94">
        <v>1.3609542293124832</v>
      </c>
      <c r="B94">
        <v>5.0622526916558854</v>
      </c>
      <c r="C94" s="31"/>
      <c r="D94" s="32"/>
      <c r="E94" s="32"/>
    </row>
    <row r="95" spans="1:5" x14ac:dyDescent="0.25">
      <c r="A95">
        <v>1.5286695997929201</v>
      </c>
      <c r="B95">
        <v>5.1984677131404169</v>
      </c>
      <c r="C95" s="31"/>
      <c r="D95" s="32"/>
      <c r="E95" s="32"/>
    </row>
    <row r="96" spans="1:5" x14ac:dyDescent="0.25">
      <c r="A96">
        <v>1.5963269106578082</v>
      </c>
      <c r="B96">
        <v>5.6794585336465389</v>
      </c>
      <c r="C96" s="31"/>
      <c r="D96" s="32"/>
      <c r="E96" s="32"/>
    </row>
    <row r="97" spans="1:5" x14ac:dyDescent="0.25">
      <c r="A97">
        <v>1.6020976545405574</v>
      </c>
      <c r="B97">
        <v>5.765223884023726</v>
      </c>
      <c r="C97" s="31"/>
      <c r="D97" s="32"/>
      <c r="E97" s="32"/>
    </row>
    <row r="98" spans="1:5" x14ac:dyDescent="0.25">
      <c r="A98">
        <v>1.7566253518452868</v>
      </c>
      <c r="B98">
        <v>5.8434768081642687</v>
      </c>
      <c r="C98" s="31"/>
      <c r="D98" s="32"/>
      <c r="E98" s="32"/>
    </row>
    <row r="99" spans="1:5" x14ac:dyDescent="0.25">
      <c r="A99">
        <v>1.7744332581060007</v>
      </c>
      <c r="B99">
        <v>6.0671397452242672</v>
      </c>
      <c r="C99" s="31"/>
      <c r="D99" s="32"/>
      <c r="E99" s="32"/>
    </row>
    <row r="100" spans="1:5" x14ac:dyDescent="0.25">
      <c r="A100">
        <v>2.0686820789705962</v>
      </c>
      <c r="B100">
        <v>6.0861663743853569</v>
      </c>
      <c r="C100" s="31"/>
      <c r="D100" s="32"/>
      <c r="E100" s="32"/>
    </row>
    <row r="101" spans="1:5" x14ac:dyDescent="0.25">
      <c r="A101">
        <v>2.3146822059061378</v>
      </c>
      <c r="B101">
        <v>6.8347168937325478</v>
      </c>
      <c r="C101" s="31"/>
      <c r="D101" s="32"/>
      <c r="E101" s="32"/>
    </row>
    <row r="102" spans="1:5" x14ac:dyDescent="0.25">
      <c r="A102" s="103"/>
      <c r="B102" s="104"/>
      <c r="C102" s="31"/>
      <c r="D102" s="32"/>
      <c r="E102" s="32"/>
    </row>
    <row r="103" spans="1:5" x14ac:dyDescent="0.25">
      <c r="A103" s="103"/>
      <c r="B103" s="104"/>
      <c r="C103" s="31"/>
      <c r="D103" s="32"/>
      <c r="E103" s="32"/>
    </row>
    <row r="104" spans="1:5" x14ac:dyDescent="0.25">
      <c r="A104" s="103"/>
      <c r="B104" s="104"/>
      <c r="C104" s="31"/>
      <c r="D104" s="32"/>
      <c r="E104" s="32"/>
    </row>
    <row r="105" spans="1:5" x14ac:dyDescent="0.25">
      <c r="A105" s="103"/>
      <c r="B105" s="104"/>
      <c r="C105" s="31"/>
      <c r="D105" s="32"/>
      <c r="E105" s="32"/>
    </row>
    <row r="106" spans="1:5" x14ac:dyDescent="0.25">
      <c r="A106" s="103"/>
      <c r="B106" s="104"/>
      <c r="C106" s="31"/>
      <c r="D106" s="32"/>
      <c r="E106" s="32"/>
    </row>
    <row r="107" spans="1:5" x14ac:dyDescent="0.25">
      <c r="A107" s="103"/>
      <c r="B107" s="104"/>
      <c r="C107" s="31"/>
      <c r="D107" s="32"/>
      <c r="E107" s="32"/>
    </row>
    <row r="108" spans="1:5" x14ac:dyDescent="0.25">
      <c r="A108" s="103"/>
      <c r="B108" s="104"/>
      <c r="C108" s="31"/>
      <c r="D108" s="32"/>
      <c r="E108" s="32"/>
    </row>
    <row r="109" spans="1:5" x14ac:dyDescent="0.25">
      <c r="A109" s="103"/>
      <c r="B109" s="104"/>
      <c r="C109" s="31"/>
      <c r="D109" s="32"/>
      <c r="E109" s="32"/>
    </row>
    <row r="110" spans="1:5" x14ac:dyDescent="0.25">
      <c r="A110" s="103"/>
      <c r="B110" s="104"/>
      <c r="C110" s="31"/>
      <c r="D110" s="32"/>
      <c r="E110" s="32"/>
    </row>
    <row r="111" spans="1:5" x14ac:dyDescent="0.25">
      <c r="A111" s="103"/>
      <c r="B111" s="104"/>
      <c r="C111" s="31"/>
      <c r="D111" s="32"/>
      <c r="E111" s="32"/>
    </row>
    <row r="112" spans="1:5" x14ac:dyDescent="0.25">
      <c r="A112" s="103"/>
      <c r="B112" s="104"/>
      <c r="C112" s="31"/>
      <c r="D112" s="32"/>
      <c r="E112" s="32"/>
    </row>
    <row r="113" spans="1:5" x14ac:dyDescent="0.25">
      <c r="A113" s="103"/>
      <c r="B113" s="104"/>
      <c r="C113" s="31"/>
      <c r="D113" s="32"/>
      <c r="E113" s="32"/>
    </row>
    <row r="114" spans="1:5" x14ac:dyDescent="0.25">
      <c r="A114" s="103"/>
      <c r="B114" s="104"/>
      <c r="C114" s="31"/>
      <c r="D114" s="32"/>
      <c r="E114" s="32"/>
    </row>
    <row r="115" spans="1:5" x14ac:dyDescent="0.25">
      <c r="A115" s="103"/>
      <c r="B115" s="104"/>
      <c r="C115" s="31"/>
      <c r="D115" s="32"/>
      <c r="E115" s="32"/>
    </row>
    <row r="116" spans="1:5" x14ac:dyDescent="0.25">
      <c r="A116" s="103"/>
      <c r="B116" s="104"/>
      <c r="C116" s="31"/>
      <c r="D116" s="32"/>
      <c r="E116" s="32"/>
    </row>
    <row r="117" spans="1:5" x14ac:dyDescent="0.25">
      <c r="A117" s="103"/>
      <c r="B117" s="104"/>
      <c r="C117" s="31"/>
      <c r="D117" s="32"/>
      <c r="E117" s="32"/>
    </row>
    <row r="118" spans="1:5" x14ac:dyDescent="0.25">
      <c r="A118" s="103"/>
      <c r="B118" s="104"/>
      <c r="C118" s="31"/>
      <c r="D118" s="32"/>
      <c r="E118" s="32"/>
    </row>
    <row r="119" spans="1:5" x14ac:dyDescent="0.25">
      <c r="A119" s="103"/>
      <c r="B119" s="104"/>
      <c r="C119" s="31"/>
      <c r="D119" s="32"/>
      <c r="E119" s="32"/>
    </row>
    <row r="120" spans="1:5" x14ac:dyDescent="0.25">
      <c r="A120" s="103"/>
      <c r="B120" s="104"/>
      <c r="C120" s="31"/>
      <c r="D120" s="32"/>
      <c r="E120" s="32"/>
    </row>
    <row r="121" spans="1:5" x14ac:dyDescent="0.25">
      <c r="A121" s="103"/>
      <c r="B121" s="104"/>
      <c r="C121" s="31"/>
      <c r="D121" s="32"/>
      <c r="E121" s="32"/>
    </row>
    <row r="122" spans="1:5" x14ac:dyDescent="0.25">
      <c r="A122" s="103"/>
      <c r="B122" s="104"/>
      <c r="C122" s="31"/>
      <c r="D122" s="32"/>
      <c r="E122" s="32"/>
    </row>
    <row r="123" spans="1:5" x14ac:dyDescent="0.25">
      <c r="A123" s="103"/>
      <c r="B123" s="104"/>
      <c r="C123" s="31"/>
      <c r="D123" s="32"/>
      <c r="E123" s="32"/>
    </row>
    <row r="124" spans="1:5" x14ac:dyDescent="0.25">
      <c r="A124" s="103"/>
      <c r="B124" s="104"/>
      <c r="C124" s="31"/>
      <c r="D124" s="32"/>
      <c r="E124" s="32"/>
    </row>
    <row r="125" spans="1:5" x14ac:dyDescent="0.25">
      <c r="A125" s="103"/>
      <c r="B125" s="104"/>
      <c r="C125" s="31"/>
      <c r="D125" s="32"/>
      <c r="E125" s="32"/>
    </row>
    <row r="126" spans="1:5" x14ac:dyDescent="0.25">
      <c r="A126" s="103"/>
      <c r="B126" s="104"/>
      <c r="C126" s="31"/>
      <c r="D126" s="32"/>
      <c r="E126" s="32"/>
    </row>
    <row r="127" spans="1:5" x14ac:dyDescent="0.25">
      <c r="A127" s="103"/>
      <c r="B127" s="104"/>
      <c r="C127" s="31"/>
      <c r="D127" s="32"/>
      <c r="E127" s="32"/>
    </row>
    <row r="128" spans="1:5" x14ac:dyDescent="0.25">
      <c r="A128" s="103"/>
      <c r="B128" s="104"/>
      <c r="C128" s="31"/>
      <c r="D128" s="32"/>
      <c r="E128" s="32"/>
    </row>
    <row r="129" spans="1:5" x14ac:dyDescent="0.25">
      <c r="A129" s="103"/>
      <c r="B129" s="104"/>
      <c r="C129" s="31"/>
      <c r="D129" s="32"/>
      <c r="E129" s="32"/>
    </row>
    <row r="130" spans="1:5" x14ac:dyDescent="0.25">
      <c r="A130" s="103"/>
      <c r="B130" s="104"/>
      <c r="C130" s="31"/>
      <c r="D130" s="32"/>
      <c r="E130" s="32"/>
    </row>
    <row r="131" spans="1:5" x14ac:dyDescent="0.25">
      <c r="A131" s="103"/>
      <c r="B131" s="104"/>
      <c r="C131" s="31"/>
      <c r="D131" s="32"/>
      <c r="E131" s="32"/>
    </row>
    <row r="132" spans="1:5" x14ac:dyDescent="0.25">
      <c r="A132" s="103"/>
      <c r="B132" s="104"/>
      <c r="C132" s="31"/>
      <c r="D132" s="32"/>
      <c r="E132" s="32"/>
    </row>
    <row r="133" spans="1:5" x14ac:dyDescent="0.25">
      <c r="A133" s="103"/>
      <c r="B133" s="104"/>
      <c r="C133" s="31"/>
      <c r="D133" s="32"/>
      <c r="E133" s="32"/>
    </row>
    <row r="134" spans="1:5" x14ac:dyDescent="0.25">
      <c r="A134" s="103"/>
      <c r="B134" s="104"/>
      <c r="C134" s="31"/>
      <c r="D134" s="32"/>
      <c r="E134" s="32"/>
    </row>
    <row r="135" spans="1:5" x14ac:dyDescent="0.25">
      <c r="A135" s="103"/>
      <c r="B135" s="104"/>
      <c r="C135" s="31"/>
      <c r="D135" s="32"/>
      <c r="E135" s="32"/>
    </row>
    <row r="136" spans="1:5" x14ac:dyDescent="0.25">
      <c r="A136" s="103"/>
      <c r="B136" s="104"/>
      <c r="C136" s="31"/>
      <c r="D136" s="32"/>
      <c r="E136" s="32"/>
    </row>
    <row r="137" spans="1:5" x14ac:dyDescent="0.25">
      <c r="A137" s="103"/>
      <c r="B137" s="104"/>
      <c r="C137" s="31"/>
      <c r="D137" s="32"/>
      <c r="E137" s="32"/>
    </row>
    <row r="138" spans="1:5" x14ac:dyDescent="0.25">
      <c r="A138" s="103"/>
      <c r="B138" s="104"/>
      <c r="C138" s="31"/>
      <c r="D138" s="32"/>
      <c r="E138" s="32"/>
    </row>
    <row r="139" spans="1:5" x14ac:dyDescent="0.25">
      <c r="A139" s="103"/>
      <c r="B139" s="104"/>
      <c r="C139" s="31"/>
      <c r="D139" s="32"/>
      <c r="E139" s="32"/>
    </row>
    <row r="140" spans="1:5" x14ac:dyDescent="0.25">
      <c r="A140" s="103"/>
      <c r="B140" s="104"/>
      <c r="C140" s="31"/>
      <c r="D140" s="32"/>
      <c r="E140" s="32"/>
    </row>
    <row r="141" spans="1:5" x14ac:dyDescent="0.25">
      <c r="A141" s="103"/>
      <c r="B141" s="104"/>
      <c r="C141" s="31"/>
      <c r="D141" s="32"/>
      <c r="E141" s="32"/>
    </row>
    <row r="142" spans="1:5" x14ac:dyDescent="0.25">
      <c r="A142" s="103"/>
      <c r="B142" s="104"/>
      <c r="C142" s="31"/>
      <c r="D142" s="32"/>
      <c r="E142" s="32"/>
    </row>
    <row r="143" spans="1:5" x14ac:dyDescent="0.25">
      <c r="A143" s="103"/>
      <c r="B143" s="104"/>
      <c r="C143" s="31"/>
      <c r="D143" s="32"/>
      <c r="E143" s="32"/>
    </row>
    <row r="144" spans="1:5" x14ac:dyDescent="0.25">
      <c r="A144" s="103"/>
      <c r="B144" s="104"/>
      <c r="C144" s="31"/>
      <c r="D144" s="32"/>
      <c r="E144" s="32"/>
    </row>
    <row r="145" spans="1:5" x14ac:dyDescent="0.25">
      <c r="A145" s="103"/>
      <c r="B145" s="104"/>
      <c r="C145" s="31"/>
      <c r="D145" s="32"/>
      <c r="E145" s="32"/>
    </row>
    <row r="146" spans="1:5" x14ac:dyDescent="0.25">
      <c r="A146" s="103"/>
      <c r="B146" s="104"/>
      <c r="C146" s="31"/>
      <c r="D146" s="32"/>
      <c r="E146" s="32"/>
    </row>
    <row r="147" spans="1:5" x14ac:dyDescent="0.25">
      <c r="A147" s="103"/>
      <c r="B147" s="104"/>
      <c r="C147" s="31"/>
      <c r="D147" s="32"/>
      <c r="E147" s="32"/>
    </row>
    <row r="148" spans="1:5" x14ac:dyDescent="0.25">
      <c r="A148" s="103"/>
      <c r="B148" s="104"/>
      <c r="C148" s="31"/>
      <c r="D148" s="32"/>
      <c r="E148" s="32"/>
    </row>
    <row r="149" spans="1:5" x14ac:dyDescent="0.25">
      <c r="A149" s="103"/>
      <c r="B149" s="104"/>
      <c r="C149" s="31"/>
      <c r="D149" s="32"/>
      <c r="E149" s="32"/>
    </row>
    <row r="150" spans="1:5" x14ac:dyDescent="0.25">
      <c r="A150" s="103"/>
      <c r="B150" s="104"/>
      <c r="C150" s="31"/>
      <c r="D150" s="32"/>
      <c r="E150" s="32"/>
    </row>
    <row r="151" spans="1:5" x14ac:dyDescent="0.25">
      <c r="A151" s="103"/>
      <c r="B151" s="104"/>
      <c r="C151" s="31"/>
      <c r="D151" s="32"/>
      <c r="E151" s="32"/>
    </row>
    <row r="152" spans="1:5" x14ac:dyDescent="0.25">
      <c r="A152" s="103"/>
      <c r="B152" s="104"/>
      <c r="C152" s="31"/>
      <c r="D152" s="32"/>
      <c r="E152" s="32"/>
    </row>
    <row r="153" spans="1:5" x14ac:dyDescent="0.25">
      <c r="A153" s="103"/>
      <c r="B153" s="104"/>
      <c r="C153" s="31"/>
      <c r="D153" s="32"/>
      <c r="E153" s="32"/>
    </row>
    <row r="154" spans="1:5" x14ac:dyDescent="0.25">
      <c r="A154" s="103"/>
      <c r="B154" s="104"/>
      <c r="C154" s="31"/>
      <c r="D154" s="32"/>
      <c r="E154" s="32"/>
    </row>
    <row r="155" spans="1:5" x14ac:dyDescent="0.25">
      <c r="A155" s="103"/>
      <c r="B155" s="104"/>
      <c r="C155" s="31"/>
      <c r="D155" s="32"/>
      <c r="E155" s="32"/>
    </row>
    <row r="156" spans="1:5" x14ac:dyDescent="0.25">
      <c r="A156" s="103"/>
      <c r="B156" s="104"/>
      <c r="C156" s="31"/>
      <c r="D156" s="32"/>
      <c r="E156" s="32"/>
    </row>
    <row r="157" spans="1:5" x14ac:dyDescent="0.25">
      <c r="A157" s="103"/>
      <c r="B157" s="104"/>
      <c r="C157" s="31"/>
      <c r="D157" s="32"/>
      <c r="E157" s="32"/>
    </row>
    <row r="158" spans="1:5" x14ac:dyDescent="0.25">
      <c r="A158" s="103"/>
      <c r="B158" s="104"/>
      <c r="C158" s="31"/>
      <c r="D158" s="32"/>
      <c r="E158" s="32"/>
    </row>
    <row r="159" spans="1:5" x14ac:dyDescent="0.25">
      <c r="A159" s="103"/>
      <c r="B159" s="104"/>
      <c r="C159" s="31"/>
      <c r="D159" s="32"/>
      <c r="E159" s="32"/>
    </row>
    <row r="160" spans="1:5" x14ac:dyDescent="0.25">
      <c r="A160" s="103"/>
      <c r="B160" s="104"/>
      <c r="C160" s="31"/>
      <c r="D160" s="32"/>
      <c r="E160" s="32"/>
    </row>
    <row r="161" spans="1:5" x14ac:dyDescent="0.25">
      <c r="A161" s="103"/>
      <c r="B161" s="104"/>
      <c r="C161" s="31"/>
      <c r="D161" s="32"/>
      <c r="E161" s="32"/>
    </row>
    <row r="162" spans="1:5" x14ac:dyDescent="0.25">
      <c r="A162" s="103"/>
      <c r="B162" s="104"/>
      <c r="C162" s="31"/>
      <c r="D162" s="32"/>
      <c r="E162" s="32"/>
    </row>
    <row r="163" spans="1:5" x14ac:dyDescent="0.25">
      <c r="A163" s="103"/>
      <c r="B163" s="104"/>
      <c r="C163" s="31"/>
      <c r="D163" s="32"/>
      <c r="E163" s="32"/>
    </row>
    <row r="164" spans="1:5" x14ac:dyDescent="0.25">
      <c r="A164" s="103"/>
      <c r="B164" s="104"/>
      <c r="C164" s="31"/>
      <c r="D164" s="32"/>
      <c r="E164" s="32"/>
    </row>
    <row r="165" spans="1:5" x14ac:dyDescent="0.25">
      <c r="A165" s="103"/>
      <c r="B165" s="104"/>
      <c r="C165" s="31"/>
      <c r="D165" s="32"/>
      <c r="E165" s="32"/>
    </row>
    <row r="166" spans="1:5" x14ac:dyDescent="0.25">
      <c r="A166" s="103"/>
      <c r="B166" s="104"/>
      <c r="C166" s="31"/>
      <c r="D166" s="32"/>
      <c r="E166" s="32"/>
    </row>
    <row r="167" spans="1:5" x14ac:dyDescent="0.25">
      <c r="A167" s="103"/>
      <c r="B167" s="104"/>
      <c r="C167" s="31"/>
      <c r="D167" s="32"/>
      <c r="E167" s="32"/>
    </row>
    <row r="168" spans="1:5" x14ac:dyDescent="0.25">
      <c r="A168" s="103"/>
      <c r="B168" s="104"/>
      <c r="C168" s="31"/>
      <c r="D168" s="32"/>
      <c r="E168" s="32"/>
    </row>
    <row r="169" spans="1:5" x14ac:dyDescent="0.25">
      <c r="A169" s="103"/>
      <c r="B169" s="104"/>
      <c r="C169" s="31"/>
      <c r="D169" s="32"/>
      <c r="E169" s="32"/>
    </row>
    <row r="170" spans="1:5" x14ac:dyDescent="0.25">
      <c r="A170" s="103"/>
      <c r="B170" s="104"/>
      <c r="C170" s="31"/>
      <c r="D170" s="32"/>
      <c r="E170" s="32"/>
    </row>
    <row r="171" spans="1:5" x14ac:dyDescent="0.25">
      <c r="A171" s="103"/>
      <c r="B171" s="104"/>
      <c r="C171" s="31"/>
      <c r="D171" s="32"/>
      <c r="E171" s="32"/>
    </row>
    <row r="172" spans="1:5" x14ac:dyDescent="0.25">
      <c r="A172" s="103"/>
      <c r="B172" s="104"/>
      <c r="C172" s="31"/>
      <c r="D172" s="32"/>
      <c r="E172" s="32"/>
    </row>
    <row r="173" spans="1:5" x14ac:dyDescent="0.25">
      <c r="A173" s="103"/>
      <c r="B173" s="104"/>
      <c r="C173" s="31"/>
      <c r="D173" s="32"/>
      <c r="E173" s="32"/>
    </row>
    <row r="174" spans="1:5" x14ac:dyDescent="0.25">
      <c r="A174" s="103"/>
      <c r="B174" s="104"/>
      <c r="C174" s="31"/>
      <c r="D174" s="32"/>
      <c r="E174" s="32"/>
    </row>
    <row r="175" spans="1:5" x14ac:dyDescent="0.25">
      <c r="A175" s="103"/>
      <c r="B175" s="104"/>
      <c r="C175" s="31"/>
      <c r="D175" s="32"/>
      <c r="E175" s="32"/>
    </row>
    <row r="176" spans="1:5" x14ac:dyDescent="0.25">
      <c r="A176" s="103"/>
      <c r="B176" s="104"/>
      <c r="C176" s="31"/>
      <c r="D176" s="32"/>
      <c r="E176" s="32"/>
    </row>
    <row r="177" spans="1:5" x14ac:dyDescent="0.25">
      <c r="A177" s="103"/>
      <c r="B177" s="104"/>
      <c r="C177" s="31"/>
      <c r="D177" s="32"/>
      <c r="E177" s="32"/>
    </row>
    <row r="178" spans="1:5" x14ac:dyDescent="0.25">
      <c r="A178" s="103"/>
      <c r="B178" s="104"/>
      <c r="C178" s="31"/>
      <c r="D178" s="32"/>
      <c r="E178" s="32"/>
    </row>
    <row r="179" spans="1:5" x14ac:dyDescent="0.25">
      <c r="A179" s="103"/>
      <c r="B179" s="104"/>
      <c r="C179" s="31"/>
      <c r="D179" s="32"/>
      <c r="E179" s="32"/>
    </row>
    <row r="180" spans="1:5" x14ac:dyDescent="0.25">
      <c r="A180" s="103"/>
      <c r="B180" s="104"/>
      <c r="C180" s="31"/>
      <c r="D180" s="32"/>
      <c r="E180" s="32"/>
    </row>
    <row r="181" spans="1:5" x14ac:dyDescent="0.25">
      <c r="A181" s="103"/>
      <c r="B181" s="104"/>
      <c r="C181" s="31"/>
      <c r="D181" s="32"/>
      <c r="E181" s="32"/>
    </row>
    <row r="182" spans="1:5" x14ac:dyDescent="0.25">
      <c r="A182" s="103"/>
      <c r="B182" s="104"/>
      <c r="C182" s="31"/>
      <c r="D182" s="32"/>
      <c r="E182" s="32"/>
    </row>
    <row r="183" spans="1:5" x14ac:dyDescent="0.25">
      <c r="A183" s="103"/>
      <c r="B183" s="104"/>
      <c r="C183" s="31"/>
      <c r="D183" s="32"/>
      <c r="E183" s="32"/>
    </row>
    <row r="184" spans="1:5" x14ac:dyDescent="0.25">
      <c r="A184" s="103"/>
      <c r="B184" s="104"/>
      <c r="C184" s="31"/>
      <c r="D184" s="32"/>
      <c r="E184" s="32"/>
    </row>
    <row r="185" spans="1:5" x14ac:dyDescent="0.25">
      <c r="A185" s="103"/>
      <c r="B185" s="104"/>
      <c r="C185" s="31"/>
      <c r="D185" s="32"/>
      <c r="E185" s="32"/>
    </row>
    <row r="186" spans="1:5" x14ac:dyDescent="0.25">
      <c r="A186" s="103"/>
      <c r="B186" s="104"/>
      <c r="C186" s="31"/>
      <c r="D186" s="32"/>
      <c r="E186" s="32"/>
    </row>
    <row r="187" spans="1:5" x14ac:dyDescent="0.25">
      <c r="A187" s="103"/>
      <c r="B187" s="104"/>
      <c r="C187" s="31"/>
      <c r="D187" s="32"/>
      <c r="E187" s="32"/>
    </row>
    <row r="188" spans="1:5" x14ac:dyDescent="0.25">
      <c r="A188" s="103"/>
      <c r="B188" s="104"/>
      <c r="C188" s="31"/>
      <c r="D188" s="32"/>
      <c r="E188" s="32"/>
    </row>
    <row r="189" spans="1:5" x14ac:dyDescent="0.25">
      <c r="A189" s="103"/>
      <c r="B189" s="104"/>
      <c r="C189" s="31"/>
      <c r="D189" s="32"/>
      <c r="E189" s="32"/>
    </row>
    <row r="190" spans="1:5" x14ac:dyDescent="0.25">
      <c r="A190" s="103"/>
      <c r="B190" s="104"/>
      <c r="C190" s="31"/>
      <c r="D190" s="32"/>
      <c r="E190" s="32"/>
    </row>
    <row r="191" spans="1:5" x14ac:dyDescent="0.25">
      <c r="A191" s="103"/>
      <c r="B191" s="104"/>
      <c r="C191" s="31"/>
      <c r="D191" s="32"/>
      <c r="E191" s="32"/>
    </row>
    <row r="192" spans="1:5" x14ac:dyDescent="0.25">
      <c r="A192" s="103"/>
      <c r="B192" s="104"/>
      <c r="C192" s="31"/>
      <c r="D192" s="32"/>
      <c r="E192" s="32"/>
    </row>
    <row r="193" spans="1:5" x14ac:dyDescent="0.25">
      <c r="A193" s="103"/>
      <c r="B193" s="104"/>
      <c r="C193" s="31"/>
      <c r="D193" s="32"/>
      <c r="E193" s="32"/>
    </row>
    <row r="194" spans="1:5" x14ac:dyDescent="0.25">
      <c r="A194" s="103"/>
      <c r="B194" s="104"/>
      <c r="C194" s="31"/>
      <c r="D194" s="32"/>
      <c r="E194" s="32"/>
    </row>
    <row r="195" spans="1:5" x14ac:dyDescent="0.25">
      <c r="A195" s="103"/>
      <c r="B195" s="104"/>
      <c r="C195" s="31"/>
      <c r="D195" s="30"/>
      <c r="E195" s="30"/>
    </row>
    <row r="196" spans="1:5" x14ac:dyDescent="0.25">
      <c r="A196" s="103"/>
      <c r="B196" s="104"/>
      <c r="C196" s="31"/>
      <c r="D196" s="30"/>
      <c r="E196" s="30"/>
    </row>
    <row r="197" spans="1:5" x14ac:dyDescent="0.25">
      <c r="A197" s="103"/>
      <c r="B197" s="104"/>
      <c r="C197" s="31"/>
      <c r="D197" s="30"/>
      <c r="E197" s="30"/>
    </row>
    <row r="198" spans="1:5" x14ac:dyDescent="0.25">
      <c r="A198" s="103"/>
      <c r="B198" s="104"/>
      <c r="C198" s="31"/>
      <c r="D198" s="30"/>
      <c r="E198" s="30"/>
    </row>
    <row r="199" spans="1:5" x14ac:dyDescent="0.25">
      <c r="A199" s="103"/>
      <c r="B199" s="104"/>
      <c r="C199" s="31"/>
      <c r="D199" s="30"/>
      <c r="E199" s="30"/>
    </row>
    <row r="200" spans="1:5" x14ac:dyDescent="0.25">
      <c r="A200" s="103"/>
      <c r="B200" s="104"/>
      <c r="C200" s="31"/>
      <c r="D200" s="30"/>
      <c r="E200" s="30"/>
    </row>
    <row r="201" spans="1:5" x14ac:dyDescent="0.25">
      <c r="A201" s="103"/>
      <c r="B201" s="104"/>
      <c r="C201" s="31"/>
      <c r="D201" s="30"/>
      <c r="E201" s="30"/>
    </row>
    <row r="202" spans="1:5" x14ac:dyDescent="0.25">
      <c r="A202" s="103"/>
      <c r="B202" s="104"/>
      <c r="C202" s="31"/>
      <c r="D202" s="30"/>
      <c r="E202" s="30"/>
    </row>
    <row r="203" spans="1:5" x14ac:dyDescent="0.25">
      <c r="A203" s="103"/>
      <c r="B203" s="104"/>
      <c r="C203" s="31"/>
      <c r="D203" s="30"/>
      <c r="E203" s="30"/>
    </row>
    <row r="204" spans="1:5" x14ac:dyDescent="0.25">
      <c r="A204" s="103"/>
      <c r="B204" s="104"/>
      <c r="C204" s="31"/>
      <c r="D204" s="30"/>
      <c r="E204" s="30"/>
    </row>
    <row r="205" spans="1:5" x14ac:dyDescent="0.25">
      <c r="A205" s="103"/>
      <c r="B205" s="104"/>
      <c r="C205" s="31"/>
      <c r="D205" s="30"/>
      <c r="E205" s="30"/>
    </row>
    <row r="206" spans="1:5" x14ac:dyDescent="0.25">
      <c r="A206" s="103"/>
      <c r="B206" s="104"/>
      <c r="C206" s="31"/>
      <c r="D206" s="30"/>
      <c r="E206" s="30"/>
    </row>
    <row r="207" spans="1:5" x14ac:dyDescent="0.25">
      <c r="A207" s="103"/>
      <c r="B207" s="104"/>
      <c r="C207" s="31"/>
      <c r="D207" s="30"/>
      <c r="E207" s="30"/>
    </row>
    <row r="208" spans="1:5" x14ac:dyDescent="0.25">
      <c r="A208" s="103"/>
      <c r="B208" s="104"/>
      <c r="C208" s="31"/>
      <c r="D208" s="30"/>
      <c r="E208" s="30"/>
    </row>
    <row r="209" spans="1:5" x14ac:dyDescent="0.25">
      <c r="A209" s="103"/>
      <c r="B209" s="104"/>
      <c r="C209" s="31"/>
      <c r="D209" s="30"/>
      <c r="E209" s="30"/>
    </row>
    <row r="210" spans="1:5" x14ac:dyDescent="0.25">
      <c r="A210" s="103"/>
      <c r="B210" s="104"/>
      <c r="C210" s="31"/>
      <c r="D210" s="30"/>
      <c r="E210" s="30"/>
    </row>
    <row r="211" spans="1:5" x14ac:dyDescent="0.25">
      <c r="A211" s="103"/>
      <c r="B211" s="104"/>
      <c r="C211" s="31"/>
      <c r="D211" s="30"/>
      <c r="E211" s="30"/>
    </row>
    <row r="212" spans="1:5" x14ac:dyDescent="0.25">
      <c r="A212" s="103"/>
      <c r="B212" s="104"/>
      <c r="C212" s="31"/>
      <c r="D212" s="30"/>
      <c r="E212" s="30"/>
    </row>
    <row r="213" spans="1:5" x14ac:dyDescent="0.25">
      <c r="A213" s="103"/>
      <c r="B213" s="104"/>
      <c r="C213" s="31"/>
      <c r="D213" s="30"/>
      <c r="E213" s="30"/>
    </row>
    <row r="214" spans="1:5" x14ac:dyDescent="0.25">
      <c r="A214" s="103"/>
      <c r="B214" s="104"/>
      <c r="C214" s="31"/>
      <c r="D214" s="30"/>
      <c r="E214" s="30"/>
    </row>
    <row r="215" spans="1:5" x14ac:dyDescent="0.25">
      <c r="A215" s="103"/>
      <c r="B215" s="104"/>
      <c r="C215" s="31"/>
      <c r="D215" s="30"/>
      <c r="E215" s="30"/>
    </row>
    <row r="216" spans="1:5" x14ac:dyDescent="0.25">
      <c r="A216" s="103"/>
      <c r="B216" s="104"/>
      <c r="C216" s="31"/>
      <c r="D216" s="30"/>
      <c r="E216" s="30"/>
    </row>
    <row r="217" spans="1:5" x14ac:dyDescent="0.25">
      <c r="A217" s="103"/>
      <c r="B217" s="104"/>
      <c r="C217" s="31"/>
      <c r="D217" s="30"/>
      <c r="E217" s="30"/>
    </row>
    <row r="218" spans="1:5" x14ac:dyDescent="0.25">
      <c r="A218" s="103"/>
      <c r="B218" s="104"/>
      <c r="C218" s="31"/>
      <c r="D218" s="30"/>
      <c r="E218" s="30"/>
    </row>
    <row r="219" spans="1:5" x14ac:dyDescent="0.25">
      <c r="A219" s="103"/>
      <c r="B219" s="104"/>
      <c r="C219" s="31"/>
      <c r="D219" s="30"/>
      <c r="E219" s="30"/>
    </row>
    <row r="220" spans="1:5" x14ac:dyDescent="0.25">
      <c r="A220" s="103"/>
      <c r="B220" s="104"/>
      <c r="C220" s="31"/>
      <c r="D220" s="30"/>
      <c r="E220" s="30"/>
    </row>
    <row r="221" spans="1:5" x14ac:dyDescent="0.25">
      <c r="A221" s="103"/>
      <c r="B221" s="104"/>
      <c r="C221" s="31"/>
      <c r="D221" s="30"/>
      <c r="E221" s="30"/>
    </row>
    <row r="222" spans="1:5" x14ac:dyDescent="0.25">
      <c r="A222" s="103"/>
      <c r="B222" s="104"/>
      <c r="C222" s="31"/>
      <c r="D222" s="30"/>
      <c r="E222" s="30"/>
    </row>
    <row r="223" spans="1:5" x14ac:dyDescent="0.25">
      <c r="A223" s="103"/>
      <c r="B223" s="104"/>
      <c r="C223" s="31"/>
      <c r="D223" s="30"/>
      <c r="E223" s="30"/>
    </row>
    <row r="224" spans="1:5" x14ac:dyDescent="0.25">
      <c r="A224" s="103"/>
      <c r="B224" s="104"/>
      <c r="C224" s="31"/>
      <c r="D224" s="30"/>
      <c r="E224" s="30"/>
    </row>
    <row r="225" spans="1:5" x14ac:dyDescent="0.25">
      <c r="A225" s="103"/>
      <c r="B225" s="104"/>
      <c r="C225" s="31"/>
      <c r="D225" s="30"/>
      <c r="E225" s="30"/>
    </row>
    <row r="226" spans="1:5" x14ac:dyDescent="0.25">
      <c r="A226" s="103"/>
      <c r="B226" s="104"/>
      <c r="C226" s="31"/>
      <c r="D226" s="30"/>
      <c r="E226" s="30"/>
    </row>
    <row r="227" spans="1:5" x14ac:dyDescent="0.25">
      <c r="A227" s="103"/>
      <c r="B227" s="104"/>
      <c r="C227" s="31"/>
      <c r="D227" s="30"/>
      <c r="E227" s="30"/>
    </row>
    <row r="228" spans="1:5" x14ac:dyDescent="0.25">
      <c r="A228" s="103"/>
      <c r="B228" s="104"/>
      <c r="C228" s="31"/>
      <c r="D228" s="30"/>
      <c r="E228" s="30"/>
    </row>
    <row r="229" spans="1:5" x14ac:dyDescent="0.25">
      <c r="A229" s="103"/>
      <c r="B229" s="104"/>
      <c r="C229" s="31"/>
      <c r="D229" s="30"/>
      <c r="E229" s="30"/>
    </row>
    <row r="230" spans="1:5" x14ac:dyDescent="0.25">
      <c r="A230" s="103"/>
      <c r="B230" s="104"/>
      <c r="C230" s="31"/>
      <c r="D230" s="30"/>
      <c r="E230" s="30"/>
    </row>
    <row r="231" spans="1:5" x14ac:dyDescent="0.25">
      <c r="A231" s="103"/>
      <c r="B231" s="104"/>
      <c r="C231" s="31"/>
      <c r="D231" s="30"/>
      <c r="E231" s="30"/>
    </row>
    <row r="232" spans="1:5" x14ac:dyDescent="0.25">
      <c r="A232" s="103"/>
      <c r="B232" s="104"/>
      <c r="C232" s="31"/>
      <c r="D232" s="30"/>
      <c r="E232" s="30"/>
    </row>
    <row r="233" spans="1:5" x14ac:dyDescent="0.25">
      <c r="A233" s="103"/>
      <c r="B233" s="104"/>
      <c r="C233" s="31"/>
      <c r="D233" s="30"/>
      <c r="E233" s="30"/>
    </row>
    <row r="234" spans="1:5" x14ac:dyDescent="0.25">
      <c r="A234" s="103"/>
      <c r="B234" s="104"/>
      <c r="C234" s="31"/>
      <c r="D234" s="30"/>
      <c r="E234" s="30"/>
    </row>
    <row r="235" spans="1:5" x14ac:dyDescent="0.25">
      <c r="A235" s="103"/>
      <c r="B235" s="104"/>
      <c r="C235" s="31"/>
      <c r="D235" s="30"/>
      <c r="E235" s="30"/>
    </row>
    <row r="236" spans="1:5" x14ac:dyDescent="0.25">
      <c r="A236" s="103"/>
      <c r="B236" s="104"/>
      <c r="C236" s="31"/>
      <c r="D236" s="30"/>
      <c r="E236" s="30"/>
    </row>
    <row r="237" spans="1:5" x14ac:dyDescent="0.25">
      <c r="A237" s="103"/>
      <c r="B237" s="104"/>
      <c r="C237" s="31"/>
      <c r="D237" s="30"/>
      <c r="E237" s="30"/>
    </row>
    <row r="238" spans="1:5" x14ac:dyDescent="0.25">
      <c r="A238" s="103"/>
      <c r="B238" s="104"/>
      <c r="C238" s="31"/>
      <c r="D238" s="30"/>
      <c r="E238" s="30"/>
    </row>
    <row r="239" spans="1:5" x14ac:dyDescent="0.25">
      <c r="A239" s="103"/>
      <c r="B239" s="104"/>
      <c r="C239" s="31"/>
      <c r="D239" s="30"/>
      <c r="E239" s="30"/>
    </row>
    <row r="240" spans="1:5" x14ac:dyDescent="0.25">
      <c r="A240" s="103"/>
      <c r="B240" s="104"/>
      <c r="C240" s="31"/>
      <c r="D240" s="30"/>
      <c r="E240" s="30"/>
    </row>
    <row r="241" spans="1:5" x14ac:dyDescent="0.25">
      <c r="A241" s="103"/>
      <c r="B241" s="104"/>
      <c r="C241" s="31"/>
      <c r="D241" s="30"/>
      <c r="E241" s="30"/>
    </row>
    <row r="242" spans="1:5" x14ac:dyDescent="0.25">
      <c r="A242" s="103"/>
      <c r="B242" s="104"/>
      <c r="C242" s="31"/>
      <c r="D242" s="30"/>
      <c r="E242" s="30"/>
    </row>
    <row r="243" spans="1:5" x14ac:dyDescent="0.25">
      <c r="A243" s="103"/>
      <c r="B243" s="104"/>
      <c r="C243" s="31"/>
      <c r="D243" s="30"/>
      <c r="E243" s="30"/>
    </row>
    <row r="244" spans="1:5" x14ac:dyDescent="0.25">
      <c r="A244" s="103"/>
      <c r="B244" s="104"/>
      <c r="C244" s="31"/>
      <c r="D244" s="30"/>
      <c r="E244" s="30"/>
    </row>
    <row r="245" spans="1:5" x14ac:dyDescent="0.25">
      <c r="A245" s="103"/>
      <c r="B245" s="104"/>
      <c r="C245" s="31"/>
      <c r="D245" s="30"/>
      <c r="E245" s="30"/>
    </row>
    <row r="246" spans="1:5" x14ac:dyDescent="0.25">
      <c r="A246" s="103"/>
      <c r="B246" s="104"/>
      <c r="C246" s="31"/>
      <c r="D246" s="30"/>
      <c r="E246" s="30"/>
    </row>
    <row r="247" spans="1:5" x14ac:dyDescent="0.25">
      <c r="A247" s="103"/>
      <c r="B247" s="104"/>
      <c r="C247" s="31"/>
      <c r="D247" s="30"/>
      <c r="E247" s="30"/>
    </row>
    <row r="248" spans="1:5" x14ac:dyDescent="0.25">
      <c r="A248" s="103"/>
      <c r="B248" s="104"/>
      <c r="C248" s="31"/>
      <c r="D248" s="30"/>
      <c r="E248" s="30"/>
    </row>
    <row r="249" spans="1:5" x14ac:dyDescent="0.25">
      <c r="A249" s="103"/>
      <c r="B249" s="104"/>
      <c r="C249" s="31"/>
      <c r="D249" s="30"/>
      <c r="E249" s="30"/>
    </row>
    <row r="250" spans="1:5" x14ac:dyDescent="0.25">
      <c r="A250" s="103"/>
      <c r="B250" s="104"/>
      <c r="C250" s="31"/>
      <c r="D250" s="30"/>
      <c r="E250" s="30"/>
    </row>
    <row r="251" spans="1:5" x14ac:dyDescent="0.25">
      <c r="A251" s="103"/>
      <c r="B251" s="104"/>
      <c r="C251" s="31"/>
      <c r="D251" s="30"/>
      <c r="E251" s="30"/>
    </row>
    <row r="252" spans="1:5" x14ac:dyDescent="0.25">
      <c r="A252" s="103"/>
      <c r="B252" s="104"/>
      <c r="C252" s="31"/>
      <c r="D252" s="30"/>
      <c r="E252" s="30"/>
    </row>
    <row r="253" spans="1:5" x14ac:dyDescent="0.25">
      <c r="A253" s="103"/>
      <c r="B253" s="104"/>
      <c r="C253" s="31"/>
      <c r="D253" s="30"/>
      <c r="E253" s="30"/>
    </row>
    <row r="254" spans="1:5" x14ac:dyDescent="0.25">
      <c r="A254" s="103"/>
      <c r="B254" s="104"/>
      <c r="C254" s="31"/>
      <c r="D254" s="30"/>
      <c r="E254" s="30"/>
    </row>
    <row r="255" spans="1:5" x14ac:dyDescent="0.25">
      <c r="A255" s="103"/>
      <c r="B255" s="104"/>
      <c r="C255" s="31"/>
      <c r="D255" s="30"/>
      <c r="E255" s="30"/>
    </row>
    <row r="256" spans="1:5" x14ac:dyDescent="0.25">
      <c r="A256" s="103"/>
      <c r="B256" s="104"/>
      <c r="C256" s="31"/>
      <c r="D256" s="30"/>
      <c r="E256" s="30"/>
    </row>
    <row r="257" spans="1:5" x14ac:dyDescent="0.25">
      <c r="A257" s="103"/>
      <c r="B257" s="104"/>
      <c r="C257" s="31"/>
      <c r="D257" s="30"/>
      <c r="E257" s="30"/>
    </row>
    <row r="258" spans="1:5" x14ac:dyDescent="0.25">
      <c r="A258" s="103"/>
      <c r="B258" s="104"/>
      <c r="C258" s="31"/>
      <c r="D258" s="30"/>
      <c r="E258" s="30"/>
    </row>
    <row r="259" spans="1:5" x14ac:dyDescent="0.25">
      <c r="A259" s="103"/>
      <c r="B259" s="104"/>
      <c r="C259" s="31"/>
      <c r="D259" s="30"/>
      <c r="E259" s="30"/>
    </row>
    <row r="260" spans="1:5" x14ac:dyDescent="0.25">
      <c r="A260" s="103"/>
      <c r="B260" s="104"/>
      <c r="C260" s="31"/>
      <c r="D260" s="30"/>
      <c r="E260" s="30"/>
    </row>
    <row r="261" spans="1:5" x14ac:dyDescent="0.25">
      <c r="A261" s="103"/>
      <c r="B261" s="104"/>
      <c r="C261" s="31"/>
      <c r="D261" s="30"/>
      <c r="E261" s="30"/>
    </row>
    <row r="262" spans="1:5" x14ac:dyDescent="0.25">
      <c r="A262" s="103"/>
      <c r="B262" s="104"/>
      <c r="C262" s="31"/>
      <c r="D262" s="30"/>
      <c r="E262" s="30"/>
    </row>
    <row r="263" spans="1:5" x14ac:dyDescent="0.25">
      <c r="A263" s="103"/>
      <c r="B263" s="104"/>
      <c r="C263" s="31"/>
      <c r="D263" s="30"/>
      <c r="E263" s="30"/>
    </row>
    <row r="264" spans="1:5" x14ac:dyDescent="0.25">
      <c r="A264" s="103"/>
      <c r="B264" s="104"/>
      <c r="C264" s="31"/>
      <c r="D264" s="30"/>
      <c r="E264" s="30"/>
    </row>
    <row r="265" spans="1:5" x14ac:dyDescent="0.25">
      <c r="A265" s="103"/>
      <c r="B265" s="104"/>
      <c r="C265" s="31"/>
      <c r="D265" s="30"/>
      <c r="E265" s="30"/>
    </row>
    <row r="266" spans="1:5" x14ac:dyDescent="0.25">
      <c r="A266" s="103"/>
      <c r="B266" s="104"/>
      <c r="C266" s="31"/>
      <c r="D266" s="30"/>
      <c r="E266" s="30"/>
    </row>
    <row r="267" spans="1:5" x14ac:dyDescent="0.25">
      <c r="A267" s="103"/>
      <c r="B267" s="104"/>
      <c r="C267" s="31"/>
      <c r="D267" s="30"/>
      <c r="E267" s="30"/>
    </row>
    <row r="268" spans="1:5" x14ac:dyDescent="0.25">
      <c r="A268" s="103"/>
      <c r="B268" s="104"/>
      <c r="C268" s="31"/>
      <c r="D268" s="30"/>
      <c r="E268" s="30"/>
    </row>
    <row r="269" spans="1:5" x14ac:dyDescent="0.25">
      <c r="A269" s="103"/>
      <c r="B269" s="104"/>
      <c r="C269" s="31"/>
      <c r="D269" s="30"/>
      <c r="E269" s="30"/>
    </row>
    <row r="270" spans="1:5" x14ac:dyDescent="0.25">
      <c r="A270" s="103"/>
      <c r="B270" s="104"/>
      <c r="C270" s="31"/>
      <c r="D270" s="30"/>
      <c r="E270" s="30"/>
    </row>
    <row r="271" spans="1:5" x14ac:dyDescent="0.25">
      <c r="A271" s="103"/>
      <c r="B271" s="104"/>
      <c r="C271" s="31"/>
      <c r="D271" s="30"/>
      <c r="E271" s="30"/>
    </row>
    <row r="272" spans="1:5" x14ac:dyDescent="0.25">
      <c r="A272" s="103"/>
      <c r="B272" s="104"/>
      <c r="C272" s="31"/>
      <c r="D272" s="30"/>
      <c r="E272" s="30"/>
    </row>
    <row r="273" spans="1:5" x14ac:dyDescent="0.25">
      <c r="A273" s="103"/>
      <c r="B273" s="104"/>
      <c r="C273" s="31"/>
      <c r="D273" s="30"/>
      <c r="E273" s="30"/>
    </row>
    <row r="274" spans="1:5" x14ac:dyDescent="0.25">
      <c r="A274" s="103"/>
      <c r="B274" s="104"/>
      <c r="C274" s="31"/>
      <c r="D274" s="30"/>
      <c r="E274" s="30"/>
    </row>
    <row r="275" spans="1:5" x14ac:dyDescent="0.25">
      <c r="A275" s="103"/>
      <c r="B275" s="104"/>
      <c r="C275" s="31"/>
      <c r="D275" s="30"/>
      <c r="E275" s="30"/>
    </row>
    <row r="276" spans="1:5" x14ac:dyDescent="0.25">
      <c r="A276" s="103"/>
      <c r="B276" s="104"/>
      <c r="C276" s="31"/>
      <c r="D276" s="30"/>
      <c r="E276" s="30"/>
    </row>
    <row r="277" spans="1:5" x14ac:dyDescent="0.25">
      <c r="A277" s="103"/>
      <c r="B277" s="104"/>
      <c r="C277" s="31"/>
      <c r="D277" s="30"/>
      <c r="E277" s="30"/>
    </row>
    <row r="278" spans="1:5" x14ac:dyDescent="0.25">
      <c r="A278" s="103"/>
      <c r="B278" s="104"/>
      <c r="C278" s="31"/>
      <c r="D278" s="30"/>
      <c r="E278" s="30"/>
    </row>
    <row r="279" spans="1:5" x14ac:dyDescent="0.25">
      <c r="A279" s="103"/>
      <c r="B279" s="104"/>
      <c r="C279" s="31"/>
      <c r="D279" s="30"/>
      <c r="E279" s="30"/>
    </row>
    <row r="280" spans="1:5" x14ac:dyDescent="0.25">
      <c r="A280" s="103"/>
      <c r="B280" s="104"/>
      <c r="C280" s="31"/>
      <c r="D280" s="30"/>
      <c r="E280" s="30"/>
    </row>
    <row r="281" spans="1:5" x14ac:dyDescent="0.25">
      <c r="A281" s="103"/>
      <c r="B281" s="104"/>
      <c r="C281" s="31"/>
      <c r="D281" s="30"/>
      <c r="E281" s="30"/>
    </row>
    <row r="282" spans="1:5" x14ac:dyDescent="0.25">
      <c r="A282" s="103"/>
      <c r="B282" s="104"/>
      <c r="C282" s="31"/>
      <c r="D282" s="30"/>
      <c r="E282" s="30"/>
    </row>
    <row r="283" spans="1:5" x14ac:dyDescent="0.25">
      <c r="A283" s="103"/>
      <c r="B283" s="104"/>
      <c r="C283" s="31"/>
      <c r="D283" s="30"/>
      <c r="E283" s="30"/>
    </row>
    <row r="284" spans="1:5" x14ac:dyDescent="0.25">
      <c r="A284" s="103"/>
      <c r="B284" s="104"/>
      <c r="C284" s="31"/>
      <c r="D284" s="30"/>
      <c r="E284" s="30"/>
    </row>
    <row r="285" spans="1:5" x14ac:dyDescent="0.25">
      <c r="A285" s="103"/>
      <c r="B285" s="104"/>
      <c r="C285" s="31"/>
      <c r="D285" s="30"/>
      <c r="E285" s="30"/>
    </row>
    <row r="286" spans="1:5" x14ac:dyDescent="0.25">
      <c r="A286" s="103"/>
      <c r="B286" s="104"/>
      <c r="C286" s="31"/>
      <c r="D286" s="30"/>
      <c r="E286" s="30"/>
    </row>
    <row r="287" spans="1:5" x14ac:dyDescent="0.25">
      <c r="A287" s="103"/>
      <c r="B287" s="104"/>
      <c r="C287" s="31"/>
      <c r="D287" s="30"/>
      <c r="E287" s="30"/>
    </row>
    <row r="288" spans="1:5" x14ac:dyDescent="0.25">
      <c r="A288" s="103"/>
      <c r="B288" s="104"/>
      <c r="C288" s="31"/>
      <c r="D288" s="30"/>
      <c r="E288" s="30"/>
    </row>
    <row r="289" spans="1:5" x14ac:dyDescent="0.25">
      <c r="A289" s="103"/>
      <c r="B289" s="104"/>
      <c r="C289" s="31"/>
      <c r="D289" s="30"/>
      <c r="E289" s="30"/>
    </row>
    <row r="290" spans="1:5" x14ac:dyDescent="0.25">
      <c r="A290" s="103"/>
      <c r="B290" s="104"/>
      <c r="C290" s="31"/>
      <c r="D290" s="30"/>
      <c r="E290" s="30"/>
    </row>
    <row r="291" spans="1:5" x14ac:dyDescent="0.25">
      <c r="A291" s="103"/>
      <c r="B291" s="104"/>
      <c r="C291" s="31"/>
      <c r="D291" s="30"/>
      <c r="E291" s="30"/>
    </row>
    <row r="292" spans="1:5" x14ac:dyDescent="0.25">
      <c r="A292" s="103"/>
      <c r="B292" s="104"/>
      <c r="C292" s="31"/>
      <c r="D292" s="30"/>
      <c r="E292" s="30"/>
    </row>
    <row r="293" spans="1:5" x14ac:dyDescent="0.25">
      <c r="A293" s="103"/>
      <c r="B293" s="104"/>
      <c r="C293" s="31"/>
      <c r="D293" s="30"/>
      <c r="E293" s="30"/>
    </row>
    <row r="294" spans="1:5" x14ac:dyDescent="0.25">
      <c r="A294" s="103"/>
      <c r="B294" s="104"/>
      <c r="C294" s="31"/>
      <c r="D294" s="30"/>
      <c r="E294" s="30"/>
    </row>
    <row r="295" spans="1:5" x14ac:dyDescent="0.25">
      <c r="A295" s="103"/>
      <c r="B295" s="104"/>
      <c r="C295" s="31"/>
      <c r="D295" s="30"/>
      <c r="E295" s="30"/>
    </row>
    <row r="296" spans="1:5" x14ac:dyDescent="0.25">
      <c r="A296" s="103"/>
      <c r="B296" s="104"/>
      <c r="C296" s="31"/>
      <c r="D296" s="30"/>
      <c r="E296" s="30"/>
    </row>
    <row r="297" spans="1:5" x14ac:dyDescent="0.25">
      <c r="A297" s="103"/>
      <c r="B297" s="104"/>
      <c r="C297" s="31"/>
      <c r="D297" s="30"/>
      <c r="E297" s="30"/>
    </row>
    <row r="298" spans="1:5" x14ac:dyDescent="0.25">
      <c r="A298" s="103"/>
      <c r="B298" s="104"/>
      <c r="C298" s="31"/>
      <c r="D298" s="30"/>
      <c r="E298" s="30"/>
    </row>
    <row r="299" spans="1:5" x14ac:dyDescent="0.25">
      <c r="A299" s="103"/>
      <c r="B299" s="104"/>
      <c r="C299" s="31"/>
      <c r="D299" s="30"/>
      <c r="E299" s="30"/>
    </row>
    <row r="300" spans="1:5" x14ac:dyDescent="0.25">
      <c r="A300" s="103"/>
      <c r="B300" s="104"/>
      <c r="C300" s="31"/>
      <c r="D300" s="30"/>
      <c r="E300" s="30"/>
    </row>
    <row r="301" spans="1:5" x14ac:dyDescent="0.25">
      <c r="A301" s="103"/>
      <c r="B301" s="104"/>
      <c r="C301" s="31"/>
      <c r="D301" s="30"/>
      <c r="E301" s="30"/>
    </row>
    <row r="302" spans="1:5" x14ac:dyDescent="0.25">
      <c r="A302" s="103"/>
      <c r="B302" s="104"/>
      <c r="C302" s="31"/>
      <c r="D302" s="30"/>
      <c r="E302" s="30"/>
    </row>
    <row r="303" spans="1:5" x14ac:dyDescent="0.25">
      <c r="A303" s="103"/>
      <c r="B303" s="104"/>
      <c r="C303" s="31"/>
      <c r="D303" s="30"/>
      <c r="E303" s="30"/>
    </row>
    <row r="304" spans="1:5" x14ac:dyDescent="0.25">
      <c r="A304" s="103"/>
      <c r="B304" s="104"/>
      <c r="C304" s="31"/>
      <c r="D304" s="30"/>
      <c r="E304" s="30"/>
    </row>
    <row r="305" spans="1:5" x14ac:dyDescent="0.25">
      <c r="A305" s="103"/>
      <c r="B305" s="104"/>
      <c r="C305" s="31"/>
      <c r="D305" s="30"/>
      <c r="E305" s="30"/>
    </row>
    <row r="306" spans="1:5" x14ac:dyDescent="0.25">
      <c r="A306" s="103"/>
      <c r="B306" s="104"/>
      <c r="C306" s="31"/>
      <c r="D306" s="30"/>
      <c r="E306" s="30"/>
    </row>
    <row r="307" spans="1:5" x14ac:dyDescent="0.25">
      <c r="A307" s="103"/>
      <c r="B307" s="104"/>
      <c r="C307" s="31"/>
      <c r="D307" s="30"/>
      <c r="E307" s="30"/>
    </row>
    <row r="308" spans="1:5" x14ac:dyDescent="0.25">
      <c r="A308" s="103"/>
      <c r="B308" s="104"/>
      <c r="C308" s="31"/>
      <c r="D308" s="30"/>
      <c r="E308" s="30"/>
    </row>
    <row r="309" spans="1:5" x14ac:dyDescent="0.25">
      <c r="A309" s="103"/>
      <c r="B309" s="104"/>
      <c r="C309" s="31"/>
      <c r="D309" s="30"/>
      <c r="E309" s="30"/>
    </row>
    <row r="310" spans="1:5" x14ac:dyDescent="0.25">
      <c r="A310" s="103"/>
      <c r="B310" s="104"/>
      <c r="C310" s="31"/>
      <c r="D310" s="30"/>
      <c r="E310" s="30"/>
    </row>
    <row r="311" spans="1:5" x14ac:dyDescent="0.25">
      <c r="A311" s="103"/>
      <c r="B311" s="104"/>
      <c r="C311" s="31"/>
      <c r="D311" s="30"/>
      <c r="E311" s="30"/>
    </row>
    <row r="312" spans="1:5" x14ac:dyDescent="0.25">
      <c r="A312" s="103"/>
      <c r="B312" s="104"/>
      <c r="C312" s="31"/>
      <c r="D312" s="30"/>
      <c r="E312" s="30"/>
    </row>
    <row r="313" spans="1:5" x14ac:dyDescent="0.25">
      <c r="A313" s="103"/>
      <c r="B313" s="104"/>
      <c r="C313" s="31"/>
      <c r="D313" s="30"/>
      <c r="E313" s="30"/>
    </row>
    <row r="314" spans="1:5" x14ac:dyDescent="0.25">
      <c r="A314" s="103"/>
      <c r="B314" s="104"/>
      <c r="C314" s="31"/>
      <c r="D314" s="30"/>
      <c r="E314" s="30"/>
    </row>
    <row r="315" spans="1:5" x14ac:dyDescent="0.25">
      <c r="A315" s="103"/>
      <c r="B315" s="104"/>
      <c r="C315" s="31"/>
      <c r="D315" s="30"/>
      <c r="E315" s="30"/>
    </row>
    <row r="316" spans="1:5" x14ac:dyDescent="0.25">
      <c r="A316" s="103"/>
      <c r="B316" s="104"/>
      <c r="C316" s="31"/>
      <c r="D316" s="30"/>
      <c r="E316" s="30"/>
    </row>
    <row r="317" spans="1:5" x14ac:dyDescent="0.25">
      <c r="A317" s="103"/>
      <c r="B317" s="104"/>
      <c r="C317" s="31"/>
      <c r="D317" s="30"/>
      <c r="E317" s="30"/>
    </row>
    <row r="318" spans="1:5" x14ac:dyDescent="0.25">
      <c r="A318" s="103"/>
      <c r="B318" s="104"/>
      <c r="C318" s="31"/>
      <c r="D318" s="30"/>
      <c r="E318" s="30"/>
    </row>
    <row r="319" spans="1:5" x14ac:dyDescent="0.25">
      <c r="A319" s="103"/>
      <c r="B319" s="104"/>
      <c r="C319" s="31"/>
      <c r="D319" s="30"/>
      <c r="E319" s="30"/>
    </row>
    <row r="320" spans="1:5" x14ac:dyDescent="0.25">
      <c r="A320" s="103"/>
      <c r="B320" s="104"/>
      <c r="C320" s="31"/>
      <c r="D320" s="30"/>
      <c r="E320" s="30"/>
    </row>
    <row r="321" spans="1:5" x14ac:dyDescent="0.25">
      <c r="A321" s="103"/>
      <c r="B321" s="104"/>
      <c r="C321" s="31"/>
      <c r="D321" s="30"/>
      <c r="E321" s="30"/>
    </row>
    <row r="322" spans="1:5" x14ac:dyDescent="0.25">
      <c r="A322" s="103"/>
      <c r="B322" s="104"/>
      <c r="C322" s="31"/>
      <c r="D322" s="30"/>
      <c r="E322" s="30"/>
    </row>
    <row r="323" spans="1:5" x14ac:dyDescent="0.25">
      <c r="A323" s="103"/>
      <c r="B323" s="104"/>
      <c r="C323" s="31"/>
      <c r="D323" s="30"/>
      <c r="E323" s="30"/>
    </row>
    <row r="324" spans="1:5" x14ac:dyDescent="0.25">
      <c r="A324" s="103"/>
      <c r="B324" s="104"/>
      <c r="C324" s="31"/>
      <c r="D324" s="30"/>
      <c r="E324" s="30"/>
    </row>
    <row r="325" spans="1:5" x14ac:dyDescent="0.25">
      <c r="A325" s="103"/>
      <c r="B325" s="104"/>
      <c r="C325" s="31"/>
      <c r="D325" s="30"/>
      <c r="E325" s="30"/>
    </row>
    <row r="326" spans="1:5" x14ac:dyDescent="0.25">
      <c r="A326" s="103"/>
      <c r="B326" s="104"/>
      <c r="C326" s="31"/>
      <c r="D326" s="30"/>
      <c r="E326" s="30"/>
    </row>
    <row r="327" spans="1:5" x14ac:dyDescent="0.25">
      <c r="A327" s="103"/>
      <c r="B327" s="104"/>
      <c r="C327" s="31"/>
      <c r="D327" s="30"/>
      <c r="E327" s="30"/>
    </row>
    <row r="328" spans="1:5" x14ac:dyDescent="0.25">
      <c r="A328" s="103"/>
      <c r="B328" s="104"/>
      <c r="C328" s="31"/>
      <c r="D328" s="30"/>
      <c r="E328" s="30"/>
    </row>
    <row r="329" spans="1:5" x14ac:dyDescent="0.25">
      <c r="A329" s="103"/>
      <c r="B329" s="104"/>
      <c r="C329" s="31"/>
      <c r="D329" s="30"/>
      <c r="E329" s="30"/>
    </row>
    <row r="330" spans="1:5" x14ac:dyDescent="0.25">
      <c r="A330" s="103"/>
      <c r="B330" s="104"/>
      <c r="C330" s="31"/>
      <c r="D330" s="30"/>
      <c r="E330" s="30"/>
    </row>
    <row r="331" spans="1:5" x14ac:dyDescent="0.25">
      <c r="A331" s="103"/>
      <c r="B331" s="104"/>
      <c r="C331" s="31"/>
      <c r="D331" s="30"/>
      <c r="E331" s="30"/>
    </row>
    <row r="332" spans="1:5" x14ac:dyDescent="0.25">
      <c r="A332" s="103"/>
      <c r="B332" s="104"/>
      <c r="C332" s="31"/>
      <c r="D332" s="30"/>
      <c r="E332" s="30"/>
    </row>
    <row r="333" spans="1:5" x14ac:dyDescent="0.25">
      <c r="A333" s="103"/>
      <c r="B333" s="104"/>
      <c r="C333" s="31"/>
      <c r="D333" s="30"/>
      <c r="E333" s="30"/>
    </row>
    <row r="334" spans="1:5" x14ac:dyDescent="0.25">
      <c r="A334" s="103"/>
      <c r="B334" s="104"/>
      <c r="C334" s="31"/>
      <c r="D334" s="30"/>
      <c r="E334" s="30"/>
    </row>
    <row r="335" spans="1:5" x14ac:dyDescent="0.25">
      <c r="A335" s="103"/>
      <c r="B335" s="104"/>
      <c r="C335" s="31"/>
      <c r="D335" s="30"/>
      <c r="E335" s="30"/>
    </row>
    <row r="336" spans="1:5" x14ac:dyDescent="0.25">
      <c r="A336" s="103"/>
      <c r="B336" s="104"/>
      <c r="C336" s="31"/>
      <c r="D336" s="30"/>
      <c r="E336" s="30"/>
    </row>
    <row r="337" spans="1:5" x14ac:dyDescent="0.25">
      <c r="A337" s="103"/>
      <c r="B337" s="104"/>
      <c r="C337" s="31"/>
      <c r="D337" s="30"/>
      <c r="E337" s="30"/>
    </row>
    <row r="338" spans="1:5" x14ac:dyDescent="0.25">
      <c r="A338" s="103"/>
      <c r="B338" s="104"/>
      <c r="C338" s="31"/>
      <c r="D338" s="30"/>
      <c r="E338" s="30"/>
    </row>
    <row r="339" spans="1:5" x14ac:dyDescent="0.25">
      <c r="A339" s="103"/>
      <c r="B339" s="104"/>
      <c r="C339" s="31"/>
      <c r="D339" s="30"/>
      <c r="E339" s="30"/>
    </row>
    <row r="340" spans="1:5" x14ac:dyDescent="0.25">
      <c r="A340" s="103"/>
      <c r="B340" s="104"/>
      <c r="C340" s="31"/>
      <c r="D340" s="30"/>
      <c r="E340" s="30"/>
    </row>
    <row r="341" spans="1:5" x14ac:dyDescent="0.25">
      <c r="A341" s="103"/>
      <c r="B341" s="104"/>
      <c r="C341" s="31"/>
      <c r="D341" s="30"/>
      <c r="E341" s="30"/>
    </row>
    <row r="342" spans="1:5" x14ac:dyDescent="0.25">
      <c r="A342" s="103"/>
      <c r="B342" s="104"/>
      <c r="C342" s="31"/>
      <c r="D342" s="30"/>
      <c r="E342" s="30"/>
    </row>
    <row r="343" spans="1:5" x14ac:dyDescent="0.25">
      <c r="A343" s="103"/>
      <c r="B343" s="104"/>
      <c r="C343" s="31"/>
      <c r="D343" s="30"/>
      <c r="E343" s="30"/>
    </row>
    <row r="344" spans="1:5" x14ac:dyDescent="0.25">
      <c r="A344" s="103"/>
      <c r="B344" s="104"/>
      <c r="C344" s="31"/>
      <c r="D344" s="30"/>
      <c r="E344" s="30"/>
    </row>
    <row r="345" spans="1:5" x14ac:dyDescent="0.25">
      <c r="A345" s="103"/>
      <c r="B345" s="104"/>
      <c r="C345" s="31"/>
      <c r="D345" s="30"/>
      <c r="E345" s="30"/>
    </row>
    <row r="346" spans="1:5" x14ac:dyDescent="0.25">
      <c r="A346" s="103"/>
      <c r="B346" s="104"/>
      <c r="C346" s="31"/>
      <c r="D346" s="30"/>
      <c r="E346" s="30"/>
    </row>
    <row r="347" spans="1:5" x14ac:dyDescent="0.25">
      <c r="A347" s="103"/>
      <c r="B347" s="104"/>
      <c r="C347" s="31"/>
      <c r="D347" s="30"/>
      <c r="E347" s="30"/>
    </row>
    <row r="348" spans="1:5" x14ac:dyDescent="0.25">
      <c r="A348" s="103"/>
      <c r="B348" s="104"/>
      <c r="C348" s="31"/>
      <c r="D348" s="30"/>
      <c r="E348" s="30"/>
    </row>
    <row r="349" spans="1:5" x14ac:dyDescent="0.25">
      <c r="A349" s="103"/>
      <c r="B349" s="104"/>
      <c r="C349" s="31"/>
      <c r="D349" s="30"/>
      <c r="E349" s="30"/>
    </row>
    <row r="350" spans="1:5" x14ac:dyDescent="0.25">
      <c r="A350" s="103"/>
      <c r="B350" s="104"/>
      <c r="C350" s="31"/>
      <c r="D350" s="30"/>
      <c r="E350" s="30"/>
    </row>
    <row r="351" spans="1:5" x14ac:dyDescent="0.25">
      <c r="A351" s="103"/>
      <c r="B351" s="104"/>
      <c r="C351" s="31"/>
      <c r="D351" s="30"/>
      <c r="E351" s="30"/>
    </row>
    <row r="352" spans="1:5" x14ac:dyDescent="0.25">
      <c r="A352" s="103"/>
      <c r="B352" s="104"/>
      <c r="C352" s="31"/>
      <c r="D352" s="30"/>
      <c r="E352" s="30"/>
    </row>
    <row r="353" spans="1:5" x14ac:dyDescent="0.25">
      <c r="A353" s="103"/>
      <c r="B353" s="104"/>
      <c r="C353" s="31"/>
      <c r="D353" s="30"/>
      <c r="E353" s="30"/>
    </row>
    <row r="354" spans="1:5" x14ac:dyDescent="0.25">
      <c r="A354" s="103"/>
      <c r="B354" s="104"/>
      <c r="C354" s="31"/>
      <c r="D354" s="30"/>
      <c r="E354" s="30"/>
    </row>
    <row r="355" spans="1:5" x14ac:dyDescent="0.25">
      <c r="A355" s="103"/>
      <c r="B355" s="104"/>
      <c r="C355" s="31"/>
      <c r="D355" s="30"/>
      <c r="E355" s="30"/>
    </row>
    <row r="356" spans="1:5" x14ac:dyDescent="0.25">
      <c r="A356" s="103"/>
      <c r="B356" s="104"/>
      <c r="C356" s="31"/>
      <c r="D356" s="30"/>
      <c r="E356" s="30"/>
    </row>
    <row r="357" spans="1:5" x14ac:dyDescent="0.25">
      <c r="A357" s="103"/>
      <c r="B357" s="104"/>
      <c r="C357" s="31"/>
      <c r="D357" s="30"/>
      <c r="E357" s="30"/>
    </row>
    <row r="358" spans="1:5" x14ac:dyDescent="0.25">
      <c r="A358" s="103"/>
      <c r="B358" s="104"/>
      <c r="C358" s="31"/>
      <c r="D358" s="30"/>
      <c r="E358" s="30"/>
    </row>
    <row r="359" spans="1:5" x14ac:dyDescent="0.25">
      <c r="A359" s="103"/>
      <c r="B359" s="104"/>
      <c r="C359" s="31"/>
      <c r="D359" s="30"/>
      <c r="E359" s="30"/>
    </row>
    <row r="360" spans="1:5" x14ac:dyDescent="0.25">
      <c r="A360" s="103"/>
      <c r="B360" s="104"/>
      <c r="C360" s="31"/>
      <c r="D360" s="30"/>
      <c r="E360" s="30"/>
    </row>
    <row r="361" spans="1:5" x14ac:dyDescent="0.25">
      <c r="A361" s="103"/>
      <c r="B361" s="104"/>
      <c r="C361" s="31"/>
      <c r="D361" s="30"/>
      <c r="E361" s="30"/>
    </row>
    <row r="362" spans="1:5" x14ac:dyDescent="0.25">
      <c r="A362" s="103"/>
      <c r="B362" s="104"/>
      <c r="C362" s="31"/>
      <c r="D362" s="30"/>
      <c r="E362" s="30"/>
    </row>
    <row r="363" spans="1:5" x14ac:dyDescent="0.25">
      <c r="A363" s="103"/>
      <c r="B363" s="104"/>
      <c r="C363" s="31"/>
      <c r="D363" s="30"/>
      <c r="E363" s="30"/>
    </row>
    <row r="364" spans="1:5" x14ac:dyDescent="0.25">
      <c r="A364" s="103"/>
      <c r="B364" s="104"/>
      <c r="C364" s="31"/>
      <c r="D364" s="30"/>
      <c r="E364" s="30"/>
    </row>
    <row r="365" spans="1:5" x14ac:dyDescent="0.25">
      <c r="A365" s="103"/>
      <c r="B365" s="104"/>
      <c r="C365" s="31"/>
      <c r="D365" s="30"/>
      <c r="E365" s="30"/>
    </row>
    <row r="366" spans="1:5" x14ac:dyDescent="0.25">
      <c r="A366" s="103"/>
      <c r="B366" s="104"/>
      <c r="C366" s="31"/>
      <c r="D366" s="30"/>
      <c r="E366" s="30"/>
    </row>
    <row r="367" spans="1:5" x14ac:dyDescent="0.25">
      <c r="A367" s="103"/>
      <c r="B367" s="104"/>
      <c r="C367" s="31"/>
      <c r="D367" s="30"/>
      <c r="E367" s="30"/>
    </row>
    <row r="368" spans="1:5" x14ac:dyDescent="0.25">
      <c r="A368" s="103"/>
      <c r="B368" s="104"/>
      <c r="C368" s="31"/>
      <c r="D368" s="30"/>
      <c r="E368" s="30"/>
    </row>
    <row r="369" spans="1:5" x14ac:dyDescent="0.25">
      <c r="A369" s="103"/>
      <c r="B369" s="104"/>
      <c r="C369" s="31"/>
      <c r="D369" s="30"/>
      <c r="E369" s="30"/>
    </row>
    <row r="370" spans="1:5" x14ac:dyDescent="0.25">
      <c r="A370" s="103"/>
      <c r="B370" s="104"/>
      <c r="C370" s="31"/>
      <c r="D370" s="30"/>
      <c r="E370" s="30"/>
    </row>
    <row r="371" spans="1:5" x14ac:dyDescent="0.25">
      <c r="A371" s="103"/>
      <c r="B371" s="104"/>
      <c r="C371" s="31"/>
      <c r="D371" s="30"/>
      <c r="E371" s="30"/>
    </row>
    <row r="372" spans="1:5" x14ac:dyDescent="0.25">
      <c r="A372" s="103"/>
      <c r="B372" s="104"/>
      <c r="C372" s="31"/>
      <c r="D372" s="30"/>
      <c r="E372" s="30"/>
    </row>
    <row r="373" spans="1:5" x14ac:dyDescent="0.25">
      <c r="A373" s="103"/>
      <c r="B373" s="104"/>
      <c r="C373" s="31"/>
      <c r="D373" s="30"/>
      <c r="E373" s="30"/>
    </row>
    <row r="374" spans="1:5" x14ac:dyDescent="0.25">
      <c r="A374" s="103"/>
      <c r="B374" s="104"/>
      <c r="C374" s="31"/>
      <c r="D374" s="30"/>
      <c r="E374" s="30"/>
    </row>
    <row r="375" spans="1:5" x14ac:dyDescent="0.25">
      <c r="A375" s="103"/>
      <c r="B375" s="104"/>
      <c r="C375" s="31"/>
      <c r="D375" s="30"/>
      <c r="E375" s="30"/>
    </row>
    <row r="376" spans="1:5" x14ac:dyDescent="0.25">
      <c r="A376" s="103"/>
      <c r="B376" s="104"/>
      <c r="C376" s="31"/>
      <c r="D376" s="30"/>
      <c r="E376" s="30"/>
    </row>
    <row r="377" spans="1:5" x14ac:dyDescent="0.25">
      <c r="A377" s="103"/>
      <c r="B377" s="104"/>
      <c r="C377" s="31"/>
      <c r="D377" s="30"/>
      <c r="E377" s="30"/>
    </row>
    <row r="378" spans="1:5" x14ac:dyDescent="0.25">
      <c r="A378" s="103"/>
      <c r="B378" s="104"/>
      <c r="C378" s="31"/>
      <c r="D378" s="30"/>
      <c r="E378" s="30"/>
    </row>
    <row r="379" spans="1:5" x14ac:dyDescent="0.25">
      <c r="A379" s="103"/>
      <c r="B379" s="104"/>
      <c r="C379" s="31"/>
      <c r="D379" s="30"/>
      <c r="E379" s="30"/>
    </row>
    <row r="380" spans="1:5" x14ac:dyDescent="0.25">
      <c r="A380" s="103"/>
      <c r="B380" s="104"/>
      <c r="C380" s="31"/>
      <c r="D380" s="30"/>
      <c r="E380" s="30"/>
    </row>
    <row r="381" spans="1:5" x14ac:dyDescent="0.25">
      <c r="A381" s="103"/>
      <c r="B381" s="104"/>
      <c r="C381" s="31"/>
      <c r="D381" s="30"/>
      <c r="E381" s="30"/>
    </row>
    <row r="382" spans="1:5" x14ac:dyDescent="0.25">
      <c r="A382" s="103"/>
      <c r="B382" s="104"/>
      <c r="C382" s="31"/>
      <c r="D382" s="30"/>
      <c r="E382" s="30"/>
    </row>
    <row r="383" spans="1:5" x14ac:dyDescent="0.25">
      <c r="A383" s="103"/>
      <c r="B383" s="104"/>
      <c r="C383" s="31"/>
      <c r="D383" s="30"/>
      <c r="E383" s="30"/>
    </row>
    <row r="384" spans="1:5" x14ac:dyDescent="0.25">
      <c r="A384" s="103"/>
      <c r="B384" s="104"/>
      <c r="C384" s="31"/>
      <c r="D384" s="30"/>
      <c r="E384" s="30"/>
    </row>
    <row r="385" spans="1:5" x14ac:dyDescent="0.25">
      <c r="A385" s="103"/>
      <c r="B385" s="104"/>
      <c r="C385" s="31"/>
      <c r="D385" s="30"/>
      <c r="E385" s="30"/>
    </row>
    <row r="386" spans="1:5" x14ac:dyDescent="0.25">
      <c r="A386" s="103"/>
      <c r="B386" s="104"/>
      <c r="C386" s="31"/>
      <c r="D386" s="30"/>
      <c r="E386" s="30"/>
    </row>
    <row r="387" spans="1:5" x14ac:dyDescent="0.25">
      <c r="A387" s="103"/>
      <c r="B387" s="104"/>
      <c r="C387" s="31"/>
      <c r="D387" s="30"/>
      <c r="E387" s="30"/>
    </row>
    <row r="388" spans="1:5" x14ac:dyDescent="0.25">
      <c r="A388" s="103"/>
      <c r="B388" s="104"/>
      <c r="C388" s="31"/>
      <c r="D388" s="30"/>
      <c r="E388" s="30"/>
    </row>
    <row r="389" spans="1:5" x14ac:dyDescent="0.25">
      <c r="A389" s="103"/>
      <c r="B389" s="104"/>
      <c r="C389" s="31"/>
      <c r="D389" s="30"/>
      <c r="E389" s="30"/>
    </row>
    <row r="390" spans="1:5" x14ac:dyDescent="0.25">
      <c r="A390" s="103"/>
      <c r="B390" s="104"/>
      <c r="C390" s="31"/>
      <c r="D390" s="30"/>
      <c r="E390" s="30"/>
    </row>
    <row r="391" spans="1:5" x14ac:dyDescent="0.25">
      <c r="A391" s="103"/>
      <c r="B391" s="104"/>
      <c r="C391" s="31"/>
      <c r="D391" s="30"/>
      <c r="E391" s="30"/>
    </row>
    <row r="392" spans="1:5" x14ac:dyDescent="0.25">
      <c r="A392" s="103"/>
      <c r="B392" s="104"/>
      <c r="C392" s="31"/>
      <c r="D392" s="30"/>
      <c r="E392" s="30"/>
    </row>
    <row r="393" spans="1:5" x14ac:dyDescent="0.25">
      <c r="A393" s="103"/>
      <c r="B393" s="104"/>
      <c r="C393" s="31"/>
      <c r="D393" s="30"/>
      <c r="E393" s="30"/>
    </row>
    <row r="394" spans="1:5" x14ac:dyDescent="0.25">
      <c r="A394" s="103"/>
      <c r="B394" s="104"/>
      <c r="C394" s="31"/>
      <c r="D394" s="30"/>
      <c r="E394" s="30"/>
    </row>
    <row r="395" spans="1:5" x14ac:dyDescent="0.25">
      <c r="A395" s="103"/>
      <c r="B395" s="104"/>
      <c r="C395" s="31"/>
      <c r="D395" s="30"/>
      <c r="E395" s="30"/>
    </row>
    <row r="396" spans="1:5" x14ac:dyDescent="0.25">
      <c r="A396" s="103"/>
      <c r="B396" s="104"/>
      <c r="C396" s="31"/>
      <c r="D396" s="30"/>
      <c r="E396" s="30"/>
    </row>
    <row r="397" spans="1:5" x14ac:dyDescent="0.25">
      <c r="A397" s="103"/>
      <c r="B397" s="104"/>
      <c r="C397" s="31"/>
      <c r="D397" s="30"/>
      <c r="E397" s="30"/>
    </row>
    <row r="398" spans="1:5" x14ac:dyDescent="0.25">
      <c r="A398" s="103"/>
      <c r="B398" s="104"/>
      <c r="C398" s="31"/>
      <c r="D398" s="30"/>
      <c r="E398" s="30"/>
    </row>
    <row r="399" spans="1:5" x14ac:dyDescent="0.25">
      <c r="A399" s="103"/>
      <c r="B399" s="104"/>
      <c r="C399" s="31"/>
      <c r="D399" s="30"/>
      <c r="E399" s="30"/>
    </row>
    <row r="400" spans="1:5" x14ac:dyDescent="0.25">
      <c r="A400" s="103"/>
      <c r="B400" s="104"/>
      <c r="C400" s="31"/>
      <c r="D400" s="30"/>
      <c r="E400" s="30"/>
    </row>
    <row r="401" spans="1:5" x14ac:dyDescent="0.25">
      <c r="A401" s="103"/>
      <c r="B401" s="104"/>
      <c r="C401" s="31"/>
      <c r="D401" s="30"/>
      <c r="E401" s="30"/>
    </row>
    <row r="402" spans="1:5" x14ac:dyDescent="0.25">
      <c r="A402" s="103"/>
      <c r="B402" s="104"/>
      <c r="C402" s="31"/>
      <c r="D402" s="30"/>
      <c r="E402" s="30"/>
    </row>
    <row r="403" spans="1:5" x14ac:dyDescent="0.25">
      <c r="A403" s="103"/>
      <c r="B403" s="104"/>
      <c r="C403" s="31"/>
      <c r="D403" s="30"/>
      <c r="E403" s="30"/>
    </row>
    <row r="404" spans="1:5" x14ac:dyDescent="0.25">
      <c r="A404" s="103"/>
      <c r="B404" s="104"/>
      <c r="C404" s="31"/>
      <c r="D404" s="30"/>
      <c r="E404" s="30"/>
    </row>
    <row r="405" spans="1:5" x14ac:dyDescent="0.25">
      <c r="A405" s="103"/>
      <c r="B405" s="104"/>
      <c r="C405" s="31"/>
      <c r="D405" s="30"/>
      <c r="E405" s="30"/>
    </row>
    <row r="406" spans="1:5" x14ac:dyDescent="0.25">
      <c r="A406" s="103"/>
      <c r="B406" s="104"/>
      <c r="C406" s="31"/>
      <c r="D406" s="30"/>
      <c r="E406" s="30"/>
    </row>
    <row r="407" spans="1:5" x14ac:dyDescent="0.25">
      <c r="A407" s="103"/>
      <c r="B407" s="104"/>
      <c r="C407" s="31"/>
      <c r="D407" s="30"/>
      <c r="E407" s="30"/>
    </row>
    <row r="408" spans="1:5" x14ac:dyDescent="0.25">
      <c r="A408" s="103"/>
      <c r="B408" s="104"/>
      <c r="C408" s="31"/>
      <c r="D408" s="30"/>
      <c r="E408" s="30"/>
    </row>
    <row r="409" spans="1:5" x14ac:dyDescent="0.25">
      <c r="A409" s="103"/>
      <c r="B409" s="104"/>
      <c r="C409" s="31"/>
      <c r="D409" s="30"/>
      <c r="E409" s="30"/>
    </row>
    <row r="410" spans="1:5" x14ac:dyDescent="0.25">
      <c r="A410" s="103"/>
      <c r="B410" s="104"/>
      <c r="C410" s="31"/>
      <c r="D410" s="30"/>
      <c r="E410" s="30"/>
    </row>
    <row r="411" spans="1:5" x14ac:dyDescent="0.25">
      <c r="A411" s="103"/>
      <c r="B411" s="104"/>
      <c r="C411" s="31"/>
      <c r="D411" s="30"/>
      <c r="E411" s="30"/>
    </row>
    <row r="412" spans="1:5" x14ac:dyDescent="0.25">
      <c r="A412" s="103"/>
      <c r="B412" s="104"/>
      <c r="C412" s="31"/>
      <c r="D412" s="30"/>
      <c r="E412" s="30"/>
    </row>
    <row r="413" spans="1:5" x14ac:dyDescent="0.25">
      <c r="A413" s="103"/>
      <c r="B413" s="104"/>
      <c r="C413" s="31"/>
      <c r="D413" s="30"/>
      <c r="E413" s="30"/>
    </row>
    <row r="414" spans="1:5" x14ac:dyDescent="0.25">
      <c r="A414" s="103"/>
      <c r="B414" s="104"/>
      <c r="C414" s="31"/>
      <c r="D414" s="30"/>
      <c r="E414" s="30"/>
    </row>
    <row r="415" spans="1:5" x14ac:dyDescent="0.25">
      <c r="A415" s="103"/>
      <c r="B415" s="104"/>
      <c r="C415" s="31"/>
      <c r="D415" s="30"/>
      <c r="E415" s="30"/>
    </row>
    <row r="416" spans="1:5" x14ac:dyDescent="0.25">
      <c r="A416" s="103"/>
      <c r="B416" s="104"/>
      <c r="C416" s="31"/>
      <c r="D416" s="30"/>
      <c r="E416" s="30"/>
    </row>
    <row r="417" spans="1:5" x14ac:dyDescent="0.25">
      <c r="A417" s="103"/>
      <c r="B417" s="104"/>
      <c r="C417" s="31"/>
      <c r="D417" s="30"/>
      <c r="E417" s="30"/>
    </row>
    <row r="418" spans="1:5" x14ac:dyDescent="0.25">
      <c r="A418" s="103"/>
      <c r="B418" s="104"/>
      <c r="C418" s="31"/>
      <c r="D418" s="30"/>
      <c r="E418" s="30"/>
    </row>
    <row r="419" spans="1:5" x14ac:dyDescent="0.25">
      <c r="A419" s="103"/>
      <c r="B419" s="104"/>
      <c r="C419" s="31"/>
      <c r="D419" s="30"/>
      <c r="E419" s="30"/>
    </row>
    <row r="420" spans="1:5" x14ac:dyDescent="0.25">
      <c r="A420" s="103"/>
      <c r="B420" s="104"/>
      <c r="C420" s="31"/>
      <c r="D420" s="30"/>
      <c r="E420" s="30"/>
    </row>
    <row r="421" spans="1:5" x14ac:dyDescent="0.25">
      <c r="A421" s="103"/>
      <c r="B421" s="104"/>
      <c r="C421" s="31"/>
      <c r="D421" s="30"/>
      <c r="E421" s="30"/>
    </row>
    <row r="422" spans="1:5" x14ac:dyDescent="0.25">
      <c r="A422" s="103"/>
      <c r="B422" s="104"/>
      <c r="C422" s="31"/>
      <c r="D422" s="30"/>
      <c r="E422" s="30"/>
    </row>
    <row r="423" spans="1:5" x14ac:dyDescent="0.25">
      <c r="A423" s="103"/>
      <c r="B423" s="104"/>
      <c r="C423" s="31"/>
      <c r="D423" s="30"/>
      <c r="E423" s="30"/>
    </row>
    <row r="424" spans="1:5" x14ac:dyDescent="0.25">
      <c r="A424" s="103"/>
      <c r="B424" s="104"/>
      <c r="C424" s="31"/>
      <c r="D424" s="30"/>
      <c r="E424" s="30"/>
    </row>
    <row r="425" spans="1:5" x14ac:dyDescent="0.25">
      <c r="A425" s="103"/>
      <c r="B425" s="104"/>
      <c r="C425" s="31"/>
      <c r="D425" s="30"/>
      <c r="E425" s="30"/>
    </row>
    <row r="426" spans="1:5" x14ac:dyDescent="0.25">
      <c r="A426" s="103"/>
      <c r="B426" s="104"/>
      <c r="C426" s="31"/>
      <c r="D426" s="30"/>
      <c r="E426" s="30"/>
    </row>
    <row r="427" spans="1:5" x14ac:dyDescent="0.25">
      <c r="A427" s="103"/>
      <c r="B427" s="104"/>
      <c r="C427" s="31"/>
      <c r="D427" s="30"/>
      <c r="E427" s="30"/>
    </row>
    <row r="428" spans="1:5" x14ac:dyDescent="0.25">
      <c r="A428" s="103"/>
      <c r="B428" s="104"/>
      <c r="C428" s="31"/>
      <c r="D428" s="30"/>
      <c r="E428" s="30"/>
    </row>
    <row r="429" spans="1:5" x14ac:dyDescent="0.25">
      <c r="A429" s="103"/>
      <c r="B429" s="104"/>
      <c r="C429" s="31"/>
      <c r="D429" s="30"/>
      <c r="E429" s="30"/>
    </row>
    <row r="430" spans="1:5" x14ac:dyDescent="0.25">
      <c r="A430" s="103"/>
      <c r="B430" s="104"/>
      <c r="C430" s="31"/>
      <c r="D430" s="30"/>
      <c r="E430" s="30"/>
    </row>
    <row r="431" spans="1:5" x14ac:dyDescent="0.25">
      <c r="A431" s="103"/>
      <c r="B431" s="104"/>
      <c r="C431" s="31"/>
      <c r="D431" s="30"/>
      <c r="E431" s="30"/>
    </row>
    <row r="432" spans="1:5" x14ac:dyDescent="0.25">
      <c r="A432" s="103"/>
      <c r="B432" s="104"/>
      <c r="C432" s="31"/>
      <c r="D432" s="30"/>
      <c r="E432" s="30"/>
    </row>
    <row r="433" spans="1:5" x14ac:dyDescent="0.25">
      <c r="A433" s="103"/>
      <c r="B433" s="104"/>
      <c r="C433" s="31"/>
      <c r="D433" s="30"/>
      <c r="E433" s="30"/>
    </row>
    <row r="434" spans="1:5" x14ac:dyDescent="0.25">
      <c r="A434" s="103"/>
      <c r="B434" s="104"/>
      <c r="C434" s="31"/>
      <c r="D434" s="30"/>
      <c r="E434" s="30"/>
    </row>
    <row r="435" spans="1:5" x14ac:dyDescent="0.25">
      <c r="A435" s="103"/>
      <c r="B435" s="104"/>
      <c r="C435" s="31"/>
      <c r="D435" s="30"/>
      <c r="E435" s="30"/>
    </row>
    <row r="436" spans="1:5" x14ac:dyDescent="0.25">
      <c r="A436" s="103"/>
      <c r="B436" s="104"/>
      <c r="C436" s="31"/>
      <c r="D436" s="30"/>
      <c r="E436" s="30"/>
    </row>
    <row r="437" spans="1:5" x14ac:dyDescent="0.25">
      <c r="A437" s="103"/>
      <c r="B437" s="104"/>
      <c r="C437" s="31"/>
      <c r="D437" s="30"/>
      <c r="E437" s="30"/>
    </row>
    <row r="438" spans="1:5" x14ac:dyDescent="0.25">
      <c r="A438" s="103"/>
      <c r="B438" s="104"/>
      <c r="C438" s="31"/>
      <c r="D438" s="30"/>
      <c r="E438" s="30"/>
    </row>
    <row r="439" spans="1:5" x14ac:dyDescent="0.25">
      <c r="A439" s="103"/>
      <c r="B439" s="104"/>
      <c r="C439" s="31"/>
      <c r="D439" s="30"/>
      <c r="E439" s="30"/>
    </row>
    <row r="440" spans="1:5" x14ac:dyDescent="0.25">
      <c r="A440" s="103"/>
      <c r="B440" s="104"/>
      <c r="C440" s="31"/>
      <c r="D440" s="30"/>
      <c r="E440" s="30"/>
    </row>
    <row r="441" spans="1:5" x14ac:dyDescent="0.25">
      <c r="A441" s="103"/>
      <c r="B441" s="104"/>
      <c r="C441" s="31"/>
      <c r="D441" s="30"/>
      <c r="E441" s="30"/>
    </row>
    <row r="442" spans="1:5" x14ac:dyDescent="0.25">
      <c r="A442" s="103"/>
      <c r="B442" s="104"/>
      <c r="C442" s="31"/>
      <c r="D442" s="30"/>
      <c r="E442" s="30"/>
    </row>
    <row r="443" spans="1:5" x14ac:dyDescent="0.25">
      <c r="A443" s="103"/>
      <c r="B443" s="104"/>
      <c r="C443" s="31"/>
      <c r="D443" s="30"/>
      <c r="E443" s="30"/>
    </row>
    <row r="444" spans="1:5" x14ac:dyDescent="0.25">
      <c r="A444" s="103"/>
      <c r="B444" s="104"/>
      <c r="C444" s="31"/>
      <c r="D444" s="30"/>
      <c r="E444" s="30"/>
    </row>
    <row r="445" spans="1:5" x14ac:dyDescent="0.25">
      <c r="A445" s="103"/>
      <c r="B445" s="104"/>
      <c r="C445" s="31"/>
      <c r="D445" s="30"/>
      <c r="E445" s="30"/>
    </row>
    <row r="446" spans="1:5" x14ac:dyDescent="0.25">
      <c r="A446" s="103"/>
      <c r="B446" s="104"/>
      <c r="C446" s="31"/>
      <c r="D446" s="30"/>
      <c r="E446" s="30"/>
    </row>
    <row r="447" spans="1:5" x14ac:dyDescent="0.25">
      <c r="A447" s="103"/>
      <c r="B447" s="104"/>
      <c r="C447" s="31"/>
      <c r="D447" s="30"/>
      <c r="E447" s="30"/>
    </row>
    <row r="448" spans="1:5" x14ac:dyDescent="0.25">
      <c r="A448" s="103"/>
      <c r="B448" s="104"/>
      <c r="C448" s="31"/>
      <c r="D448" s="30"/>
      <c r="E448" s="30"/>
    </row>
    <row r="449" spans="1:5" x14ac:dyDescent="0.25">
      <c r="A449" s="103"/>
      <c r="B449" s="104"/>
      <c r="C449" s="31"/>
      <c r="D449" s="30"/>
      <c r="E449" s="30"/>
    </row>
    <row r="450" spans="1:5" x14ac:dyDescent="0.25">
      <c r="A450" s="103"/>
      <c r="B450" s="104"/>
      <c r="C450" s="31"/>
      <c r="D450" s="30"/>
      <c r="E450" s="30"/>
    </row>
    <row r="451" spans="1:5" x14ac:dyDescent="0.25">
      <c r="A451" s="103"/>
      <c r="B451" s="104"/>
      <c r="C451" s="31"/>
      <c r="D451" s="30"/>
      <c r="E451" s="30"/>
    </row>
    <row r="452" spans="1:5" x14ac:dyDescent="0.25">
      <c r="A452" s="103"/>
      <c r="B452" s="104"/>
      <c r="C452" s="31"/>
      <c r="D452" s="30"/>
      <c r="E452" s="30"/>
    </row>
    <row r="453" spans="1:5" x14ac:dyDescent="0.25">
      <c r="A453" s="103"/>
      <c r="B453" s="104"/>
      <c r="C453" s="31"/>
      <c r="D453" s="30"/>
      <c r="E453" s="30"/>
    </row>
    <row r="454" spans="1:5" x14ac:dyDescent="0.25">
      <c r="A454" s="103"/>
      <c r="B454" s="104"/>
      <c r="C454" s="31"/>
      <c r="D454" s="30"/>
      <c r="E454" s="30"/>
    </row>
    <row r="455" spans="1:5" x14ac:dyDescent="0.25">
      <c r="A455" s="103"/>
      <c r="B455" s="104"/>
      <c r="C455" s="31"/>
      <c r="D455" s="30"/>
      <c r="E455" s="30"/>
    </row>
    <row r="456" spans="1:5" x14ac:dyDescent="0.25">
      <c r="A456" s="103"/>
      <c r="B456" s="104"/>
      <c r="C456" s="31"/>
      <c r="D456" s="30"/>
      <c r="E456" s="30"/>
    </row>
    <row r="457" spans="1:5" x14ac:dyDescent="0.25">
      <c r="A457" s="103"/>
      <c r="B457" s="104"/>
      <c r="C457" s="31"/>
      <c r="D457" s="30"/>
      <c r="E457" s="30"/>
    </row>
    <row r="458" spans="1:5" x14ac:dyDescent="0.25">
      <c r="A458" s="103"/>
      <c r="B458" s="104"/>
      <c r="C458" s="31"/>
      <c r="D458" s="30"/>
      <c r="E458" s="30"/>
    </row>
    <row r="459" spans="1:5" x14ac:dyDescent="0.25">
      <c r="A459" s="103"/>
      <c r="B459" s="104"/>
      <c r="C459" s="31"/>
      <c r="D459" s="30"/>
      <c r="E459" s="30"/>
    </row>
    <row r="460" spans="1:5" x14ac:dyDescent="0.25">
      <c r="A460" s="103"/>
      <c r="B460" s="104"/>
      <c r="C460" s="31"/>
      <c r="D460" s="30"/>
      <c r="E460" s="30"/>
    </row>
    <row r="461" spans="1:5" x14ac:dyDescent="0.25">
      <c r="A461" s="103"/>
      <c r="B461" s="104"/>
      <c r="C461" s="31"/>
      <c r="D461" s="30"/>
      <c r="E461" s="30"/>
    </row>
    <row r="462" spans="1:5" x14ac:dyDescent="0.25">
      <c r="A462" s="103"/>
      <c r="B462" s="104"/>
      <c r="C462" s="31"/>
      <c r="D462" s="30"/>
      <c r="E462" s="30"/>
    </row>
    <row r="463" spans="1:5" x14ac:dyDescent="0.25">
      <c r="A463" s="103"/>
      <c r="B463" s="104"/>
      <c r="C463" s="31"/>
      <c r="D463" s="30"/>
      <c r="E463" s="30"/>
    </row>
    <row r="464" spans="1:5" x14ac:dyDescent="0.25">
      <c r="A464" s="103"/>
      <c r="B464" s="104"/>
      <c r="C464" s="31"/>
      <c r="D464" s="30"/>
      <c r="E464" s="30"/>
    </row>
    <row r="465" spans="1:5" x14ac:dyDescent="0.25">
      <c r="A465" s="103"/>
      <c r="B465" s="104"/>
      <c r="C465" s="31"/>
      <c r="D465" s="30"/>
      <c r="E465" s="30"/>
    </row>
    <row r="466" spans="1:5" x14ac:dyDescent="0.25">
      <c r="A466" s="103"/>
      <c r="B466" s="104"/>
      <c r="C466" s="31"/>
      <c r="D466" s="30"/>
      <c r="E466" s="30"/>
    </row>
    <row r="467" spans="1:5" x14ac:dyDescent="0.25">
      <c r="A467" s="103"/>
      <c r="B467" s="104"/>
      <c r="C467" s="31"/>
      <c r="D467" s="30"/>
      <c r="E467" s="30"/>
    </row>
    <row r="468" spans="1:5" x14ac:dyDescent="0.25">
      <c r="A468" s="103"/>
      <c r="B468" s="104"/>
      <c r="C468" s="31"/>
      <c r="D468" s="30"/>
      <c r="E468" s="30"/>
    </row>
    <row r="469" spans="1:5" x14ac:dyDescent="0.25">
      <c r="A469" s="103"/>
      <c r="B469" s="104"/>
      <c r="C469" s="31"/>
      <c r="D469" s="30"/>
      <c r="E469" s="30"/>
    </row>
    <row r="470" spans="1:5" x14ac:dyDescent="0.25">
      <c r="A470" s="103"/>
      <c r="B470" s="104"/>
      <c r="C470" s="31"/>
      <c r="D470" s="30"/>
      <c r="E470" s="30"/>
    </row>
    <row r="471" spans="1:5" x14ac:dyDescent="0.25">
      <c r="A471" s="103"/>
      <c r="B471" s="104"/>
      <c r="C471" s="31"/>
      <c r="D471" s="30"/>
      <c r="E471" s="30"/>
    </row>
    <row r="472" spans="1:5" x14ac:dyDescent="0.25">
      <c r="A472" s="103"/>
      <c r="B472" s="104"/>
      <c r="C472" s="31"/>
      <c r="D472" s="30"/>
      <c r="E472" s="30"/>
    </row>
    <row r="473" spans="1:5" x14ac:dyDescent="0.25">
      <c r="A473" s="103"/>
      <c r="B473" s="104"/>
      <c r="C473" s="31"/>
      <c r="D473" s="30"/>
      <c r="E473" s="30"/>
    </row>
    <row r="474" spans="1:5" x14ac:dyDescent="0.25">
      <c r="A474" s="103"/>
      <c r="B474" s="104"/>
      <c r="C474" s="31"/>
      <c r="D474" s="30"/>
      <c r="E474" s="30"/>
    </row>
    <row r="475" spans="1:5" x14ac:dyDescent="0.25">
      <c r="A475" s="103"/>
      <c r="B475" s="104"/>
      <c r="C475" s="31"/>
      <c r="D475" s="30"/>
      <c r="E475" s="30"/>
    </row>
    <row r="476" spans="1:5" x14ac:dyDescent="0.25">
      <c r="A476" s="103"/>
      <c r="B476" s="104"/>
      <c r="C476" s="31"/>
      <c r="D476" s="30"/>
      <c r="E476" s="30"/>
    </row>
    <row r="477" spans="1:5" x14ac:dyDescent="0.25">
      <c r="A477" s="103"/>
      <c r="B477" s="104"/>
      <c r="C477" s="31"/>
      <c r="D477" s="30"/>
      <c r="E477" s="30"/>
    </row>
    <row r="478" spans="1:5" x14ac:dyDescent="0.25">
      <c r="A478" s="103"/>
      <c r="B478" s="104"/>
      <c r="C478" s="31"/>
      <c r="D478" s="30"/>
      <c r="E478" s="30"/>
    </row>
    <row r="479" spans="1:5" x14ac:dyDescent="0.25">
      <c r="A479" s="103"/>
      <c r="B479" s="104"/>
      <c r="C479" s="31"/>
      <c r="D479" s="30"/>
      <c r="E479" s="30"/>
    </row>
    <row r="480" spans="1:5" x14ac:dyDescent="0.25">
      <c r="A480" s="103"/>
      <c r="B480" s="104"/>
      <c r="C480" s="31"/>
      <c r="D480" s="30"/>
      <c r="E480" s="30"/>
    </row>
    <row r="481" spans="1:5" x14ac:dyDescent="0.25">
      <c r="A481" s="103"/>
      <c r="B481" s="104"/>
      <c r="C481" s="31"/>
      <c r="D481" s="30"/>
      <c r="E481" s="30"/>
    </row>
    <row r="482" spans="1:5" x14ac:dyDescent="0.25">
      <c r="A482" s="103"/>
      <c r="B482" s="104"/>
      <c r="C482" s="31"/>
      <c r="D482" s="30"/>
      <c r="E482" s="30"/>
    </row>
    <row r="483" spans="1:5" x14ac:dyDescent="0.25">
      <c r="A483" s="103"/>
      <c r="B483" s="104"/>
      <c r="C483" s="31"/>
      <c r="D483" s="30"/>
      <c r="E483" s="30"/>
    </row>
    <row r="484" spans="1:5" x14ac:dyDescent="0.25">
      <c r="A484" s="103"/>
      <c r="B484" s="104"/>
      <c r="C484" s="31"/>
      <c r="D484" s="30"/>
      <c r="E484" s="30"/>
    </row>
    <row r="485" spans="1:5" x14ac:dyDescent="0.25">
      <c r="A485" s="103"/>
      <c r="B485" s="104"/>
      <c r="C485" s="31"/>
      <c r="D485" s="30"/>
      <c r="E485" s="30"/>
    </row>
    <row r="486" spans="1:5" x14ac:dyDescent="0.25">
      <c r="A486" s="103"/>
      <c r="B486" s="104"/>
      <c r="C486" s="31"/>
      <c r="D486" s="30"/>
      <c r="E486" s="30"/>
    </row>
    <row r="487" spans="1:5" x14ac:dyDescent="0.25">
      <c r="A487" s="103"/>
      <c r="B487" s="104"/>
      <c r="C487" s="31"/>
      <c r="D487" s="30"/>
      <c r="E487" s="30"/>
    </row>
    <row r="488" spans="1:5" x14ac:dyDescent="0.25">
      <c r="A488" s="103"/>
      <c r="B488" s="104"/>
      <c r="C488" s="31"/>
      <c r="D488" s="30"/>
      <c r="E488" s="30"/>
    </row>
    <row r="489" spans="1:5" x14ac:dyDescent="0.25">
      <c r="A489" s="103"/>
      <c r="B489" s="104"/>
      <c r="C489" s="31"/>
      <c r="D489" s="30"/>
      <c r="E489" s="30"/>
    </row>
    <row r="490" spans="1:5" x14ac:dyDescent="0.25">
      <c r="A490" s="103"/>
      <c r="B490" s="104"/>
      <c r="C490" s="31"/>
      <c r="D490" s="30"/>
      <c r="E490" s="30"/>
    </row>
    <row r="491" spans="1:5" x14ac:dyDescent="0.25">
      <c r="A491" s="103"/>
      <c r="B491" s="104"/>
      <c r="C491" s="31"/>
      <c r="D491" s="30"/>
      <c r="E491" s="30"/>
    </row>
    <row r="492" spans="1:5" x14ac:dyDescent="0.25">
      <c r="A492" s="103"/>
      <c r="B492" s="104"/>
      <c r="C492" s="31"/>
      <c r="D492" s="30"/>
      <c r="E492" s="30"/>
    </row>
    <row r="493" spans="1:5" x14ac:dyDescent="0.25">
      <c r="A493" s="103"/>
      <c r="B493" s="104"/>
      <c r="C493" s="31"/>
      <c r="D493" s="30"/>
      <c r="E493" s="30"/>
    </row>
    <row r="494" spans="1:5" x14ac:dyDescent="0.25">
      <c r="A494" s="103"/>
      <c r="B494" s="104"/>
      <c r="C494" s="31"/>
      <c r="D494" s="30"/>
      <c r="E494" s="30"/>
    </row>
    <row r="495" spans="1:5" x14ac:dyDescent="0.25">
      <c r="A495" s="103"/>
      <c r="B495" s="104"/>
      <c r="C495" s="31"/>
      <c r="D495" s="30"/>
      <c r="E495" s="30"/>
    </row>
    <row r="496" spans="1:5" x14ac:dyDescent="0.25">
      <c r="A496" s="103"/>
      <c r="B496" s="104"/>
      <c r="C496" s="31"/>
      <c r="D496" s="30"/>
      <c r="E496" s="30"/>
    </row>
    <row r="497" spans="1:5" x14ac:dyDescent="0.25">
      <c r="A497" s="103"/>
      <c r="B497" s="104"/>
      <c r="C497" s="31"/>
      <c r="D497" s="30"/>
      <c r="E497" s="30"/>
    </row>
    <row r="498" spans="1:5" x14ac:dyDescent="0.25">
      <c r="A498" s="103"/>
      <c r="B498" s="104"/>
      <c r="C498" s="31"/>
      <c r="D498" s="30"/>
      <c r="E498" s="30"/>
    </row>
    <row r="499" spans="1:5" x14ac:dyDescent="0.25">
      <c r="A499" s="103"/>
      <c r="B499" s="104"/>
      <c r="C499" s="31"/>
      <c r="D499" s="30"/>
      <c r="E499" s="30"/>
    </row>
    <row r="500" spans="1:5" x14ac:dyDescent="0.25">
      <c r="A500" s="103"/>
      <c r="B500" s="104"/>
      <c r="C500" s="31"/>
      <c r="D500" s="30"/>
      <c r="E500" s="30"/>
    </row>
    <row r="501" spans="1:5" x14ac:dyDescent="0.25">
      <c r="A501" s="103"/>
      <c r="B501" s="104"/>
      <c r="C501" s="31"/>
      <c r="D501" s="30"/>
      <c r="E501" s="30"/>
    </row>
    <row r="502" spans="1:5" x14ac:dyDescent="0.25">
      <c r="A502" s="103"/>
      <c r="B502" s="104"/>
      <c r="C502" s="31"/>
      <c r="D502" s="30"/>
      <c r="E502" s="30"/>
    </row>
    <row r="503" spans="1:5" x14ac:dyDescent="0.25">
      <c r="A503" s="103"/>
      <c r="B503" s="104"/>
      <c r="C503" s="31"/>
      <c r="D503" s="30"/>
      <c r="E503" s="30"/>
    </row>
    <row r="504" spans="1:5" x14ac:dyDescent="0.25">
      <c r="A504" s="103"/>
      <c r="B504" s="104"/>
      <c r="C504" s="31"/>
      <c r="D504" s="30"/>
      <c r="E504" s="30"/>
    </row>
    <row r="505" spans="1:5" x14ac:dyDescent="0.25">
      <c r="A505" s="103"/>
      <c r="B505" s="104"/>
      <c r="C505" s="31"/>
      <c r="D505" s="30"/>
      <c r="E505" s="30"/>
    </row>
    <row r="506" spans="1:5" x14ac:dyDescent="0.25">
      <c r="A506" s="103"/>
      <c r="B506" s="104"/>
      <c r="C506" s="31"/>
      <c r="D506" s="30"/>
      <c r="E506" s="30"/>
    </row>
    <row r="507" spans="1:5" x14ac:dyDescent="0.25">
      <c r="A507" s="103"/>
      <c r="B507" s="104"/>
      <c r="C507" s="31"/>
      <c r="D507" s="30"/>
      <c r="E507" s="30"/>
    </row>
    <row r="508" spans="1:5" x14ac:dyDescent="0.25">
      <c r="A508" s="103"/>
      <c r="B508" s="104"/>
      <c r="C508" s="31"/>
      <c r="D508" s="30"/>
      <c r="E508" s="30"/>
    </row>
    <row r="509" spans="1:5" x14ac:dyDescent="0.25">
      <c r="A509" s="103"/>
      <c r="B509" s="104"/>
      <c r="C509" s="31"/>
      <c r="D509" s="30"/>
      <c r="E509" s="30"/>
    </row>
    <row r="510" spans="1:5" x14ac:dyDescent="0.25">
      <c r="A510" s="103"/>
      <c r="B510" s="104"/>
      <c r="C510" s="31"/>
      <c r="D510" s="30"/>
      <c r="E510" s="30"/>
    </row>
    <row r="511" spans="1:5" x14ac:dyDescent="0.25">
      <c r="A511" s="103"/>
      <c r="B511" s="104"/>
      <c r="C511" s="31"/>
      <c r="D511" s="30"/>
      <c r="E511" s="30"/>
    </row>
    <row r="512" spans="1:5" x14ac:dyDescent="0.25">
      <c r="A512" s="103"/>
      <c r="B512" s="104"/>
      <c r="C512" s="31"/>
      <c r="D512" s="30"/>
      <c r="E512" s="30"/>
    </row>
    <row r="513" spans="1:5" x14ac:dyDescent="0.25">
      <c r="A513" s="103"/>
      <c r="B513" s="104"/>
      <c r="C513" s="31"/>
      <c r="D513" s="30"/>
      <c r="E513" s="30"/>
    </row>
    <row r="514" spans="1:5" x14ac:dyDescent="0.25">
      <c r="A514" s="103"/>
      <c r="B514" s="104"/>
      <c r="C514" s="31"/>
      <c r="D514" s="30"/>
      <c r="E514" s="30"/>
    </row>
    <row r="515" spans="1:5" x14ac:dyDescent="0.25">
      <c r="A515" s="103"/>
      <c r="B515" s="104"/>
      <c r="C515" s="31"/>
      <c r="D515" s="30"/>
      <c r="E515" s="30"/>
    </row>
    <row r="516" spans="1:5" x14ac:dyDescent="0.25">
      <c r="A516" s="103"/>
      <c r="B516" s="104"/>
      <c r="C516" s="31"/>
      <c r="D516" s="30"/>
      <c r="E516" s="30"/>
    </row>
    <row r="517" spans="1:5" x14ac:dyDescent="0.25">
      <c r="A517" s="103"/>
      <c r="B517" s="104"/>
      <c r="C517" s="31"/>
      <c r="D517" s="30"/>
      <c r="E517" s="30"/>
    </row>
    <row r="518" spans="1:5" x14ac:dyDescent="0.25">
      <c r="A518" s="103"/>
      <c r="B518" s="104"/>
      <c r="C518" s="31"/>
      <c r="D518" s="30"/>
      <c r="E518" s="30"/>
    </row>
    <row r="519" spans="1:5" x14ac:dyDescent="0.25">
      <c r="A519" s="103"/>
      <c r="B519" s="104"/>
      <c r="C519" s="31"/>
      <c r="D519" s="30"/>
      <c r="E519" s="30"/>
    </row>
    <row r="520" spans="1:5" x14ac:dyDescent="0.25">
      <c r="A520" s="103"/>
      <c r="B520" s="104"/>
      <c r="C520" s="31"/>
      <c r="D520" s="30"/>
      <c r="E520" s="30"/>
    </row>
    <row r="521" spans="1:5" x14ac:dyDescent="0.25">
      <c r="A521" s="103"/>
      <c r="B521" s="104"/>
      <c r="C521" s="31"/>
      <c r="D521" s="30"/>
      <c r="E521" s="30"/>
    </row>
    <row r="522" spans="1:5" x14ac:dyDescent="0.25">
      <c r="A522" s="103"/>
      <c r="B522" s="104"/>
      <c r="C522" s="31"/>
      <c r="D522" s="30"/>
      <c r="E522" s="30"/>
    </row>
    <row r="523" spans="1:5" x14ac:dyDescent="0.25">
      <c r="A523" s="103"/>
      <c r="B523" s="104"/>
      <c r="C523" s="31"/>
      <c r="D523" s="30"/>
      <c r="E523" s="30"/>
    </row>
    <row r="524" spans="1:5" x14ac:dyDescent="0.25">
      <c r="A524" s="103"/>
      <c r="B524" s="104"/>
      <c r="C524" s="31"/>
      <c r="D524" s="30"/>
      <c r="E524" s="30"/>
    </row>
    <row r="525" spans="1:5" x14ac:dyDescent="0.25">
      <c r="A525" s="103"/>
      <c r="B525" s="104"/>
      <c r="C525" s="31"/>
      <c r="D525" s="30"/>
      <c r="E525" s="30"/>
    </row>
    <row r="526" spans="1:5" x14ac:dyDescent="0.25">
      <c r="A526" s="103"/>
      <c r="B526" s="104"/>
      <c r="C526" s="31"/>
      <c r="D526" s="30"/>
      <c r="E526" s="30"/>
    </row>
    <row r="527" spans="1:5" x14ac:dyDescent="0.25">
      <c r="A527" s="103"/>
      <c r="B527" s="104"/>
      <c r="C527" s="31"/>
      <c r="D527" s="30"/>
      <c r="E527" s="30"/>
    </row>
    <row r="528" spans="1:5" x14ac:dyDescent="0.25">
      <c r="A528" s="103"/>
      <c r="B528" s="104"/>
      <c r="C528" s="31"/>
      <c r="D528" s="30"/>
      <c r="E528" s="30"/>
    </row>
    <row r="529" spans="1:5" x14ac:dyDescent="0.25">
      <c r="A529" s="103"/>
      <c r="B529" s="104"/>
      <c r="C529" s="31"/>
      <c r="D529" s="30"/>
      <c r="E529" s="30"/>
    </row>
    <row r="530" spans="1:5" x14ac:dyDescent="0.25">
      <c r="A530" s="103"/>
      <c r="B530" s="104"/>
      <c r="C530" s="31"/>
      <c r="D530" s="30"/>
      <c r="E530" s="30"/>
    </row>
    <row r="531" spans="1:5" x14ac:dyDescent="0.25">
      <c r="A531" s="103"/>
      <c r="B531" s="104"/>
      <c r="C531" s="31"/>
      <c r="D531" s="30"/>
      <c r="E531" s="30"/>
    </row>
    <row r="532" spans="1:5" x14ac:dyDescent="0.25">
      <c r="A532" s="103"/>
      <c r="B532" s="104"/>
      <c r="C532" s="31"/>
      <c r="D532" s="30"/>
      <c r="E532" s="30"/>
    </row>
    <row r="533" spans="1:5" x14ac:dyDescent="0.25">
      <c r="A533" s="103"/>
      <c r="B533" s="104"/>
      <c r="C533" s="31"/>
      <c r="D533" s="30"/>
      <c r="E533" s="30"/>
    </row>
    <row r="534" spans="1:5" x14ac:dyDescent="0.25">
      <c r="A534" s="103"/>
      <c r="B534" s="104"/>
      <c r="C534" s="31"/>
      <c r="D534" s="30"/>
      <c r="E534" s="30"/>
    </row>
    <row r="535" spans="1:5" x14ac:dyDescent="0.25">
      <c r="A535" s="103"/>
      <c r="B535" s="104"/>
      <c r="C535" s="31"/>
      <c r="D535" s="30"/>
      <c r="E535" s="30"/>
    </row>
    <row r="536" spans="1:5" x14ac:dyDescent="0.25">
      <c r="A536" s="103"/>
      <c r="B536" s="104"/>
      <c r="C536" s="31"/>
      <c r="D536" s="30"/>
      <c r="E536" s="30"/>
    </row>
    <row r="537" spans="1:5" x14ac:dyDescent="0.25">
      <c r="A537" s="103"/>
      <c r="B537" s="104"/>
      <c r="C537" s="31"/>
      <c r="D537" s="30"/>
      <c r="E537" s="30"/>
    </row>
    <row r="538" spans="1:5" x14ac:dyDescent="0.25">
      <c r="A538" s="103"/>
      <c r="B538" s="104"/>
      <c r="C538" s="31"/>
      <c r="D538" s="30"/>
      <c r="E538" s="30"/>
    </row>
    <row r="539" spans="1:5" x14ac:dyDescent="0.25">
      <c r="A539" s="103"/>
      <c r="B539" s="104"/>
      <c r="C539" s="31"/>
      <c r="D539" s="30"/>
      <c r="E539" s="30"/>
    </row>
    <row r="540" spans="1:5" x14ac:dyDescent="0.25">
      <c r="A540" s="103"/>
      <c r="B540" s="104"/>
      <c r="C540" s="31"/>
      <c r="D540" s="30"/>
      <c r="E540" s="30"/>
    </row>
    <row r="541" spans="1:5" x14ac:dyDescent="0.25">
      <c r="A541" s="103"/>
      <c r="B541" s="104"/>
      <c r="C541" s="31"/>
      <c r="D541" s="30"/>
      <c r="E541" s="30"/>
    </row>
    <row r="542" spans="1:5" x14ac:dyDescent="0.25">
      <c r="A542" s="103"/>
      <c r="B542" s="104"/>
      <c r="C542" s="31"/>
      <c r="D542" s="30"/>
      <c r="E542" s="30"/>
    </row>
    <row r="543" spans="1:5" x14ac:dyDescent="0.25">
      <c r="A543" s="103"/>
      <c r="B543" s="104"/>
      <c r="C543" s="31"/>
      <c r="D543" s="30"/>
      <c r="E543" s="30"/>
    </row>
    <row r="544" spans="1:5" x14ac:dyDescent="0.25">
      <c r="A544" s="103"/>
      <c r="B544" s="104"/>
      <c r="C544" s="31"/>
      <c r="D544" s="30"/>
      <c r="E544" s="30"/>
    </row>
    <row r="545" spans="1:5" x14ac:dyDescent="0.25">
      <c r="A545" s="103"/>
      <c r="B545" s="104"/>
      <c r="C545" s="31"/>
      <c r="D545" s="30"/>
      <c r="E545" s="30"/>
    </row>
    <row r="546" spans="1:5" x14ac:dyDescent="0.25">
      <c r="A546" s="103"/>
      <c r="B546" s="104"/>
      <c r="C546" s="31"/>
      <c r="D546" s="30"/>
      <c r="E546" s="30"/>
    </row>
    <row r="547" spans="1:5" x14ac:dyDescent="0.25">
      <c r="A547" s="103"/>
      <c r="B547" s="104"/>
      <c r="C547" s="31"/>
      <c r="D547" s="30"/>
      <c r="E547" s="30"/>
    </row>
    <row r="548" spans="1:5" x14ac:dyDescent="0.25">
      <c r="A548" s="103"/>
      <c r="B548" s="104"/>
      <c r="C548" s="31"/>
      <c r="D548" s="30"/>
      <c r="E548" s="30"/>
    </row>
    <row r="549" spans="1:5" x14ac:dyDescent="0.25">
      <c r="A549" s="103"/>
      <c r="B549" s="104"/>
      <c r="C549" s="31"/>
      <c r="D549" s="30"/>
      <c r="E549" s="30"/>
    </row>
    <row r="550" spans="1:5" x14ac:dyDescent="0.25">
      <c r="A550" s="103"/>
      <c r="B550" s="104"/>
      <c r="C550" s="31"/>
      <c r="D550" s="30"/>
      <c r="E550" s="30"/>
    </row>
    <row r="551" spans="1:5" x14ac:dyDescent="0.25">
      <c r="A551" s="103"/>
      <c r="B551" s="104"/>
      <c r="C551" s="31"/>
      <c r="D551" s="30"/>
      <c r="E551" s="30"/>
    </row>
    <row r="552" spans="1:5" x14ac:dyDescent="0.25">
      <c r="A552" s="103"/>
      <c r="B552" s="104"/>
      <c r="C552" s="31"/>
      <c r="D552" s="30"/>
      <c r="E552" s="30"/>
    </row>
    <row r="553" spans="1:5" x14ac:dyDescent="0.25">
      <c r="A553" s="103"/>
      <c r="B553" s="104"/>
      <c r="C553" s="31"/>
      <c r="D553" s="30"/>
      <c r="E553" s="30"/>
    </row>
    <row r="554" spans="1:5" x14ac:dyDescent="0.25">
      <c r="A554" s="103"/>
      <c r="B554" s="104"/>
      <c r="C554" s="31"/>
      <c r="D554" s="30"/>
      <c r="E554" s="30"/>
    </row>
    <row r="555" spans="1:5" x14ac:dyDescent="0.25">
      <c r="A555" s="103"/>
      <c r="B555" s="104"/>
      <c r="C555" s="31"/>
      <c r="D555" s="30"/>
      <c r="E555" s="30"/>
    </row>
    <row r="556" spans="1:5" x14ac:dyDescent="0.25">
      <c r="A556" s="103"/>
      <c r="B556" s="104"/>
      <c r="C556" s="31"/>
      <c r="D556" s="30"/>
      <c r="E556" s="30"/>
    </row>
    <row r="557" spans="1:5" x14ac:dyDescent="0.25">
      <c r="A557" s="103"/>
      <c r="B557" s="104"/>
      <c r="C557" s="31"/>
      <c r="D557" s="30"/>
      <c r="E557" s="30"/>
    </row>
    <row r="558" spans="1:5" x14ac:dyDescent="0.25">
      <c r="A558" s="103"/>
      <c r="B558" s="104"/>
      <c r="C558" s="31"/>
      <c r="D558" s="30"/>
      <c r="E558" s="30"/>
    </row>
    <row r="559" spans="1:5" x14ac:dyDescent="0.25">
      <c r="A559" s="103"/>
      <c r="B559" s="104"/>
      <c r="C559" s="31"/>
      <c r="D559" s="30"/>
      <c r="E559" s="30"/>
    </row>
    <row r="560" spans="1:5" x14ac:dyDescent="0.25">
      <c r="A560" s="103"/>
      <c r="B560" s="104"/>
      <c r="C560" s="31"/>
      <c r="D560" s="30"/>
      <c r="E560" s="30"/>
    </row>
    <row r="561" spans="1:5" x14ac:dyDescent="0.25">
      <c r="A561" s="103"/>
      <c r="B561" s="104"/>
      <c r="C561" s="31"/>
      <c r="D561" s="30"/>
      <c r="E561" s="30"/>
    </row>
    <row r="562" spans="1:5" x14ac:dyDescent="0.25">
      <c r="A562" s="103"/>
      <c r="B562" s="104"/>
      <c r="C562" s="31"/>
      <c r="D562" s="30"/>
      <c r="E562" s="30"/>
    </row>
    <row r="563" spans="1:5" x14ac:dyDescent="0.25">
      <c r="A563" s="103"/>
      <c r="B563" s="104"/>
      <c r="C563" s="31"/>
      <c r="D563" s="30"/>
      <c r="E563" s="30"/>
    </row>
    <row r="564" spans="1:5" x14ac:dyDescent="0.25">
      <c r="A564" s="103"/>
      <c r="B564" s="104"/>
      <c r="C564" s="31"/>
      <c r="D564" s="30"/>
      <c r="E564" s="30"/>
    </row>
    <row r="565" spans="1:5" x14ac:dyDescent="0.25">
      <c r="A565" s="103"/>
      <c r="B565" s="104"/>
      <c r="C565" s="31"/>
      <c r="D565" s="30"/>
      <c r="E565" s="30"/>
    </row>
    <row r="566" spans="1:5" x14ac:dyDescent="0.25">
      <c r="A566" s="103"/>
      <c r="B566" s="104"/>
      <c r="C566" s="31"/>
      <c r="D566" s="30"/>
      <c r="E566" s="30"/>
    </row>
    <row r="567" spans="1:5" x14ac:dyDescent="0.25">
      <c r="A567" s="103"/>
      <c r="B567" s="104"/>
      <c r="C567" s="31"/>
      <c r="D567" s="30"/>
      <c r="E567" s="30"/>
    </row>
    <row r="568" spans="1:5" x14ac:dyDescent="0.25">
      <c r="A568" s="103"/>
      <c r="B568" s="104"/>
      <c r="C568" s="31"/>
      <c r="D568" s="30"/>
      <c r="E568" s="30"/>
    </row>
    <row r="569" spans="1:5" x14ac:dyDescent="0.25">
      <c r="A569" s="103"/>
      <c r="B569" s="104"/>
      <c r="C569" s="31"/>
      <c r="D569" s="30"/>
      <c r="E569" s="30"/>
    </row>
    <row r="570" spans="1:5" x14ac:dyDescent="0.25">
      <c r="A570" s="103"/>
      <c r="B570" s="104"/>
      <c r="C570" s="31"/>
      <c r="D570" s="30"/>
      <c r="E570" s="30"/>
    </row>
    <row r="571" spans="1:5" x14ac:dyDescent="0.25">
      <c r="A571" s="103"/>
      <c r="B571" s="104"/>
      <c r="C571" s="31"/>
      <c r="D571" s="30"/>
      <c r="E571" s="30"/>
    </row>
    <row r="572" spans="1:5" x14ac:dyDescent="0.25">
      <c r="A572" s="103"/>
      <c r="B572" s="104"/>
      <c r="C572" s="31"/>
      <c r="D572" s="30"/>
      <c r="E572" s="30"/>
    </row>
    <row r="573" spans="1:5" x14ac:dyDescent="0.25">
      <c r="A573" s="103"/>
      <c r="B573" s="104"/>
      <c r="C573" s="31"/>
      <c r="D573" s="30"/>
      <c r="E573" s="30"/>
    </row>
    <row r="574" spans="1:5" x14ac:dyDescent="0.25">
      <c r="A574" s="103"/>
      <c r="B574" s="104"/>
      <c r="C574" s="31"/>
      <c r="D574" s="30"/>
      <c r="E574" s="30"/>
    </row>
    <row r="575" spans="1:5" x14ac:dyDescent="0.25">
      <c r="A575" s="103"/>
      <c r="B575" s="104"/>
      <c r="C575" s="31"/>
      <c r="D575" s="30"/>
      <c r="E575" s="30"/>
    </row>
    <row r="576" spans="1:5" x14ac:dyDescent="0.25">
      <c r="A576" s="103"/>
      <c r="B576" s="104"/>
      <c r="C576" s="31"/>
      <c r="D576" s="30"/>
      <c r="E576" s="30"/>
    </row>
    <row r="577" spans="1:5" x14ac:dyDescent="0.25">
      <c r="A577" s="103"/>
      <c r="B577" s="104"/>
      <c r="C577" s="31"/>
      <c r="D577" s="30"/>
      <c r="E577" s="30"/>
    </row>
    <row r="578" spans="1:5" x14ac:dyDescent="0.25">
      <c r="A578" s="103"/>
      <c r="B578" s="104"/>
      <c r="C578" s="31"/>
      <c r="D578" s="30"/>
      <c r="E578" s="30"/>
    </row>
    <row r="579" spans="1:5" x14ac:dyDescent="0.25">
      <c r="A579" s="103"/>
      <c r="B579" s="104"/>
      <c r="C579" s="31"/>
      <c r="D579" s="30"/>
      <c r="E579" s="30"/>
    </row>
    <row r="580" spans="1:5" x14ac:dyDescent="0.25">
      <c r="A580" s="103"/>
      <c r="B580" s="104"/>
      <c r="C580" s="31"/>
      <c r="D580" s="30"/>
      <c r="E580" s="30"/>
    </row>
    <row r="581" spans="1:5" x14ac:dyDescent="0.25">
      <c r="A581" s="103"/>
      <c r="B581" s="104"/>
      <c r="C581" s="31"/>
      <c r="D581" s="30"/>
      <c r="E581" s="30"/>
    </row>
    <row r="582" spans="1:5" x14ac:dyDescent="0.25">
      <c r="A582" s="103"/>
      <c r="B582" s="104"/>
      <c r="C582" s="31"/>
      <c r="D582" s="30"/>
      <c r="E582" s="30"/>
    </row>
    <row r="583" spans="1:5" x14ac:dyDescent="0.25">
      <c r="A583" s="103"/>
      <c r="B583" s="104"/>
      <c r="C583" s="31"/>
      <c r="D583" s="30"/>
      <c r="E583" s="30"/>
    </row>
    <row r="584" spans="1:5" x14ac:dyDescent="0.25">
      <c r="A584" s="103"/>
      <c r="B584" s="104"/>
      <c r="C584" s="31"/>
      <c r="D584" s="30"/>
      <c r="E584" s="30"/>
    </row>
    <row r="585" spans="1:5" x14ac:dyDescent="0.25">
      <c r="A585" s="103"/>
      <c r="B585" s="104"/>
      <c r="C585" s="31"/>
      <c r="D585" s="30"/>
      <c r="E585" s="30"/>
    </row>
    <row r="586" spans="1:5" x14ac:dyDescent="0.25">
      <c r="A586" s="103"/>
      <c r="B586" s="104"/>
      <c r="C586" s="31"/>
      <c r="D586" s="30"/>
      <c r="E586" s="30"/>
    </row>
    <row r="587" spans="1:5" x14ac:dyDescent="0.25">
      <c r="A587" s="103"/>
      <c r="B587" s="104"/>
      <c r="C587" s="31"/>
      <c r="D587" s="30"/>
      <c r="E587" s="30"/>
    </row>
    <row r="588" spans="1:5" x14ac:dyDescent="0.25">
      <c r="A588" s="103"/>
      <c r="B588" s="104"/>
      <c r="C588" s="31"/>
      <c r="D588" s="30"/>
      <c r="E588" s="30"/>
    </row>
    <row r="589" spans="1:5" x14ac:dyDescent="0.25">
      <c r="A589" s="103"/>
      <c r="B589" s="104"/>
      <c r="C589" s="31"/>
      <c r="D589" s="30"/>
      <c r="E589" s="30"/>
    </row>
    <row r="590" spans="1:5" x14ac:dyDescent="0.25">
      <c r="A590" s="103"/>
      <c r="B590" s="104"/>
      <c r="C590" s="31"/>
      <c r="D590" s="30"/>
      <c r="E590" s="30"/>
    </row>
    <row r="591" spans="1:5" x14ac:dyDescent="0.25">
      <c r="A591" s="103"/>
      <c r="B591" s="104"/>
      <c r="C591" s="31"/>
      <c r="D591" s="30"/>
      <c r="E591" s="30"/>
    </row>
    <row r="592" spans="1:5" x14ac:dyDescent="0.25">
      <c r="A592" s="103"/>
      <c r="B592" s="104"/>
      <c r="C592" s="31"/>
      <c r="D592" s="30"/>
      <c r="E592" s="30"/>
    </row>
    <row r="593" spans="1:5" x14ac:dyDescent="0.25">
      <c r="A593" s="103"/>
      <c r="B593" s="104"/>
      <c r="C593" s="31"/>
      <c r="D593" s="30"/>
      <c r="E593" s="30"/>
    </row>
    <row r="594" spans="1:5" x14ac:dyDescent="0.25">
      <c r="A594" s="103"/>
      <c r="B594" s="104"/>
      <c r="C594" s="31"/>
      <c r="D594" s="30"/>
      <c r="E594" s="30"/>
    </row>
    <row r="595" spans="1:5" x14ac:dyDescent="0.25">
      <c r="A595" s="103"/>
      <c r="B595" s="104"/>
      <c r="C595" s="31"/>
      <c r="D595" s="30"/>
      <c r="E595" s="30"/>
    </row>
    <row r="596" spans="1:5" x14ac:dyDescent="0.25">
      <c r="A596" s="103"/>
      <c r="B596" s="104"/>
      <c r="C596" s="31"/>
      <c r="D596" s="30"/>
      <c r="E596" s="30"/>
    </row>
    <row r="597" spans="1:5" x14ac:dyDescent="0.25">
      <c r="A597" s="103"/>
      <c r="B597" s="104"/>
      <c r="C597" s="31"/>
      <c r="D597" s="30"/>
      <c r="E597" s="30"/>
    </row>
    <row r="598" spans="1:5" x14ac:dyDescent="0.25">
      <c r="A598" s="103"/>
      <c r="B598" s="104"/>
      <c r="C598" s="31"/>
      <c r="D598" s="30"/>
      <c r="E598" s="30"/>
    </row>
    <row r="599" spans="1:5" x14ac:dyDescent="0.25">
      <c r="A599" s="103"/>
      <c r="B599" s="104"/>
      <c r="C599" s="31"/>
      <c r="D599" s="30"/>
      <c r="E599" s="30"/>
    </row>
    <row r="600" spans="1:5" x14ac:dyDescent="0.25">
      <c r="A600" s="103"/>
      <c r="B600" s="104"/>
      <c r="C600" s="31"/>
      <c r="D600" s="30"/>
      <c r="E600" s="30"/>
    </row>
    <row r="601" spans="1:5" x14ac:dyDescent="0.25">
      <c r="A601" s="103"/>
      <c r="B601" s="104"/>
      <c r="C601" s="31"/>
      <c r="D601" s="30"/>
      <c r="E601" s="30"/>
    </row>
    <row r="602" spans="1:5" x14ac:dyDescent="0.25">
      <c r="A602" s="103"/>
      <c r="B602" s="104"/>
      <c r="C602" s="31"/>
      <c r="D602" s="30"/>
      <c r="E602" s="30"/>
    </row>
    <row r="603" spans="1:5" x14ac:dyDescent="0.25">
      <c r="A603" s="103"/>
      <c r="B603" s="104"/>
      <c r="C603" s="31"/>
      <c r="D603" s="30"/>
      <c r="E603" s="30"/>
    </row>
    <row r="604" spans="1:5" x14ac:dyDescent="0.25">
      <c r="A604" s="103"/>
      <c r="B604" s="104"/>
      <c r="C604" s="31"/>
      <c r="D604" s="30"/>
      <c r="E604" s="30"/>
    </row>
    <row r="605" spans="1:5" x14ac:dyDescent="0.25">
      <c r="A605" s="103"/>
      <c r="B605" s="104"/>
      <c r="C605" s="31"/>
      <c r="D605" s="30"/>
      <c r="E605" s="30"/>
    </row>
    <row r="606" spans="1:5" x14ac:dyDescent="0.25">
      <c r="A606" s="103"/>
      <c r="B606" s="104"/>
      <c r="C606" s="31"/>
      <c r="D606" s="30"/>
      <c r="E606" s="30"/>
    </row>
    <row r="607" spans="1:5" x14ac:dyDescent="0.25">
      <c r="A607" s="103"/>
      <c r="B607" s="104"/>
      <c r="C607" s="31"/>
      <c r="D607" s="30"/>
      <c r="E607" s="30"/>
    </row>
    <row r="608" spans="1:5" x14ac:dyDescent="0.25">
      <c r="A608" s="103"/>
      <c r="B608" s="104"/>
      <c r="C608" s="31"/>
      <c r="D608" s="30"/>
      <c r="E608" s="30"/>
    </row>
    <row r="609" spans="1:5" x14ac:dyDescent="0.25">
      <c r="A609" s="103"/>
      <c r="B609" s="104"/>
      <c r="C609" s="31"/>
      <c r="D609" s="30"/>
      <c r="E609" s="30"/>
    </row>
    <row r="610" spans="1:5" x14ac:dyDescent="0.25">
      <c r="A610" s="103"/>
      <c r="B610" s="104"/>
      <c r="C610" s="31"/>
      <c r="D610" s="30"/>
      <c r="E610" s="30"/>
    </row>
    <row r="611" spans="1:5" x14ac:dyDescent="0.25">
      <c r="A611" s="103"/>
      <c r="B611" s="104"/>
      <c r="C611" s="31"/>
      <c r="D611" s="30"/>
      <c r="E611" s="30"/>
    </row>
    <row r="612" spans="1:5" x14ac:dyDescent="0.25">
      <c r="A612" s="103"/>
      <c r="B612" s="104"/>
      <c r="C612" s="31"/>
      <c r="D612" s="30"/>
      <c r="E612" s="30"/>
    </row>
    <row r="613" spans="1:5" x14ac:dyDescent="0.25">
      <c r="A613" s="103"/>
      <c r="B613" s="104"/>
      <c r="C613" s="31"/>
      <c r="D613" s="30"/>
      <c r="E613" s="30"/>
    </row>
    <row r="614" spans="1:5" x14ac:dyDescent="0.25">
      <c r="A614" s="103"/>
      <c r="B614" s="104"/>
      <c r="C614" s="31"/>
      <c r="D614" s="30"/>
      <c r="E614" s="30"/>
    </row>
    <row r="615" spans="1:5" x14ac:dyDescent="0.25">
      <c r="A615" s="103"/>
      <c r="B615" s="104"/>
      <c r="C615" s="31"/>
      <c r="D615" s="30"/>
      <c r="E615" s="30"/>
    </row>
    <row r="616" spans="1:5" x14ac:dyDescent="0.25">
      <c r="A616" s="103"/>
      <c r="B616" s="104"/>
      <c r="C616" s="31"/>
      <c r="D616" s="30"/>
      <c r="E616" s="30"/>
    </row>
    <row r="617" spans="1:5" x14ac:dyDescent="0.25">
      <c r="A617" s="103"/>
      <c r="B617" s="104"/>
      <c r="C617" s="31"/>
      <c r="D617" s="30"/>
      <c r="E617" s="30"/>
    </row>
    <row r="618" spans="1:5" x14ac:dyDescent="0.25">
      <c r="A618" s="103"/>
      <c r="B618" s="104"/>
      <c r="C618" s="31"/>
      <c r="D618" s="30"/>
      <c r="E618" s="30"/>
    </row>
    <row r="619" spans="1:5" x14ac:dyDescent="0.25">
      <c r="A619" s="103"/>
      <c r="B619" s="104"/>
      <c r="C619" s="31"/>
      <c r="D619" s="30"/>
      <c r="E619" s="30"/>
    </row>
    <row r="620" spans="1:5" x14ac:dyDescent="0.25">
      <c r="A620" s="103"/>
      <c r="B620" s="104"/>
      <c r="C620" s="31"/>
      <c r="D620" s="30"/>
      <c r="E620" s="30"/>
    </row>
    <row r="621" spans="1:5" x14ac:dyDescent="0.25">
      <c r="A621" s="103"/>
      <c r="B621" s="104"/>
      <c r="C621" s="31"/>
      <c r="D621" s="30"/>
      <c r="E621" s="30"/>
    </row>
    <row r="622" spans="1:5" x14ac:dyDescent="0.25">
      <c r="A622" s="103"/>
      <c r="B622" s="104"/>
      <c r="C622" s="31"/>
      <c r="D622" s="30"/>
      <c r="E622" s="30"/>
    </row>
    <row r="623" spans="1:5" x14ac:dyDescent="0.25">
      <c r="A623" s="103"/>
      <c r="B623" s="104"/>
      <c r="C623" s="31"/>
      <c r="D623" s="30"/>
      <c r="E623" s="30"/>
    </row>
    <row r="624" spans="1:5" x14ac:dyDescent="0.25">
      <c r="A624" s="103"/>
      <c r="B624" s="104"/>
      <c r="C624" s="31"/>
      <c r="D624" s="30"/>
      <c r="E624" s="30"/>
    </row>
    <row r="625" spans="1:5" x14ac:dyDescent="0.25">
      <c r="A625" s="103"/>
      <c r="B625" s="104"/>
      <c r="C625" s="31"/>
      <c r="D625" s="30"/>
      <c r="E625" s="30"/>
    </row>
    <row r="626" spans="1:5" x14ac:dyDescent="0.25">
      <c r="A626" s="103"/>
      <c r="B626" s="104"/>
      <c r="C626" s="31"/>
      <c r="D626" s="30"/>
      <c r="E626" s="30"/>
    </row>
    <row r="627" spans="1:5" x14ac:dyDescent="0.25">
      <c r="A627" s="103"/>
      <c r="B627" s="104"/>
      <c r="C627" s="31"/>
      <c r="D627" s="30"/>
      <c r="E627" s="30"/>
    </row>
    <row r="628" spans="1:5" x14ac:dyDescent="0.25">
      <c r="A628" s="103"/>
      <c r="B628" s="104"/>
      <c r="C628" s="31"/>
      <c r="D628" s="30"/>
      <c r="E628" s="30"/>
    </row>
    <row r="629" spans="1:5" x14ac:dyDescent="0.25">
      <c r="A629" s="103"/>
      <c r="B629" s="104"/>
      <c r="C629" s="31"/>
      <c r="D629" s="30"/>
      <c r="E629" s="30"/>
    </row>
    <row r="630" spans="1:5" x14ac:dyDescent="0.25">
      <c r="A630" s="103"/>
      <c r="B630" s="104"/>
      <c r="C630" s="31"/>
      <c r="D630" s="30"/>
      <c r="E630" s="30"/>
    </row>
    <row r="631" spans="1:5" x14ac:dyDescent="0.25">
      <c r="A631" s="103"/>
      <c r="B631" s="104"/>
      <c r="C631" s="31"/>
      <c r="D631" s="30"/>
      <c r="E631" s="30"/>
    </row>
    <row r="632" spans="1:5" x14ac:dyDescent="0.25">
      <c r="A632" s="103"/>
      <c r="B632" s="104"/>
      <c r="C632" s="31"/>
      <c r="D632" s="30"/>
      <c r="E632" s="30"/>
    </row>
    <row r="633" spans="1:5" x14ac:dyDescent="0.25">
      <c r="A633" s="103"/>
      <c r="B633" s="104"/>
      <c r="C633" s="31"/>
      <c r="D633" s="30"/>
      <c r="E633" s="30"/>
    </row>
    <row r="634" spans="1:5" x14ac:dyDescent="0.25">
      <c r="A634" s="103"/>
      <c r="B634" s="104"/>
      <c r="C634" s="31"/>
      <c r="D634" s="30"/>
      <c r="E634" s="30"/>
    </row>
    <row r="635" spans="1:5" x14ac:dyDescent="0.25">
      <c r="A635" s="103"/>
      <c r="B635" s="104"/>
      <c r="C635" s="31"/>
      <c r="D635" s="30"/>
      <c r="E635" s="30"/>
    </row>
    <row r="636" spans="1:5" x14ac:dyDescent="0.25">
      <c r="A636" s="103"/>
      <c r="B636" s="104"/>
      <c r="C636" s="31"/>
      <c r="D636" s="30"/>
      <c r="E636" s="30"/>
    </row>
    <row r="637" spans="1:5" x14ac:dyDescent="0.25">
      <c r="A637" s="103"/>
      <c r="B637" s="104"/>
      <c r="C637" s="31"/>
      <c r="D637" s="30"/>
      <c r="E637" s="30"/>
    </row>
    <row r="638" spans="1:5" x14ac:dyDescent="0.25">
      <c r="A638" s="103"/>
      <c r="B638" s="104"/>
      <c r="C638" s="31"/>
      <c r="D638" s="30"/>
      <c r="E638" s="30"/>
    </row>
    <row r="639" spans="1:5" x14ac:dyDescent="0.25">
      <c r="A639" s="103"/>
      <c r="B639" s="104"/>
      <c r="C639" s="31"/>
      <c r="D639" s="30"/>
      <c r="E639" s="30"/>
    </row>
    <row r="640" spans="1:5" x14ac:dyDescent="0.25">
      <c r="A640" s="103"/>
      <c r="B640" s="104"/>
      <c r="C640" s="31"/>
      <c r="D640" s="30"/>
      <c r="E640" s="30"/>
    </row>
    <row r="641" spans="1:5" x14ac:dyDescent="0.25">
      <c r="A641" s="103"/>
      <c r="B641" s="104"/>
      <c r="C641" s="31"/>
      <c r="D641" s="30"/>
      <c r="E641" s="30"/>
    </row>
    <row r="642" spans="1:5" x14ac:dyDescent="0.25">
      <c r="A642" s="103"/>
      <c r="B642" s="104"/>
      <c r="C642" s="31"/>
      <c r="D642" s="30"/>
      <c r="E642" s="30"/>
    </row>
    <row r="643" spans="1:5" x14ac:dyDescent="0.25">
      <c r="A643" s="103"/>
      <c r="B643" s="104"/>
      <c r="C643" s="31"/>
      <c r="D643" s="30"/>
      <c r="E643" s="30"/>
    </row>
    <row r="644" spans="1:5" x14ac:dyDescent="0.25">
      <c r="A644" s="103"/>
      <c r="B644" s="104"/>
      <c r="C644" s="31"/>
      <c r="D644" s="30"/>
      <c r="E644" s="30"/>
    </row>
    <row r="645" spans="1:5" x14ac:dyDescent="0.25">
      <c r="A645" s="103"/>
      <c r="B645" s="104"/>
      <c r="C645" s="31"/>
      <c r="D645" s="30"/>
      <c r="E645" s="30"/>
    </row>
    <row r="646" spans="1:5" x14ac:dyDescent="0.25">
      <c r="A646" s="103"/>
      <c r="B646" s="104"/>
      <c r="C646" s="31"/>
      <c r="D646" s="30"/>
      <c r="E646" s="30"/>
    </row>
    <row r="647" spans="1:5" x14ac:dyDescent="0.25">
      <c r="A647" s="103"/>
      <c r="B647" s="104"/>
      <c r="C647" s="31"/>
      <c r="D647" s="30"/>
      <c r="E647" s="30"/>
    </row>
    <row r="648" spans="1:5" x14ac:dyDescent="0.25">
      <c r="A648" s="103"/>
      <c r="B648" s="104"/>
      <c r="C648" s="31"/>
      <c r="D648" s="30"/>
      <c r="E648" s="30"/>
    </row>
    <row r="649" spans="1:5" x14ac:dyDescent="0.25">
      <c r="A649" s="103"/>
      <c r="B649" s="104"/>
      <c r="C649" s="31"/>
      <c r="D649" s="30"/>
      <c r="E649" s="30"/>
    </row>
    <row r="650" spans="1:5" x14ac:dyDescent="0.25">
      <c r="A650" s="103"/>
      <c r="B650" s="104"/>
      <c r="C650" s="31"/>
      <c r="D650" s="30"/>
      <c r="E650" s="30"/>
    </row>
    <row r="651" spans="1:5" x14ac:dyDescent="0.25">
      <c r="A651" s="103"/>
      <c r="B651" s="104"/>
      <c r="C651" s="31"/>
      <c r="D651" s="30"/>
      <c r="E651" s="30"/>
    </row>
    <row r="652" spans="1:5" x14ac:dyDescent="0.25">
      <c r="A652" s="103"/>
      <c r="B652" s="104"/>
      <c r="C652" s="31"/>
      <c r="D652" s="30"/>
      <c r="E652" s="30"/>
    </row>
    <row r="653" spans="1:5" x14ac:dyDescent="0.25">
      <c r="A653" s="103"/>
      <c r="B653" s="104"/>
      <c r="C653" s="31"/>
      <c r="D653" s="30"/>
      <c r="E653" s="30"/>
    </row>
    <row r="654" spans="1:5" x14ac:dyDescent="0.25">
      <c r="A654" s="103"/>
      <c r="B654" s="104"/>
      <c r="C654" s="31"/>
      <c r="D654" s="30"/>
      <c r="E654" s="30"/>
    </row>
    <row r="655" spans="1:5" x14ac:dyDescent="0.25">
      <c r="A655" s="103"/>
      <c r="B655" s="104"/>
      <c r="C655" s="31"/>
      <c r="D655" s="30"/>
      <c r="E655" s="30"/>
    </row>
    <row r="656" spans="1:5" x14ac:dyDescent="0.25">
      <c r="A656" s="103"/>
      <c r="B656" s="104"/>
      <c r="C656" s="31"/>
      <c r="D656" s="30"/>
      <c r="E656" s="30"/>
    </row>
    <row r="657" spans="1:5" x14ac:dyDescent="0.25">
      <c r="A657" s="103"/>
      <c r="B657" s="104"/>
      <c r="C657" s="31"/>
      <c r="D657" s="30"/>
      <c r="E657" s="30"/>
    </row>
    <row r="658" spans="1:5" x14ac:dyDescent="0.25">
      <c r="A658" s="103"/>
      <c r="B658" s="104"/>
      <c r="C658" s="31"/>
      <c r="D658" s="30"/>
      <c r="E658" s="30"/>
    </row>
    <row r="659" spans="1:5" x14ac:dyDescent="0.25">
      <c r="A659" s="103"/>
      <c r="B659" s="104"/>
      <c r="C659" s="31"/>
      <c r="D659" s="30"/>
      <c r="E659" s="30"/>
    </row>
    <row r="660" spans="1:5" x14ac:dyDescent="0.25">
      <c r="A660" s="103"/>
      <c r="B660" s="104"/>
      <c r="C660" s="31"/>
      <c r="D660" s="30"/>
      <c r="E660" s="30"/>
    </row>
    <row r="661" spans="1:5" x14ac:dyDescent="0.25">
      <c r="A661" s="103"/>
      <c r="B661" s="104"/>
      <c r="C661" s="31"/>
      <c r="D661" s="30"/>
      <c r="E661" s="30"/>
    </row>
    <row r="662" spans="1:5" x14ac:dyDescent="0.25">
      <c r="A662" s="103"/>
      <c r="B662" s="104"/>
      <c r="C662" s="31"/>
      <c r="D662" s="30"/>
      <c r="E662" s="30"/>
    </row>
    <row r="663" spans="1:5" x14ac:dyDescent="0.25">
      <c r="A663" s="103"/>
      <c r="B663" s="104"/>
      <c r="C663" s="31"/>
      <c r="D663" s="30"/>
      <c r="E663" s="30"/>
    </row>
    <row r="664" spans="1:5" x14ac:dyDescent="0.25">
      <c r="A664" s="103"/>
      <c r="B664" s="104"/>
      <c r="C664" s="31"/>
      <c r="D664" s="30"/>
      <c r="E664" s="30"/>
    </row>
    <row r="665" spans="1:5" x14ac:dyDescent="0.25">
      <c r="A665" s="103"/>
      <c r="B665" s="104"/>
      <c r="C665" s="31"/>
      <c r="D665" s="30"/>
      <c r="E665" s="30"/>
    </row>
    <row r="666" spans="1:5" x14ac:dyDescent="0.25">
      <c r="A666" s="103"/>
      <c r="B666" s="104"/>
      <c r="C666" s="31"/>
      <c r="D666" s="30"/>
      <c r="E666" s="30"/>
    </row>
    <row r="667" spans="1:5" x14ac:dyDescent="0.25">
      <c r="A667" s="103"/>
      <c r="B667" s="104"/>
      <c r="C667" s="31"/>
      <c r="D667" s="30"/>
      <c r="E667" s="30"/>
    </row>
    <row r="668" spans="1:5" x14ac:dyDescent="0.25">
      <c r="A668" s="103"/>
      <c r="B668" s="104"/>
      <c r="C668" s="31"/>
      <c r="D668" s="30"/>
      <c r="E668" s="30"/>
    </row>
    <row r="669" spans="1:5" x14ac:dyDescent="0.25">
      <c r="A669" s="103"/>
      <c r="B669" s="104"/>
      <c r="C669" s="31"/>
      <c r="D669" s="30"/>
      <c r="E669" s="30"/>
    </row>
    <row r="670" spans="1:5" x14ac:dyDescent="0.25">
      <c r="A670" s="103"/>
      <c r="B670" s="104"/>
      <c r="C670" s="31"/>
      <c r="D670" s="30"/>
      <c r="E670" s="30"/>
    </row>
    <row r="671" spans="1:5" x14ac:dyDescent="0.25">
      <c r="A671" s="103"/>
      <c r="B671" s="104"/>
      <c r="C671" s="31"/>
      <c r="D671" s="30"/>
      <c r="E671" s="30"/>
    </row>
    <row r="672" spans="1:5" x14ac:dyDescent="0.25">
      <c r="A672" s="103"/>
      <c r="B672" s="104"/>
      <c r="C672" s="31"/>
      <c r="D672" s="30"/>
      <c r="E672" s="30"/>
    </row>
    <row r="673" spans="1:5" x14ac:dyDescent="0.25">
      <c r="A673" s="103"/>
      <c r="B673" s="104"/>
      <c r="C673" s="31"/>
      <c r="D673" s="30"/>
      <c r="E673" s="30"/>
    </row>
    <row r="674" spans="1:5" x14ac:dyDescent="0.25">
      <c r="A674" s="103"/>
      <c r="B674" s="104"/>
      <c r="C674" s="31"/>
      <c r="D674" s="30"/>
      <c r="E674" s="30"/>
    </row>
    <row r="675" spans="1:5" x14ac:dyDescent="0.25">
      <c r="A675" s="103"/>
      <c r="B675" s="104"/>
      <c r="C675" s="31"/>
      <c r="D675" s="30"/>
      <c r="E675" s="30"/>
    </row>
    <row r="676" spans="1:5" x14ac:dyDescent="0.25">
      <c r="A676" s="103"/>
      <c r="B676" s="104"/>
      <c r="C676" s="31"/>
      <c r="D676" s="30"/>
      <c r="E676" s="30"/>
    </row>
    <row r="677" spans="1:5" x14ac:dyDescent="0.25">
      <c r="A677" s="103"/>
      <c r="B677" s="104"/>
      <c r="C677" s="31"/>
      <c r="D677" s="30"/>
      <c r="E677" s="30"/>
    </row>
    <row r="678" spans="1:5" x14ac:dyDescent="0.25">
      <c r="A678" s="103"/>
      <c r="B678" s="104"/>
      <c r="C678" s="31"/>
      <c r="D678" s="30"/>
      <c r="E678" s="30"/>
    </row>
    <row r="679" spans="1:5" x14ac:dyDescent="0.25">
      <c r="A679" s="103"/>
      <c r="B679" s="104"/>
      <c r="C679" s="31"/>
      <c r="D679" s="30"/>
      <c r="E679" s="30"/>
    </row>
    <row r="680" spans="1:5" x14ac:dyDescent="0.25">
      <c r="A680" s="103"/>
      <c r="B680" s="104"/>
      <c r="C680" s="31"/>
      <c r="D680" s="30"/>
      <c r="E680" s="30"/>
    </row>
    <row r="681" spans="1:5" x14ac:dyDescent="0.25">
      <c r="A681" s="103"/>
      <c r="B681" s="104"/>
      <c r="C681" s="31"/>
      <c r="D681" s="30"/>
      <c r="E681" s="30"/>
    </row>
    <row r="682" spans="1:5" x14ac:dyDescent="0.25">
      <c r="A682" s="103"/>
      <c r="B682" s="104"/>
      <c r="C682" s="31"/>
      <c r="D682" s="30"/>
      <c r="E682" s="30"/>
    </row>
    <row r="683" spans="1:5" x14ac:dyDescent="0.25">
      <c r="A683" s="103"/>
      <c r="B683" s="104"/>
      <c r="C683" s="31"/>
      <c r="D683" s="30"/>
      <c r="E683" s="30"/>
    </row>
    <row r="684" spans="1:5" x14ac:dyDescent="0.25">
      <c r="A684" s="103"/>
      <c r="B684" s="104"/>
      <c r="C684" s="31"/>
      <c r="D684" s="30"/>
      <c r="E684" s="30"/>
    </row>
    <row r="685" spans="1:5" x14ac:dyDescent="0.25">
      <c r="A685" s="103"/>
      <c r="B685" s="104"/>
      <c r="C685" s="31"/>
      <c r="D685" s="30"/>
      <c r="E685" s="30"/>
    </row>
    <row r="686" spans="1:5" x14ac:dyDescent="0.25">
      <c r="A686" s="103"/>
      <c r="B686" s="104"/>
      <c r="C686" s="31"/>
      <c r="D686" s="30"/>
      <c r="E686" s="30"/>
    </row>
    <row r="687" spans="1:5" x14ac:dyDescent="0.25">
      <c r="A687" s="103"/>
      <c r="B687" s="104"/>
      <c r="C687" s="31"/>
      <c r="D687" s="30"/>
      <c r="E687" s="30"/>
    </row>
    <row r="688" spans="1:5" x14ac:dyDescent="0.25">
      <c r="A688" s="103"/>
      <c r="B688" s="104"/>
      <c r="C688" s="31"/>
      <c r="D688" s="30"/>
      <c r="E688" s="30"/>
    </row>
    <row r="689" spans="1:5" x14ac:dyDescent="0.25">
      <c r="A689" s="103"/>
      <c r="B689" s="104"/>
      <c r="C689" s="31"/>
      <c r="D689" s="30"/>
      <c r="E689" s="30"/>
    </row>
    <row r="690" spans="1:5" x14ac:dyDescent="0.25">
      <c r="A690" s="103"/>
      <c r="B690" s="104"/>
      <c r="C690" s="31"/>
      <c r="D690" s="30"/>
      <c r="E690" s="30"/>
    </row>
    <row r="691" spans="1:5" x14ac:dyDescent="0.25">
      <c r="A691" s="103"/>
      <c r="B691" s="104"/>
      <c r="C691" s="31"/>
      <c r="D691" s="30"/>
      <c r="E691" s="30"/>
    </row>
    <row r="692" spans="1:5" x14ac:dyDescent="0.25">
      <c r="A692" s="103"/>
      <c r="B692" s="104"/>
      <c r="C692" s="31"/>
      <c r="D692" s="30"/>
      <c r="E692" s="30"/>
    </row>
    <row r="693" spans="1:5" x14ac:dyDescent="0.25">
      <c r="A693" s="103"/>
      <c r="B693" s="104"/>
      <c r="C693" s="31"/>
      <c r="D693" s="30"/>
      <c r="E693" s="30"/>
    </row>
    <row r="694" spans="1:5" x14ac:dyDescent="0.25">
      <c r="A694" s="103"/>
      <c r="B694" s="104"/>
      <c r="C694" s="31"/>
      <c r="D694" s="30"/>
      <c r="E694" s="30"/>
    </row>
    <row r="695" spans="1:5" x14ac:dyDescent="0.25">
      <c r="A695" s="103"/>
      <c r="B695" s="104"/>
      <c r="C695" s="31"/>
      <c r="D695" s="30"/>
      <c r="E695" s="30"/>
    </row>
    <row r="696" spans="1:5" x14ac:dyDescent="0.25">
      <c r="A696" s="103"/>
      <c r="B696" s="104"/>
      <c r="C696" s="31"/>
      <c r="D696" s="30"/>
      <c r="E696" s="30"/>
    </row>
    <row r="697" spans="1:5" x14ac:dyDescent="0.25">
      <c r="A697" s="103"/>
      <c r="B697" s="104"/>
      <c r="C697" s="31"/>
      <c r="D697" s="30"/>
      <c r="E697" s="30"/>
    </row>
    <row r="698" spans="1:5" x14ac:dyDescent="0.25">
      <c r="A698" s="103"/>
      <c r="B698" s="104"/>
      <c r="C698" s="31"/>
      <c r="D698" s="30"/>
      <c r="E698" s="30"/>
    </row>
    <row r="699" spans="1:5" x14ac:dyDescent="0.25">
      <c r="A699" s="103"/>
      <c r="B699" s="104"/>
      <c r="C699" s="31"/>
      <c r="D699" s="30"/>
      <c r="E699" s="30"/>
    </row>
    <row r="700" spans="1:5" x14ac:dyDescent="0.25">
      <c r="A700" s="103"/>
      <c r="B700" s="104"/>
      <c r="C700" s="31"/>
      <c r="D700" s="30"/>
      <c r="E700" s="30"/>
    </row>
    <row r="701" spans="1:5" x14ac:dyDescent="0.25">
      <c r="A701" s="103"/>
      <c r="B701" s="104"/>
      <c r="C701" s="31"/>
      <c r="D701" s="30"/>
      <c r="E701" s="30"/>
    </row>
    <row r="702" spans="1:5" x14ac:dyDescent="0.25">
      <c r="A702" s="103"/>
      <c r="B702" s="104"/>
      <c r="C702" s="31"/>
      <c r="D702" s="30"/>
      <c r="E702" s="30"/>
    </row>
    <row r="703" spans="1:5" x14ac:dyDescent="0.25">
      <c r="A703" s="103"/>
      <c r="B703" s="104"/>
      <c r="C703" s="31"/>
      <c r="D703" s="30"/>
      <c r="E703" s="30"/>
    </row>
    <row r="704" spans="1:5" x14ac:dyDescent="0.25">
      <c r="A704" s="103"/>
      <c r="B704" s="104"/>
      <c r="C704" s="31"/>
      <c r="D704" s="30"/>
      <c r="E704" s="30"/>
    </row>
    <row r="705" spans="1:5" x14ac:dyDescent="0.25">
      <c r="A705" s="103"/>
      <c r="B705" s="104"/>
      <c r="C705" s="31"/>
      <c r="D705" s="30"/>
      <c r="E705" s="30"/>
    </row>
    <row r="706" spans="1:5" x14ac:dyDescent="0.25">
      <c r="A706" s="103"/>
      <c r="B706" s="104"/>
      <c r="C706" s="31"/>
      <c r="D706" s="30"/>
      <c r="E706" s="30"/>
    </row>
    <row r="707" spans="1:5" x14ac:dyDescent="0.25">
      <c r="A707" s="103"/>
      <c r="B707" s="104"/>
      <c r="C707" s="31"/>
      <c r="D707" s="30"/>
      <c r="E707" s="30"/>
    </row>
    <row r="708" spans="1:5" x14ac:dyDescent="0.25">
      <c r="A708" s="103"/>
      <c r="B708" s="104"/>
      <c r="C708" s="31"/>
      <c r="D708" s="30"/>
      <c r="E708" s="30"/>
    </row>
    <row r="709" spans="1:5" x14ac:dyDescent="0.25">
      <c r="A709" s="103"/>
      <c r="B709" s="104"/>
      <c r="C709" s="31"/>
      <c r="D709" s="30"/>
      <c r="E709" s="30"/>
    </row>
    <row r="710" spans="1:5" x14ac:dyDescent="0.25">
      <c r="A710" s="103"/>
      <c r="B710" s="104"/>
      <c r="C710" s="31"/>
      <c r="D710" s="30"/>
      <c r="E710" s="30"/>
    </row>
    <row r="711" spans="1:5" x14ac:dyDescent="0.25">
      <c r="A711" s="103"/>
      <c r="B711" s="104"/>
      <c r="C711" s="31"/>
      <c r="D711" s="30"/>
      <c r="E711" s="30"/>
    </row>
    <row r="712" spans="1:5" x14ac:dyDescent="0.25">
      <c r="A712" s="103"/>
      <c r="B712" s="104"/>
      <c r="C712" s="31"/>
      <c r="D712" s="30"/>
      <c r="E712" s="30"/>
    </row>
    <row r="713" spans="1:5" x14ac:dyDescent="0.25">
      <c r="A713" s="103"/>
      <c r="B713" s="104"/>
      <c r="C713" s="31"/>
      <c r="D713" s="30"/>
      <c r="E713" s="30"/>
    </row>
    <row r="714" spans="1:5" x14ac:dyDescent="0.25">
      <c r="A714" s="103"/>
      <c r="B714" s="104"/>
      <c r="C714" s="31"/>
      <c r="D714" s="30"/>
      <c r="E714" s="30"/>
    </row>
    <row r="715" spans="1:5" x14ac:dyDescent="0.25">
      <c r="A715" s="103"/>
      <c r="B715" s="104"/>
      <c r="C715" s="31"/>
      <c r="D715" s="30"/>
      <c r="E715" s="30"/>
    </row>
    <row r="716" spans="1:5" x14ac:dyDescent="0.25">
      <c r="A716" s="103"/>
      <c r="B716" s="104"/>
      <c r="C716" s="31"/>
      <c r="D716" s="30"/>
      <c r="E716" s="30"/>
    </row>
    <row r="717" spans="1:5" x14ac:dyDescent="0.25">
      <c r="A717" s="103"/>
      <c r="B717" s="104"/>
      <c r="C717" s="31"/>
      <c r="D717" s="30"/>
      <c r="E717" s="30"/>
    </row>
    <row r="718" spans="1:5" x14ac:dyDescent="0.25">
      <c r="A718" s="103"/>
      <c r="B718" s="104"/>
      <c r="C718" s="31"/>
      <c r="D718" s="30"/>
      <c r="E718" s="30"/>
    </row>
    <row r="719" spans="1:5" x14ac:dyDescent="0.25">
      <c r="A719" s="103"/>
      <c r="B719" s="104"/>
      <c r="C719" s="31"/>
      <c r="D719" s="30"/>
      <c r="E719" s="30"/>
    </row>
    <row r="720" spans="1:5" x14ac:dyDescent="0.25">
      <c r="A720" s="103"/>
      <c r="B720" s="104"/>
      <c r="C720" s="31"/>
      <c r="D720" s="30"/>
      <c r="E720" s="30"/>
    </row>
    <row r="721" spans="1:5" x14ac:dyDescent="0.25">
      <c r="A721" s="103"/>
      <c r="B721" s="104"/>
      <c r="C721" s="31"/>
      <c r="D721" s="30"/>
      <c r="E721" s="30"/>
    </row>
    <row r="722" spans="1:5" x14ac:dyDescent="0.25">
      <c r="A722" s="103"/>
      <c r="B722" s="104"/>
      <c r="C722" s="31"/>
      <c r="D722" s="30"/>
      <c r="E722" s="30"/>
    </row>
    <row r="723" spans="1:5" x14ac:dyDescent="0.25">
      <c r="A723" s="103"/>
      <c r="B723" s="104"/>
      <c r="C723" s="31"/>
      <c r="D723" s="30"/>
      <c r="E723" s="30"/>
    </row>
    <row r="724" spans="1:5" x14ac:dyDescent="0.25">
      <c r="A724" s="103"/>
      <c r="B724" s="104"/>
      <c r="C724" s="31"/>
      <c r="D724" s="30"/>
      <c r="E724" s="30"/>
    </row>
    <row r="725" spans="1:5" x14ac:dyDescent="0.25">
      <c r="A725" s="103"/>
      <c r="B725" s="104"/>
      <c r="C725" s="31"/>
      <c r="D725" s="30"/>
      <c r="E725" s="30"/>
    </row>
    <row r="726" spans="1:5" x14ac:dyDescent="0.25">
      <c r="A726" s="103"/>
      <c r="B726" s="104"/>
      <c r="C726" s="31"/>
      <c r="D726" s="30"/>
      <c r="E726" s="30"/>
    </row>
    <row r="727" spans="1:5" x14ac:dyDescent="0.25">
      <c r="A727" s="103"/>
      <c r="B727" s="104"/>
      <c r="C727" s="31"/>
      <c r="D727" s="30"/>
      <c r="E727" s="30"/>
    </row>
    <row r="728" spans="1:5" x14ac:dyDescent="0.25">
      <c r="A728" s="103"/>
      <c r="B728" s="104"/>
      <c r="C728" s="31"/>
      <c r="D728" s="30"/>
      <c r="E728" s="30"/>
    </row>
    <row r="729" spans="1:5" x14ac:dyDescent="0.25">
      <c r="A729" s="103"/>
      <c r="B729" s="104"/>
      <c r="C729" s="31"/>
      <c r="D729" s="30"/>
      <c r="E729" s="30"/>
    </row>
    <row r="730" spans="1:5" x14ac:dyDescent="0.25">
      <c r="A730" s="103"/>
      <c r="B730" s="104"/>
      <c r="C730" s="31"/>
      <c r="D730" s="30"/>
      <c r="E730" s="30"/>
    </row>
    <row r="731" spans="1:5" x14ac:dyDescent="0.25">
      <c r="A731" s="103"/>
      <c r="B731" s="104"/>
      <c r="C731" s="31"/>
      <c r="D731" s="30"/>
      <c r="E731" s="30"/>
    </row>
    <row r="732" spans="1:5" x14ac:dyDescent="0.25">
      <c r="A732" s="103"/>
      <c r="B732" s="104"/>
      <c r="C732" s="31"/>
      <c r="D732" s="30"/>
      <c r="E732" s="30"/>
    </row>
    <row r="733" spans="1:5" x14ac:dyDescent="0.25">
      <c r="A733" s="103"/>
      <c r="B733" s="104"/>
      <c r="C733" s="31"/>
      <c r="D733" s="30"/>
      <c r="E733" s="30"/>
    </row>
    <row r="734" spans="1:5" x14ac:dyDescent="0.25">
      <c r="A734" s="103"/>
      <c r="B734" s="104"/>
      <c r="C734" s="31"/>
      <c r="D734" s="30"/>
      <c r="E734" s="30"/>
    </row>
    <row r="735" spans="1:5" x14ac:dyDescent="0.25">
      <c r="A735" s="103"/>
      <c r="B735" s="104"/>
      <c r="C735" s="31"/>
      <c r="D735" s="30"/>
      <c r="E735" s="30"/>
    </row>
    <row r="736" spans="1:5" x14ac:dyDescent="0.25">
      <c r="A736" s="103"/>
      <c r="B736" s="104"/>
      <c r="C736" s="31"/>
      <c r="D736" s="30"/>
      <c r="E736" s="30"/>
    </row>
    <row r="737" spans="1:5" x14ac:dyDescent="0.25">
      <c r="A737" s="103"/>
      <c r="B737" s="104"/>
      <c r="C737" s="31"/>
      <c r="D737" s="30"/>
      <c r="E737" s="30"/>
    </row>
    <row r="738" spans="1:5" x14ac:dyDescent="0.25">
      <c r="A738" s="103"/>
      <c r="B738" s="104"/>
      <c r="C738" s="31"/>
      <c r="D738" s="30"/>
      <c r="E738" s="30"/>
    </row>
    <row r="739" spans="1:5" x14ac:dyDescent="0.25">
      <c r="A739" s="103"/>
      <c r="B739" s="104"/>
      <c r="C739" s="31"/>
      <c r="D739" s="30"/>
      <c r="E739" s="30"/>
    </row>
    <row r="740" spans="1:5" x14ac:dyDescent="0.25">
      <c r="A740" s="103"/>
      <c r="B740" s="104"/>
      <c r="C740" s="31"/>
      <c r="D740" s="30"/>
      <c r="E740" s="30"/>
    </row>
    <row r="741" spans="1:5" x14ac:dyDescent="0.25">
      <c r="A741" s="103"/>
      <c r="B741" s="104"/>
      <c r="C741" s="31"/>
      <c r="D741" s="30"/>
      <c r="E741" s="30"/>
    </row>
    <row r="742" spans="1:5" x14ac:dyDescent="0.25">
      <c r="A742" s="103"/>
      <c r="B742" s="104"/>
      <c r="C742" s="31"/>
      <c r="D742" s="30"/>
      <c r="E742" s="30"/>
    </row>
    <row r="743" spans="1:5" x14ac:dyDescent="0.25">
      <c r="A743" s="103"/>
      <c r="B743" s="104"/>
      <c r="C743" s="31"/>
      <c r="D743" s="30"/>
      <c r="E743" s="30"/>
    </row>
    <row r="744" spans="1:5" x14ac:dyDescent="0.25">
      <c r="A744" s="103"/>
      <c r="B744" s="104"/>
      <c r="C744" s="31"/>
      <c r="D744" s="30"/>
      <c r="E744" s="30"/>
    </row>
    <row r="745" spans="1:5" x14ac:dyDescent="0.25">
      <c r="A745" s="103"/>
      <c r="B745" s="104"/>
      <c r="C745" s="31"/>
      <c r="D745" s="30"/>
      <c r="E745" s="30"/>
    </row>
    <row r="746" spans="1:5" x14ac:dyDescent="0.25">
      <c r="A746" s="103"/>
      <c r="B746" s="104"/>
      <c r="C746" s="31"/>
      <c r="D746" s="30"/>
      <c r="E746" s="30"/>
    </row>
    <row r="747" spans="1:5" x14ac:dyDescent="0.25">
      <c r="A747" s="103"/>
      <c r="B747" s="104"/>
      <c r="C747" s="31"/>
      <c r="D747" s="30"/>
      <c r="E747" s="30"/>
    </row>
    <row r="748" spans="1:5" x14ac:dyDescent="0.25">
      <c r="A748" s="103"/>
      <c r="B748" s="104"/>
      <c r="C748" s="31"/>
      <c r="D748" s="30"/>
      <c r="E748" s="30"/>
    </row>
    <row r="749" spans="1:5" x14ac:dyDescent="0.25">
      <c r="A749" s="103"/>
      <c r="B749" s="104"/>
      <c r="C749" s="31"/>
      <c r="D749" s="30"/>
      <c r="E749" s="30"/>
    </row>
    <row r="750" spans="1:5" x14ac:dyDescent="0.25">
      <c r="A750" s="103"/>
      <c r="B750" s="104"/>
      <c r="C750" s="31"/>
      <c r="D750" s="30"/>
      <c r="E750" s="30"/>
    </row>
    <row r="751" spans="1:5" x14ac:dyDescent="0.25">
      <c r="A751" s="103"/>
      <c r="B751" s="104"/>
      <c r="C751" s="31"/>
      <c r="D751" s="30"/>
      <c r="E751" s="30"/>
    </row>
    <row r="752" spans="1:5" x14ac:dyDescent="0.25">
      <c r="A752" s="103"/>
      <c r="B752" s="104"/>
      <c r="C752" s="31"/>
      <c r="D752" s="30"/>
      <c r="E752" s="30"/>
    </row>
    <row r="753" spans="1:5" x14ac:dyDescent="0.25">
      <c r="A753" s="103"/>
      <c r="B753" s="104"/>
      <c r="C753" s="31"/>
      <c r="D753" s="30"/>
      <c r="E753" s="30"/>
    </row>
    <row r="754" spans="1:5" x14ac:dyDescent="0.25">
      <c r="A754" s="103"/>
      <c r="B754" s="104"/>
      <c r="C754" s="31"/>
      <c r="D754" s="30"/>
      <c r="E754" s="30"/>
    </row>
    <row r="755" spans="1:5" x14ac:dyDescent="0.25">
      <c r="A755" s="103"/>
      <c r="B755" s="104"/>
      <c r="C755" s="31"/>
      <c r="D755" s="30"/>
      <c r="E755" s="30"/>
    </row>
    <row r="756" spans="1:5" x14ac:dyDescent="0.25">
      <c r="A756" s="103"/>
      <c r="B756" s="104"/>
      <c r="C756" s="31"/>
      <c r="D756" s="30"/>
      <c r="E756" s="30"/>
    </row>
    <row r="757" spans="1:5" x14ac:dyDescent="0.25">
      <c r="A757" s="103"/>
      <c r="B757" s="104"/>
      <c r="C757" s="31"/>
      <c r="D757" s="30"/>
      <c r="E757" s="30"/>
    </row>
    <row r="758" spans="1:5" x14ac:dyDescent="0.25">
      <c r="A758" s="103"/>
      <c r="B758" s="104"/>
      <c r="C758" s="31"/>
      <c r="D758" s="30"/>
      <c r="E758" s="30"/>
    </row>
    <row r="759" spans="1:5" x14ac:dyDescent="0.25">
      <c r="A759" s="103"/>
      <c r="B759" s="104"/>
      <c r="C759" s="31"/>
      <c r="D759" s="30"/>
      <c r="E759" s="30"/>
    </row>
    <row r="760" spans="1:5" x14ac:dyDescent="0.25">
      <c r="A760" s="103"/>
      <c r="B760" s="104"/>
      <c r="C760" s="31"/>
      <c r="D760" s="30"/>
      <c r="E760" s="30"/>
    </row>
    <row r="761" spans="1:5" x14ac:dyDescent="0.25">
      <c r="A761" s="103"/>
      <c r="B761" s="104"/>
      <c r="C761" s="31"/>
      <c r="D761" s="30"/>
      <c r="E761" s="30"/>
    </row>
    <row r="762" spans="1:5" x14ac:dyDescent="0.25">
      <c r="A762" s="103"/>
      <c r="B762" s="104"/>
      <c r="C762" s="31"/>
      <c r="D762" s="30"/>
      <c r="E762" s="30"/>
    </row>
    <row r="763" spans="1:5" x14ac:dyDescent="0.25">
      <c r="A763" s="103"/>
      <c r="B763" s="104"/>
      <c r="C763" s="31"/>
      <c r="D763" s="30"/>
      <c r="E763" s="30"/>
    </row>
    <row r="764" spans="1:5" x14ac:dyDescent="0.25">
      <c r="A764" s="103"/>
      <c r="B764" s="104"/>
      <c r="C764" s="31"/>
      <c r="D764" s="30"/>
      <c r="E764" s="30"/>
    </row>
    <row r="765" spans="1:5" x14ac:dyDescent="0.25">
      <c r="A765" s="103"/>
      <c r="B765" s="104"/>
      <c r="C765" s="31"/>
      <c r="D765" s="30"/>
      <c r="E765" s="30"/>
    </row>
    <row r="766" spans="1:5" x14ac:dyDescent="0.25">
      <c r="A766" s="103"/>
      <c r="B766" s="104"/>
      <c r="C766" s="31"/>
      <c r="D766" s="30"/>
      <c r="E766" s="30"/>
    </row>
    <row r="767" spans="1:5" x14ac:dyDescent="0.25">
      <c r="A767" s="103"/>
      <c r="B767" s="104"/>
      <c r="C767" s="31"/>
      <c r="D767" s="30"/>
      <c r="E767" s="30"/>
    </row>
    <row r="768" spans="1:5" x14ac:dyDescent="0.25">
      <c r="A768" s="103"/>
      <c r="B768" s="104"/>
      <c r="C768" s="31"/>
      <c r="D768" s="30"/>
      <c r="E768" s="30"/>
    </row>
    <row r="769" spans="1:5" x14ac:dyDescent="0.25">
      <c r="A769" s="103"/>
      <c r="B769" s="104"/>
      <c r="C769" s="31"/>
      <c r="D769" s="30"/>
      <c r="E769" s="30"/>
    </row>
    <row r="770" spans="1:5" x14ac:dyDescent="0.25">
      <c r="A770" s="103"/>
      <c r="B770" s="104"/>
      <c r="C770" s="31"/>
      <c r="D770" s="30"/>
      <c r="E770" s="30"/>
    </row>
    <row r="771" spans="1:5" x14ac:dyDescent="0.25">
      <c r="A771" s="103"/>
      <c r="B771" s="104"/>
      <c r="C771" s="31"/>
      <c r="D771" s="30"/>
      <c r="E771" s="30"/>
    </row>
    <row r="772" spans="1:5" x14ac:dyDescent="0.25">
      <c r="A772" s="103"/>
      <c r="B772" s="104"/>
      <c r="C772" s="31"/>
      <c r="D772" s="30"/>
      <c r="E772" s="30"/>
    </row>
    <row r="773" spans="1:5" x14ac:dyDescent="0.25">
      <c r="A773" s="103"/>
      <c r="B773" s="104"/>
      <c r="C773" s="31"/>
      <c r="D773" s="30"/>
      <c r="E773" s="30"/>
    </row>
    <row r="774" spans="1:5" x14ac:dyDescent="0.25">
      <c r="A774" s="103"/>
      <c r="B774" s="104"/>
      <c r="C774" s="31"/>
      <c r="D774" s="30"/>
      <c r="E774" s="30"/>
    </row>
    <row r="775" spans="1:5" x14ac:dyDescent="0.25">
      <c r="A775" s="103"/>
      <c r="B775" s="104"/>
      <c r="C775" s="31"/>
      <c r="D775" s="30"/>
      <c r="E775" s="30"/>
    </row>
    <row r="776" spans="1:5" x14ac:dyDescent="0.25">
      <c r="A776" s="103"/>
      <c r="B776" s="104"/>
      <c r="C776" s="31"/>
      <c r="D776" s="30"/>
      <c r="E776" s="30"/>
    </row>
    <row r="777" spans="1:5" x14ac:dyDescent="0.25">
      <c r="A777" s="103"/>
      <c r="B777" s="104"/>
      <c r="C777" s="31"/>
      <c r="D777" s="30"/>
      <c r="E777" s="30"/>
    </row>
    <row r="778" spans="1:5" x14ac:dyDescent="0.25">
      <c r="A778" s="103"/>
      <c r="B778" s="104"/>
      <c r="C778" s="31"/>
      <c r="D778" s="30"/>
      <c r="E778" s="30"/>
    </row>
    <row r="779" spans="1:5" x14ac:dyDescent="0.25">
      <c r="A779" s="103"/>
      <c r="B779" s="104"/>
      <c r="C779" s="31"/>
      <c r="D779" s="30"/>
      <c r="E779" s="30"/>
    </row>
    <row r="780" spans="1:5" x14ac:dyDescent="0.25">
      <c r="A780" s="103"/>
      <c r="B780" s="104"/>
      <c r="C780" s="31"/>
      <c r="D780" s="30"/>
      <c r="E780" s="30"/>
    </row>
    <row r="781" spans="1:5" x14ac:dyDescent="0.25">
      <c r="A781" s="103"/>
      <c r="B781" s="104"/>
      <c r="C781" s="31"/>
      <c r="D781" s="30"/>
      <c r="E781" s="30"/>
    </row>
    <row r="782" spans="1:5" x14ac:dyDescent="0.25">
      <c r="A782" s="103"/>
      <c r="B782" s="104"/>
      <c r="C782" s="31"/>
      <c r="D782" s="30"/>
      <c r="E782" s="30"/>
    </row>
    <row r="783" spans="1:5" x14ac:dyDescent="0.25">
      <c r="A783" s="103"/>
      <c r="B783" s="104"/>
      <c r="C783" s="31"/>
      <c r="D783" s="30"/>
      <c r="E783" s="30"/>
    </row>
    <row r="784" spans="1:5" x14ac:dyDescent="0.25">
      <c r="A784" s="103"/>
      <c r="B784" s="104"/>
      <c r="C784" s="31"/>
      <c r="D784" s="30"/>
      <c r="E784" s="30"/>
    </row>
    <row r="785" spans="1:5" x14ac:dyDescent="0.25">
      <c r="A785" s="103"/>
      <c r="B785" s="104"/>
      <c r="C785" s="31"/>
      <c r="D785" s="30"/>
      <c r="E785" s="30"/>
    </row>
    <row r="786" spans="1:5" x14ac:dyDescent="0.25">
      <c r="A786" s="103"/>
      <c r="B786" s="104"/>
      <c r="C786" s="31"/>
      <c r="D786" s="30"/>
      <c r="E786" s="30"/>
    </row>
    <row r="787" spans="1:5" x14ac:dyDescent="0.25">
      <c r="A787" s="103"/>
      <c r="B787" s="104"/>
      <c r="C787" s="31"/>
      <c r="D787" s="30"/>
      <c r="E787" s="30"/>
    </row>
    <row r="788" spans="1:5" x14ac:dyDescent="0.25">
      <c r="A788" s="103"/>
      <c r="B788" s="104"/>
      <c r="C788" s="31"/>
      <c r="D788" s="30"/>
      <c r="E788" s="30"/>
    </row>
    <row r="789" spans="1:5" x14ac:dyDescent="0.25">
      <c r="A789" s="103"/>
      <c r="B789" s="104"/>
      <c r="C789" s="31"/>
      <c r="D789" s="30"/>
      <c r="E789" s="30"/>
    </row>
    <row r="790" spans="1:5" x14ac:dyDescent="0.25">
      <c r="A790" s="103"/>
      <c r="B790" s="104"/>
      <c r="C790" s="31"/>
      <c r="D790" s="30"/>
      <c r="E790" s="30"/>
    </row>
    <row r="791" spans="1:5" x14ac:dyDescent="0.25">
      <c r="A791" s="103"/>
      <c r="B791" s="104"/>
      <c r="C791" s="31"/>
      <c r="D791" s="30"/>
      <c r="E791" s="30"/>
    </row>
    <row r="792" spans="1:5" x14ac:dyDescent="0.25">
      <c r="A792" s="103"/>
      <c r="B792" s="104"/>
      <c r="C792" s="31"/>
      <c r="D792" s="30"/>
      <c r="E792" s="30"/>
    </row>
    <row r="793" spans="1:5" x14ac:dyDescent="0.25">
      <c r="A793" s="103"/>
      <c r="B793" s="104"/>
      <c r="C793" s="31"/>
      <c r="D793" s="30"/>
      <c r="E793" s="30"/>
    </row>
    <row r="794" spans="1:5" x14ac:dyDescent="0.25">
      <c r="A794" s="103"/>
      <c r="B794" s="104"/>
      <c r="C794" s="31"/>
      <c r="D794" s="30"/>
      <c r="E794" s="30"/>
    </row>
    <row r="795" spans="1:5" x14ac:dyDescent="0.25">
      <c r="A795" s="103"/>
      <c r="B795" s="104"/>
      <c r="C795" s="31"/>
      <c r="D795" s="30"/>
      <c r="E795" s="30"/>
    </row>
    <row r="796" spans="1:5" x14ac:dyDescent="0.25">
      <c r="A796" s="103"/>
      <c r="B796" s="104"/>
      <c r="C796" s="31"/>
      <c r="D796" s="30"/>
      <c r="E796" s="30"/>
    </row>
    <row r="797" spans="1:5" x14ac:dyDescent="0.25">
      <c r="A797" s="103"/>
      <c r="B797" s="104"/>
      <c r="C797" s="31"/>
      <c r="D797" s="30"/>
      <c r="E797" s="30"/>
    </row>
    <row r="798" spans="1:5" x14ac:dyDescent="0.25">
      <c r="A798" s="103"/>
      <c r="B798" s="104"/>
      <c r="C798" s="31"/>
      <c r="D798" s="30"/>
      <c r="E798" s="30"/>
    </row>
    <row r="799" spans="1:5" x14ac:dyDescent="0.25">
      <c r="A799" s="103"/>
      <c r="B799" s="104"/>
      <c r="C799" s="31"/>
      <c r="D799" s="30"/>
      <c r="E799" s="30"/>
    </row>
    <row r="800" spans="1:5" x14ac:dyDescent="0.25">
      <c r="A800" s="103"/>
      <c r="B800" s="104"/>
      <c r="C800" s="31"/>
      <c r="D800" s="30"/>
      <c r="E800" s="30"/>
    </row>
    <row r="801" spans="1:5" x14ac:dyDescent="0.25">
      <c r="A801" s="103"/>
      <c r="B801" s="104"/>
      <c r="C801" s="31"/>
      <c r="D801" s="30"/>
      <c r="E801" s="30"/>
    </row>
    <row r="802" spans="1:5" x14ac:dyDescent="0.25">
      <c r="A802" s="103"/>
      <c r="B802" s="104"/>
      <c r="C802" s="31"/>
      <c r="D802" s="30"/>
      <c r="E802" s="30"/>
    </row>
    <row r="803" spans="1:5" x14ac:dyDescent="0.25">
      <c r="A803" s="103"/>
      <c r="B803" s="104"/>
      <c r="C803" s="31"/>
      <c r="D803" s="30"/>
      <c r="E803" s="30"/>
    </row>
    <row r="804" spans="1:5" x14ac:dyDescent="0.25">
      <c r="A804" s="103"/>
      <c r="B804" s="104"/>
      <c r="C804" s="31"/>
      <c r="D804" s="30"/>
      <c r="E804" s="30"/>
    </row>
    <row r="805" spans="1:5" x14ac:dyDescent="0.25">
      <c r="A805" s="103"/>
      <c r="B805" s="104"/>
      <c r="C805" s="31"/>
      <c r="D805" s="30"/>
      <c r="E805" s="30"/>
    </row>
    <row r="806" spans="1:5" x14ac:dyDescent="0.25">
      <c r="A806" s="103"/>
      <c r="B806" s="104"/>
      <c r="C806" s="31"/>
      <c r="D806" s="30"/>
      <c r="E806" s="30"/>
    </row>
    <row r="807" spans="1:5" x14ac:dyDescent="0.25">
      <c r="A807" s="103"/>
      <c r="B807" s="104"/>
      <c r="C807" s="31"/>
      <c r="D807" s="30"/>
      <c r="E807" s="30"/>
    </row>
    <row r="808" spans="1:5" x14ac:dyDescent="0.25">
      <c r="A808" s="103"/>
      <c r="B808" s="104"/>
      <c r="C808" s="31"/>
      <c r="D808" s="30"/>
      <c r="E808" s="30"/>
    </row>
    <row r="809" spans="1:5" x14ac:dyDescent="0.25">
      <c r="A809" s="103"/>
      <c r="B809" s="104"/>
      <c r="C809" s="31"/>
      <c r="D809" s="30"/>
      <c r="E809" s="30"/>
    </row>
    <row r="810" spans="1:5" x14ac:dyDescent="0.25">
      <c r="A810" s="103"/>
      <c r="B810" s="104"/>
      <c r="C810" s="31"/>
      <c r="D810" s="30"/>
      <c r="E810" s="30"/>
    </row>
    <row r="811" spans="1:5" x14ac:dyDescent="0.25">
      <c r="A811" s="103"/>
      <c r="B811" s="104"/>
      <c r="C811" s="31"/>
      <c r="D811" s="30"/>
      <c r="E811" s="30"/>
    </row>
    <row r="812" spans="1:5" x14ac:dyDescent="0.25">
      <c r="A812" s="103"/>
      <c r="B812" s="104"/>
      <c r="C812" s="31"/>
      <c r="D812" s="30"/>
      <c r="E812" s="30"/>
    </row>
    <row r="813" spans="1:5" x14ac:dyDescent="0.25">
      <c r="A813" s="103"/>
      <c r="B813" s="104"/>
      <c r="C813" s="31"/>
      <c r="D813" s="30"/>
      <c r="E813" s="30"/>
    </row>
    <row r="814" spans="1:5" x14ac:dyDescent="0.25">
      <c r="A814" s="103"/>
      <c r="B814" s="104"/>
      <c r="C814" s="31"/>
      <c r="D814" s="30"/>
      <c r="E814" s="30"/>
    </row>
    <row r="815" spans="1:5" x14ac:dyDescent="0.25">
      <c r="A815" s="103"/>
      <c r="B815" s="104"/>
      <c r="C815" s="31"/>
      <c r="D815" s="30"/>
      <c r="E815" s="30"/>
    </row>
    <row r="816" spans="1:5" x14ac:dyDescent="0.25">
      <c r="A816" s="103"/>
      <c r="B816" s="104"/>
      <c r="C816" s="31"/>
      <c r="D816" s="30"/>
      <c r="E816" s="30"/>
    </row>
    <row r="817" spans="1:5" x14ac:dyDescent="0.25">
      <c r="A817" s="103"/>
      <c r="B817" s="104"/>
      <c r="C817" s="31"/>
      <c r="D817" s="30"/>
      <c r="E817" s="30"/>
    </row>
    <row r="818" spans="1:5" x14ac:dyDescent="0.25">
      <c r="A818" s="103"/>
      <c r="B818" s="104"/>
      <c r="C818" s="31"/>
      <c r="D818" s="30"/>
      <c r="E818" s="30"/>
    </row>
    <row r="819" spans="1:5" x14ac:dyDescent="0.25">
      <c r="A819" s="103"/>
      <c r="B819" s="104"/>
      <c r="C819" s="31"/>
      <c r="D819" s="30"/>
      <c r="E819" s="30"/>
    </row>
    <row r="820" spans="1:5" x14ac:dyDescent="0.25">
      <c r="A820" s="103"/>
      <c r="B820" s="104"/>
      <c r="C820" s="31"/>
      <c r="D820" s="30"/>
      <c r="E820" s="30"/>
    </row>
    <row r="821" spans="1:5" x14ac:dyDescent="0.25">
      <c r="A821" s="103"/>
      <c r="B821" s="104"/>
      <c r="C821" s="31"/>
      <c r="D821" s="30"/>
      <c r="E821" s="30"/>
    </row>
    <row r="822" spans="1:5" x14ac:dyDescent="0.25">
      <c r="A822" s="103"/>
      <c r="B822" s="104"/>
      <c r="C822" s="31"/>
      <c r="D822" s="30"/>
      <c r="E822" s="30"/>
    </row>
    <row r="823" spans="1:5" x14ac:dyDescent="0.25">
      <c r="A823" s="103"/>
      <c r="B823" s="104"/>
      <c r="C823" s="31"/>
      <c r="D823" s="30"/>
      <c r="E823" s="30"/>
    </row>
    <row r="824" spans="1:5" x14ac:dyDescent="0.25">
      <c r="A824" s="103"/>
      <c r="B824" s="104"/>
      <c r="C824" s="31"/>
      <c r="D824" s="30"/>
      <c r="E824" s="30"/>
    </row>
    <row r="825" spans="1:5" x14ac:dyDescent="0.25">
      <c r="A825" s="103"/>
      <c r="B825" s="104"/>
      <c r="C825" s="31"/>
      <c r="D825" s="30"/>
      <c r="E825" s="30"/>
    </row>
    <row r="826" spans="1:5" x14ac:dyDescent="0.25">
      <c r="A826" s="103"/>
      <c r="B826" s="104"/>
      <c r="C826" s="31"/>
      <c r="D826" s="30"/>
      <c r="E826" s="30"/>
    </row>
    <row r="827" spans="1:5" x14ac:dyDescent="0.25">
      <c r="A827" s="103"/>
      <c r="B827" s="104"/>
      <c r="C827" s="31"/>
      <c r="D827" s="30"/>
      <c r="E827" s="30"/>
    </row>
    <row r="828" spans="1:5" x14ac:dyDescent="0.25">
      <c r="A828" s="103"/>
      <c r="B828" s="104"/>
      <c r="C828" s="31"/>
      <c r="D828" s="30"/>
      <c r="E828" s="30"/>
    </row>
    <row r="829" spans="1:5" x14ac:dyDescent="0.25">
      <c r="A829" s="103"/>
      <c r="B829" s="104"/>
      <c r="C829" s="31"/>
      <c r="D829" s="30"/>
      <c r="E829" s="30"/>
    </row>
    <row r="830" spans="1:5" x14ac:dyDescent="0.25">
      <c r="A830" s="103"/>
      <c r="B830" s="104"/>
      <c r="C830" s="31"/>
      <c r="D830" s="30"/>
      <c r="E830" s="30"/>
    </row>
    <row r="831" spans="1:5" x14ac:dyDescent="0.25">
      <c r="A831" s="103"/>
      <c r="B831" s="104"/>
      <c r="C831" s="31"/>
      <c r="D831" s="30"/>
      <c r="E831" s="30"/>
    </row>
    <row r="832" spans="1:5" x14ac:dyDescent="0.25">
      <c r="A832" s="103"/>
      <c r="B832" s="104"/>
      <c r="C832" s="31"/>
      <c r="D832" s="30"/>
      <c r="E832" s="30"/>
    </row>
    <row r="833" spans="1:5" x14ac:dyDescent="0.25">
      <c r="A833" s="103"/>
      <c r="B833" s="104"/>
      <c r="C833" s="31"/>
      <c r="D833" s="30"/>
      <c r="E833" s="30"/>
    </row>
    <row r="834" spans="1:5" x14ac:dyDescent="0.25">
      <c r="A834" s="103"/>
      <c r="B834" s="104"/>
      <c r="C834" s="31"/>
      <c r="D834" s="30"/>
      <c r="E834" s="30"/>
    </row>
    <row r="835" spans="1:5" x14ac:dyDescent="0.25">
      <c r="A835" s="103"/>
      <c r="B835" s="104"/>
      <c r="C835" s="31"/>
      <c r="D835" s="30"/>
      <c r="E835" s="30"/>
    </row>
    <row r="836" spans="1:5" x14ac:dyDescent="0.25">
      <c r="A836" s="103"/>
      <c r="B836" s="104"/>
      <c r="C836" s="31"/>
      <c r="D836" s="30"/>
      <c r="E836" s="30"/>
    </row>
    <row r="837" spans="1:5" x14ac:dyDescent="0.25">
      <c r="A837" s="103"/>
      <c r="B837" s="104"/>
      <c r="C837" s="31"/>
      <c r="D837" s="30"/>
      <c r="E837" s="30"/>
    </row>
    <row r="838" spans="1:5" x14ac:dyDescent="0.25">
      <c r="A838" s="103"/>
      <c r="B838" s="104"/>
      <c r="C838" s="31"/>
      <c r="D838" s="30"/>
      <c r="E838" s="30"/>
    </row>
    <row r="839" spans="1:5" x14ac:dyDescent="0.25">
      <c r="A839" s="103"/>
      <c r="B839" s="104"/>
      <c r="C839" s="31"/>
      <c r="D839" s="30"/>
      <c r="E839" s="30"/>
    </row>
    <row r="840" spans="1:5" x14ac:dyDescent="0.25">
      <c r="A840" s="103"/>
      <c r="B840" s="104"/>
      <c r="C840" s="31"/>
      <c r="D840" s="30"/>
      <c r="E840" s="30"/>
    </row>
    <row r="841" spans="1:5" x14ac:dyDescent="0.25">
      <c r="A841" s="103"/>
      <c r="B841" s="104"/>
      <c r="C841" s="31"/>
      <c r="D841" s="30"/>
      <c r="E841" s="30"/>
    </row>
    <row r="842" spans="1:5" x14ac:dyDescent="0.25">
      <c r="A842" s="103"/>
      <c r="B842" s="104"/>
      <c r="C842" s="31"/>
      <c r="D842" s="30"/>
      <c r="E842" s="30"/>
    </row>
    <row r="843" spans="1:5" x14ac:dyDescent="0.25">
      <c r="A843" s="103"/>
      <c r="B843" s="104"/>
      <c r="C843" s="31"/>
      <c r="D843" s="30"/>
      <c r="E843" s="30"/>
    </row>
    <row r="844" spans="1:5" x14ac:dyDescent="0.25">
      <c r="A844" s="103"/>
      <c r="B844" s="104"/>
      <c r="C844" s="31"/>
      <c r="D844" s="30"/>
      <c r="E844" s="30"/>
    </row>
    <row r="845" spans="1:5" x14ac:dyDescent="0.25">
      <c r="A845" s="103"/>
      <c r="B845" s="104"/>
      <c r="C845" s="31"/>
      <c r="D845" s="30"/>
      <c r="E845" s="30"/>
    </row>
    <row r="846" spans="1:5" x14ac:dyDescent="0.25">
      <c r="A846" s="103"/>
      <c r="B846" s="104"/>
      <c r="C846" s="31"/>
      <c r="D846" s="30"/>
      <c r="E846" s="30"/>
    </row>
    <row r="847" spans="1:5" x14ac:dyDescent="0.25">
      <c r="A847" s="103"/>
      <c r="B847" s="104"/>
      <c r="C847" s="31"/>
      <c r="D847" s="30"/>
      <c r="E847" s="30"/>
    </row>
    <row r="848" spans="1:5" x14ac:dyDescent="0.25">
      <c r="A848" s="103"/>
      <c r="B848" s="104"/>
      <c r="C848" s="31"/>
      <c r="D848" s="30"/>
      <c r="E848" s="30"/>
    </row>
    <row r="849" spans="1:5" x14ac:dyDescent="0.25">
      <c r="A849" s="103"/>
      <c r="B849" s="104"/>
      <c r="C849" s="31"/>
      <c r="D849" s="30"/>
      <c r="E849" s="30"/>
    </row>
    <row r="850" spans="1:5" x14ac:dyDescent="0.25">
      <c r="A850" s="103"/>
      <c r="B850" s="104"/>
      <c r="C850" s="31"/>
      <c r="D850" s="30"/>
      <c r="E850" s="30"/>
    </row>
    <row r="851" spans="1:5" x14ac:dyDescent="0.25">
      <c r="A851" s="103"/>
      <c r="B851" s="104"/>
      <c r="C851" s="31"/>
      <c r="D851" s="30"/>
      <c r="E851" s="30"/>
    </row>
    <row r="852" spans="1:5" x14ac:dyDescent="0.25">
      <c r="A852" s="103"/>
      <c r="B852" s="104"/>
      <c r="C852" s="31"/>
      <c r="D852" s="30"/>
      <c r="E852" s="30"/>
    </row>
    <row r="853" spans="1:5" x14ac:dyDescent="0.25">
      <c r="A853" s="103"/>
      <c r="B853" s="104"/>
      <c r="C853" s="31"/>
      <c r="D853" s="30"/>
      <c r="E853" s="30"/>
    </row>
    <row r="854" spans="1:5" x14ac:dyDescent="0.25">
      <c r="A854" s="103"/>
      <c r="B854" s="104"/>
      <c r="C854" s="31"/>
      <c r="D854" s="30"/>
      <c r="E854" s="30"/>
    </row>
    <row r="855" spans="1:5" x14ac:dyDescent="0.25">
      <c r="A855" s="103"/>
      <c r="B855" s="104"/>
      <c r="C855" s="31"/>
      <c r="D855" s="30"/>
      <c r="E855" s="30"/>
    </row>
    <row r="856" spans="1:5" x14ac:dyDescent="0.25">
      <c r="A856" s="103"/>
      <c r="B856" s="104"/>
      <c r="C856" s="31"/>
      <c r="D856" s="30"/>
      <c r="E856" s="30"/>
    </row>
    <row r="857" spans="1:5" x14ac:dyDescent="0.25">
      <c r="A857" s="103"/>
      <c r="B857" s="104"/>
      <c r="C857" s="31"/>
      <c r="D857" s="30"/>
      <c r="E857" s="30"/>
    </row>
    <row r="858" spans="1:5" x14ac:dyDescent="0.25">
      <c r="A858" s="103"/>
      <c r="B858" s="104"/>
      <c r="C858" s="31"/>
      <c r="D858" s="30"/>
      <c r="E858" s="30"/>
    </row>
    <row r="859" spans="1:5" x14ac:dyDescent="0.25">
      <c r="A859" s="103"/>
      <c r="B859" s="104"/>
      <c r="C859" s="31"/>
      <c r="D859" s="30"/>
      <c r="E859" s="30"/>
    </row>
    <row r="860" spans="1:5" x14ac:dyDescent="0.25">
      <c r="A860" s="103"/>
      <c r="B860" s="104"/>
      <c r="C860" s="31"/>
      <c r="D860" s="30"/>
      <c r="E860" s="30"/>
    </row>
    <row r="861" spans="1:5" x14ac:dyDescent="0.25">
      <c r="A861" s="103"/>
      <c r="B861" s="104"/>
      <c r="C861" s="31"/>
      <c r="D861" s="30"/>
      <c r="E861" s="30"/>
    </row>
    <row r="862" spans="1:5" x14ac:dyDescent="0.25">
      <c r="A862" s="103"/>
      <c r="B862" s="104"/>
      <c r="C862" s="31"/>
      <c r="D862" s="30"/>
      <c r="E862" s="30"/>
    </row>
    <row r="863" spans="1:5" x14ac:dyDescent="0.25">
      <c r="A863" s="103"/>
      <c r="B863" s="104"/>
      <c r="C863" s="31"/>
      <c r="D863" s="30"/>
      <c r="E863" s="30"/>
    </row>
    <row r="864" spans="1:5" x14ac:dyDescent="0.25">
      <c r="A864" s="103"/>
      <c r="B864" s="104"/>
      <c r="C864" s="31"/>
      <c r="D864" s="30"/>
      <c r="E864" s="30"/>
    </row>
    <row r="865" spans="1:5" x14ac:dyDescent="0.25">
      <c r="A865" s="103"/>
      <c r="B865" s="104"/>
      <c r="C865" s="31"/>
      <c r="D865" s="30"/>
      <c r="E865" s="30"/>
    </row>
    <row r="866" spans="1:5" x14ac:dyDescent="0.25">
      <c r="A866" s="103"/>
      <c r="B866" s="104"/>
      <c r="C866" s="31"/>
      <c r="D866" s="30"/>
      <c r="E866" s="30"/>
    </row>
    <row r="867" spans="1:5" x14ac:dyDescent="0.25">
      <c r="A867" s="103"/>
      <c r="B867" s="104"/>
      <c r="C867" s="31"/>
      <c r="D867" s="30"/>
      <c r="E867" s="30"/>
    </row>
    <row r="868" spans="1:5" x14ac:dyDescent="0.25">
      <c r="A868" s="103"/>
      <c r="B868" s="104"/>
      <c r="C868" s="31"/>
      <c r="D868" s="30"/>
      <c r="E868" s="30"/>
    </row>
    <row r="869" spans="1:5" x14ac:dyDescent="0.25">
      <c r="A869" s="103"/>
      <c r="B869" s="104"/>
      <c r="C869" s="31"/>
      <c r="D869" s="30"/>
      <c r="E869" s="30"/>
    </row>
    <row r="870" spans="1:5" x14ac:dyDescent="0.25">
      <c r="A870" s="103"/>
      <c r="B870" s="104"/>
      <c r="C870" s="31"/>
      <c r="D870" s="30"/>
      <c r="E870" s="30"/>
    </row>
    <row r="871" spans="1:5" x14ac:dyDescent="0.25">
      <c r="A871" s="103"/>
      <c r="B871" s="104"/>
      <c r="C871" s="31"/>
      <c r="D871" s="30"/>
      <c r="E871" s="30"/>
    </row>
    <row r="872" spans="1:5" x14ac:dyDescent="0.25">
      <c r="A872" s="103"/>
      <c r="B872" s="104"/>
      <c r="C872" s="31"/>
      <c r="D872" s="30"/>
      <c r="E872" s="30"/>
    </row>
    <row r="873" spans="1:5" x14ac:dyDescent="0.25">
      <c r="A873" s="103"/>
      <c r="B873" s="104"/>
      <c r="C873" s="31"/>
      <c r="D873" s="30"/>
      <c r="E873" s="30"/>
    </row>
    <row r="874" spans="1:5" x14ac:dyDescent="0.25">
      <c r="A874" s="103"/>
      <c r="B874" s="104"/>
      <c r="C874" s="31"/>
      <c r="D874" s="30"/>
      <c r="E874" s="30"/>
    </row>
    <row r="875" spans="1:5" x14ac:dyDescent="0.25">
      <c r="A875" s="103"/>
      <c r="B875" s="104"/>
      <c r="C875" s="31"/>
      <c r="D875" s="30"/>
      <c r="E875" s="30"/>
    </row>
    <row r="876" spans="1:5" x14ac:dyDescent="0.25">
      <c r="A876" s="103"/>
      <c r="B876" s="104"/>
      <c r="C876" s="31"/>
      <c r="D876" s="30"/>
      <c r="E876" s="30"/>
    </row>
    <row r="877" spans="1:5" x14ac:dyDescent="0.25">
      <c r="A877" s="103"/>
      <c r="B877" s="104"/>
      <c r="C877" s="31"/>
      <c r="D877" s="30"/>
      <c r="E877" s="30"/>
    </row>
    <row r="878" spans="1:5" x14ac:dyDescent="0.25">
      <c r="A878" s="103"/>
      <c r="B878" s="104"/>
      <c r="C878" s="31"/>
      <c r="D878" s="30"/>
      <c r="E878" s="30"/>
    </row>
    <row r="879" spans="1:5" x14ac:dyDescent="0.25">
      <c r="A879" s="103"/>
      <c r="B879" s="104"/>
      <c r="C879" s="31"/>
      <c r="D879" s="30"/>
      <c r="E879" s="30"/>
    </row>
    <row r="880" spans="1:5" x14ac:dyDescent="0.25">
      <c r="A880" s="103"/>
      <c r="B880" s="104"/>
      <c r="C880" s="31"/>
      <c r="D880" s="30"/>
      <c r="E880" s="30"/>
    </row>
    <row r="881" spans="1:5" x14ac:dyDescent="0.25">
      <c r="A881" s="103"/>
      <c r="B881" s="104"/>
      <c r="C881" s="31"/>
      <c r="D881" s="30"/>
      <c r="E881" s="30"/>
    </row>
    <row r="882" spans="1:5" x14ac:dyDescent="0.25">
      <c r="A882" s="103"/>
      <c r="B882" s="104"/>
      <c r="C882" s="31"/>
      <c r="D882" s="30"/>
      <c r="E882" s="30"/>
    </row>
    <row r="883" spans="1:5" x14ac:dyDescent="0.25">
      <c r="A883" s="103"/>
      <c r="B883" s="104"/>
      <c r="C883" s="31"/>
      <c r="D883" s="30"/>
      <c r="E883" s="30"/>
    </row>
    <row r="884" spans="1:5" x14ac:dyDescent="0.25">
      <c r="A884" s="103"/>
      <c r="B884" s="104"/>
      <c r="C884" s="31"/>
      <c r="D884" s="30"/>
      <c r="E884" s="30"/>
    </row>
    <row r="885" spans="1:5" x14ac:dyDescent="0.25">
      <c r="A885" s="103"/>
      <c r="B885" s="104"/>
      <c r="C885" s="31"/>
      <c r="D885" s="30"/>
      <c r="E885" s="30"/>
    </row>
    <row r="886" spans="1:5" x14ac:dyDescent="0.25">
      <c r="A886" s="103"/>
      <c r="B886" s="104"/>
      <c r="C886" s="31"/>
      <c r="D886" s="30"/>
      <c r="E886" s="30"/>
    </row>
    <row r="887" spans="1:5" x14ac:dyDescent="0.25">
      <c r="A887" s="103"/>
      <c r="B887" s="104"/>
      <c r="C887" s="31"/>
      <c r="D887" s="30"/>
      <c r="E887" s="30"/>
    </row>
    <row r="888" spans="1:5" x14ac:dyDescent="0.25">
      <c r="A888" s="103"/>
      <c r="B888" s="104"/>
      <c r="C888" s="31"/>
      <c r="D888" s="30"/>
      <c r="E888" s="30"/>
    </row>
    <row r="889" spans="1:5" x14ac:dyDescent="0.25">
      <c r="A889" s="103"/>
      <c r="B889" s="104"/>
      <c r="C889" s="31"/>
      <c r="D889" s="30"/>
      <c r="E889" s="30"/>
    </row>
    <row r="890" spans="1:5" x14ac:dyDescent="0.25">
      <c r="A890" s="103"/>
      <c r="B890" s="104"/>
      <c r="C890" s="31"/>
      <c r="D890" s="30"/>
      <c r="E890" s="30"/>
    </row>
    <row r="891" spans="1:5" x14ac:dyDescent="0.25">
      <c r="A891" s="103"/>
      <c r="B891" s="104"/>
      <c r="C891" s="31"/>
      <c r="D891" s="30"/>
      <c r="E891" s="30"/>
    </row>
    <row r="892" spans="1:5" x14ac:dyDescent="0.25">
      <c r="A892" s="103"/>
      <c r="B892" s="104"/>
      <c r="C892" s="31"/>
      <c r="D892" s="30"/>
      <c r="E892" s="30"/>
    </row>
    <row r="893" spans="1:5" x14ac:dyDescent="0.25">
      <c r="A893" s="103"/>
      <c r="B893" s="104"/>
      <c r="C893" s="31"/>
      <c r="D893" s="30"/>
      <c r="E893" s="30"/>
    </row>
    <row r="894" spans="1:5" x14ac:dyDescent="0.25">
      <c r="A894" s="103"/>
      <c r="B894" s="104"/>
      <c r="C894" s="31"/>
      <c r="D894" s="30"/>
      <c r="E894" s="30"/>
    </row>
    <row r="895" spans="1:5" x14ac:dyDescent="0.25">
      <c r="A895" s="103"/>
      <c r="B895" s="104"/>
      <c r="C895" s="31"/>
      <c r="D895" s="30"/>
      <c r="E895" s="30"/>
    </row>
    <row r="896" spans="1:5" x14ac:dyDescent="0.25">
      <c r="A896" s="103"/>
      <c r="B896" s="104"/>
      <c r="C896" s="31"/>
      <c r="D896" s="30"/>
      <c r="E896" s="30"/>
    </row>
    <row r="897" spans="1:5" x14ac:dyDescent="0.25">
      <c r="A897" s="103"/>
      <c r="B897" s="104"/>
      <c r="C897" s="31"/>
      <c r="D897" s="30"/>
      <c r="E897" s="30"/>
    </row>
    <row r="898" spans="1:5" x14ac:dyDescent="0.25">
      <c r="A898" s="103"/>
      <c r="B898" s="104"/>
      <c r="C898" s="31"/>
      <c r="D898" s="30"/>
      <c r="E898" s="30"/>
    </row>
    <row r="899" spans="1:5" x14ac:dyDescent="0.25">
      <c r="A899" s="103"/>
      <c r="B899" s="104"/>
      <c r="C899" s="31"/>
      <c r="D899" s="30"/>
      <c r="E899" s="30"/>
    </row>
    <row r="900" spans="1:5" x14ac:dyDescent="0.25">
      <c r="A900" s="103"/>
      <c r="B900" s="104"/>
      <c r="C900" s="31"/>
      <c r="D900" s="30"/>
      <c r="E900" s="30"/>
    </row>
    <row r="901" spans="1:5" x14ac:dyDescent="0.25">
      <c r="A901" s="103"/>
      <c r="B901" s="104"/>
      <c r="C901" s="31"/>
      <c r="D901" s="30"/>
      <c r="E901" s="30"/>
    </row>
    <row r="902" spans="1:5" x14ac:dyDescent="0.25">
      <c r="A902" s="103"/>
      <c r="B902" s="104"/>
      <c r="C902" s="31"/>
      <c r="D902" s="30"/>
      <c r="E902" s="30"/>
    </row>
    <row r="903" spans="1:5" x14ac:dyDescent="0.25">
      <c r="A903" s="103"/>
      <c r="B903" s="104"/>
      <c r="C903" s="31"/>
      <c r="D903" s="30"/>
      <c r="E903" s="30"/>
    </row>
    <row r="904" spans="1:5" x14ac:dyDescent="0.25">
      <c r="A904" s="103"/>
      <c r="B904" s="104"/>
      <c r="C904" s="31"/>
      <c r="D904" s="30"/>
      <c r="E904" s="30"/>
    </row>
    <row r="905" spans="1:5" x14ac:dyDescent="0.25">
      <c r="A905" s="103"/>
      <c r="B905" s="104"/>
      <c r="C905" s="31"/>
      <c r="D905" s="30"/>
      <c r="E905" s="30"/>
    </row>
    <row r="906" spans="1:5" x14ac:dyDescent="0.25">
      <c r="A906" s="103"/>
      <c r="B906" s="104"/>
      <c r="C906" s="31"/>
      <c r="D906" s="30"/>
      <c r="E906" s="30"/>
    </row>
    <row r="907" spans="1:5" x14ac:dyDescent="0.25">
      <c r="A907" s="103"/>
      <c r="B907" s="104"/>
      <c r="C907" s="31"/>
      <c r="D907" s="30"/>
      <c r="E907" s="30"/>
    </row>
    <row r="908" spans="1:5" x14ac:dyDescent="0.25">
      <c r="A908" s="103"/>
      <c r="B908" s="104"/>
      <c r="C908" s="31"/>
      <c r="D908" s="30"/>
      <c r="E908" s="30"/>
    </row>
    <row r="909" spans="1:5" x14ac:dyDescent="0.25">
      <c r="A909" s="103"/>
      <c r="B909" s="104"/>
      <c r="C909" s="31"/>
      <c r="D909" s="30"/>
      <c r="E909" s="30"/>
    </row>
    <row r="910" spans="1:5" x14ac:dyDescent="0.25">
      <c r="A910" s="103"/>
      <c r="B910" s="104"/>
      <c r="C910" s="31"/>
      <c r="D910" s="30"/>
      <c r="E910" s="30"/>
    </row>
    <row r="911" spans="1:5" x14ac:dyDescent="0.25">
      <c r="A911" s="103"/>
      <c r="B911" s="104"/>
      <c r="C911" s="31"/>
      <c r="D911" s="30"/>
      <c r="E911" s="30"/>
    </row>
    <row r="912" spans="1:5" x14ac:dyDescent="0.25">
      <c r="A912" s="103"/>
      <c r="B912" s="104"/>
      <c r="C912" s="31"/>
      <c r="D912" s="30"/>
      <c r="E912" s="30"/>
    </row>
    <row r="913" spans="1:5" x14ac:dyDescent="0.25">
      <c r="A913" s="103"/>
      <c r="B913" s="104"/>
      <c r="C913" s="31"/>
      <c r="D913" s="30"/>
      <c r="E913" s="30"/>
    </row>
    <row r="914" spans="1:5" x14ac:dyDescent="0.25">
      <c r="A914" s="103"/>
      <c r="B914" s="104"/>
      <c r="C914" s="31"/>
      <c r="D914" s="30"/>
      <c r="E914" s="30"/>
    </row>
    <row r="915" spans="1:5" x14ac:dyDescent="0.25">
      <c r="A915" s="103"/>
      <c r="B915" s="104"/>
      <c r="C915" s="31"/>
      <c r="D915" s="30"/>
      <c r="E915" s="30"/>
    </row>
    <row r="916" spans="1:5" x14ac:dyDescent="0.25">
      <c r="A916" s="103"/>
      <c r="B916" s="104"/>
      <c r="C916" s="31"/>
      <c r="D916" s="30"/>
      <c r="E916" s="30"/>
    </row>
    <row r="917" spans="1:5" x14ac:dyDescent="0.25">
      <c r="A917" s="103"/>
      <c r="B917" s="104"/>
      <c r="C917" s="31"/>
      <c r="D917" s="30"/>
      <c r="E917" s="30"/>
    </row>
    <row r="918" spans="1:5" x14ac:dyDescent="0.25">
      <c r="A918" s="103"/>
      <c r="B918" s="104"/>
      <c r="C918" s="31"/>
      <c r="D918" s="30"/>
      <c r="E918" s="30"/>
    </row>
    <row r="919" spans="1:5" x14ac:dyDescent="0.25">
      <c r="A919" s="103"/>
      <c r="B919" s="104"/>
      <c r="C919" s="31"/>
      <c r="D919" s="30"/>
      <c r="E919" s="30"/>
    </row>
    <row r="920" spans="1:5" x14ac:dyDescent="0.25">
      <c r="A920" s="103"/>
      <c r="B920" s="104"/>
      <c r="C920" s="31"/>
      <c r="D920" s="30"/>
      <c r="E920" s="30"/>
    </row>
    <row r="921" spans="1:5" x14ac:dyDescent="0.25">
      <c r="A921" s="103"/>
      <c r="B921" s="104"/>
      <c r="C921" s="31"/>
      <c r="D921" s="30"/>
      <c r="E921" s="30"/>
    </row>
    <row r="922" spans="1:5" x14ac:dyDescent="0.25">
      <c r="A922" s="103"/>
      <c r="B922" s="104"/>
      <c r="C922" s="31"/>
      <c r="D922" s="30"/>
      <c r="E922" s="30"/>
    </row>
    <row r="923" spans="1:5" x14ac:dyDescent="0.25">
      <c r="A923" s="103"/>
      <c r="B923" s="104"/>
      <c r="C923" s="31"/>
      <c r="D923" s="30"/>
      <c r="E923" s="30"/>
    </row>
    <row r="924" spans="1:5" x14ac:dyDescent="0.25">
      <c r="A924" s="103"/>
      <c r="B924" s="104"/>
      <c r="C924" s="31"/>
      <c r="D924" s="30"/>
      <c r="E924" s="30"/>
    </row>
    <row r="925" spans="1:5" x14ac:dyDescent="0.25">
      <c r="A925" s="103"/>
      <c r="B925" s="104"/>
      <c r="C925" s="31"/>
      <c r="D925" s="30"/>
      <c r="E925" s="30"/>
    </row>
    <row r="926" spans="1:5" x14ac:dyDescent="0.25">
      <c r="A926" s="103"/>
      <c r="B926" s="104"/>
      <c r="C926" s="31"/>
      <c r="D926" s="30"/>
      <c r="E926" s="30"/>
    </row>
    <row r="927" spans="1:5" x14ac:dyDescent="0.25">
      <c r="A927" s="103"/>
      <c r="B927" s="104"/>
      <c r="C927" s="31"/>
      <c r="D927" s="30"/>
      <c r="E927" s="30"/>
    </row>
    <row r="928" spans="1:5" x14ac:dyDescent="0.25">
      <c r="A928" s="103"/>
      <c r="B928" s="104"/>
      <c r="C928" s="31"/>
      <c r="D928" s="30"/>
      <c r="E928" s="30"/>
    </row>
    <row r="929" spans="1:5" x14ac:dyDescent="0.25">
      <c r="A929" s="103"/>
      <c r="B929" s="104"/>
      <c r="C929" s="31"/>
      <c r="D929" s="30"/>
      <c r="E929" s="30"/>
    </row>
    <row r="930" spans="1:5" x14ac:dyDescent="0.25">
      <c r="A930" s="103"/>
      <c r="B930" s="104"/>
      <c r="C930" s="31"/>
      <c r="D930" s="30"/>
      <c r="E930" s="30"/>
    </row>
    <row r="931" spans="1:5" x14ac:dyDescent="0.25">
      <c r="A931" s="103"/>
      <c r="B931" s="104"/>
      <c r="C931" s="31"/>
      <c r="D931" s="30"/>
      <c r="E931" s="30"/>
    </row>
    <row r="932" spans="1:5" x14ac:dyDescent="0.25">
      <c r="A932" s="103"/>
      <c r="B932" s="104"/>
      <c r="C932" s="31"/>
      <c r="D932" s="30"/>
      <c r="E932" s="30"/>
    </row>
    <row r="933" spans="1:5" x14ac:dyDescent="0.25">
      <c r="A933" s="103"/>
      <c r="B933" s="104"/>
      <c r="C933" s="31"/>
      <c r="D933" s="30"/>
      <c r="E933" s="30"/>
    </row>
    <row r="934" spans="1:5" x14ac:dyDescent="0.25">
      <c r="A934" s="103"/>
      <c r="B934" s="104"/>
      <c r="C934" s="31"/>
      <c r="D934" s="30"/>
      <c r="E934" s="30"/>
    </row>
    <row r="935" spans="1:5" x14ac:dyDescent="0.25">
      <c r="A935" s="103"/>
      <c r="B935" s="104"/>
      <c r="C935" s="31"/>
      <c r="D935" s="30"/>
      <c r="E935" s="30"/>
    </row>
    <row r="936" spans="1:5" x14ac:dyDescent="0.25">
      <c r="A936" s="103"/>
      <c r="B936" s="104"/>
      <c r="C936" s="31"/>
      <c r="D936" s="30"/>
      <c r="E936" s="30"/>
    </row>
    <row r="937" spans="1:5" x14ac:dyDescent="0.25">
      <c r="A937" s="103"/>
      <c r="B937" s="104"/>
      <c r="C937" s="31"/>
      <c r="D937" s="30"/>
      <c r="E937" s="30"/>
    </row>
    <row r="938" spans="1:5" x14ac:dyDescent="0.25">
      <c r="A938" s="103"/>
      <c r="B938" s="104"/>
      <c r="C938" s="31"/>
      <c r="D938" s="30"/>
      <c r="E938" s="30"/>
    </row>
    <row r="939" spans="1:5" x14ac:dyDescent="0.25">
      <c r="A939" s="103"/>
      <c r="B939" s="104"/>
      <c r="C939" s="31"/>
      <c r="D939" s="30"/>
      <c r="E939" s="30"/>
    </row>
    <row r="940" spans="1:5" x14ac:dyDescent="0.25">
      <c r="A940" s="103"/>
      <c r="B940" s="104"/>
      <c r="C940" s="31"/>
      <c r="D940" s="30"/>
      <c r="E940" s="30"/>
    </row>
    <row r="941" spans="1:5" x14ac:dyDescent="0.25">
      <c r="A941" s="103"/>
      <c r="B941" s="104"/>
      <c r="C941" s="31"/>
      <c r="D941" s="30"/>
      <c r="E941" s="30"/>
    </row>
    <row r="942" spans="1:5" x14ac:dyDescent="0.25">
      <c r="A942" s="103"/>
      <c r="B942" s="104"/>
      <c r="C942" s="31"/>
      <c r="D942" s="30"/>
      <c r="E942" s="30"/>
    </row>
    <row r="943" spans="1:5" x14ac:dyDescent="0.25">
      <c r="A943" s="103"/>
      <c r="B943" s="104"/>
      <c r="C943" s="31"/>
      <c r="D943" s="30"/>
      <c r="E943" s="30"/>
    </row>
    <row r="944" spans="1:5" x14ac:dyDescent="0.25">
      <c r="A944" s="103"/>
      <c r="B944" s="104"/>
      <c r="C944" s="31"/>
      <c r="D944" s="30"/>
      <c r="E944" s="30"/>
    </row>
    <row r="945" spans="1:5" x14ac:dyDescent="0.25">
      <c r="A945" s="103"/>
      <c r="B945" s="104"/>
      <c r="C945" s="31"/>
      <c r="D945" s="30"/>
      <c r="E945" s="30"/>
    </row>
    <row r="946" spans="1:5" x14ac:dyDescent="0.25">
      <c r="A946" s="103"/>
      <c r="B946" s="104"/>
      <c r="C946" s="31"/>
      <c r="D946" s="30"/>
      <c r="E946" s="30"/>
    </row>
    <row r="947" spans="1:5" x14ac:dyDescent="0.25">
      <c r="A947" s="103"/>
      <c r="B947" s="104"/>
      <c r="C947" s="31"/>
      <c r="D947" s="30"/>
      <c r="E947" s="30"/>
    </row>
    <row r="948" spans="1:5" x14ac:dyDescent="0.25">
      <c r="A948" s="103"/>
      <c r="B948" s="104"/>
      <c r="C948" s="31"/>
      <c r="D948" s="30"/>
      <c r="E948" s="30"/>
    </row>
    <row r="949" spans="1:5" x14ac:dyDescent="0.25">
      <c r="A949" s="103"/>
      <c r="B949" s="104"/>
      <c r="C949" s="31"/>
      <c r="D949" s="30"/>
      <c r="E949" s="30"/>
    </row>
    <row r="950" spans="1:5" x14ac:dyDescent="0.25">
      <c r="A950" s="103"/>
      <c r="B950" s="104"/>
      <c r="C950" s="31"/>
      <c r="D950" s="30"/>
      <c r="E950" s="30"/>
    </row>
    <row r="951" spans="1:5" x14ac:dyDescent="0.25">
      <c r="A951" s="103"/>
      <c r="B951" s="104"/>
      <c r="C951" s="31"/>
      <c r="D951" s="30"/>
      <c r="E951" s="30"/>
    </row>
    <row r="952" spans="1:5" x14ac:dyDescent="0.25">
      <c r="A952" s="103"/>
      <c r="B952" s="104"/>
      <c r="C952" s="31"/>
      <c r="D952" s="30"/>
      <c r="E952" s="30"/>
    </row>
    <row r="953" spans="1:5" x14ac:dyDescent="0.25">
      <c r="A953" s="103"/>
      <c r="B953" s="104"/>
      <c r="C953" s="31"/>
      <c r="D953" s="30"/>
      <c r="E953" s="30"/>
    </row>
    <row r="954" spans="1:5" x14ac:dyDescent="0.25">
      <c r="A954" s="103"/>
      <c r="B954" s="104"/>
      <c r="C954" s="31"/>
      <c r="D954" s="30"/>
      <c r="E954" s="30"/>
    </row>
    <row r="955" spans="1:5" x14ac:dyDescent="0.25">
      <c r="A955" s="103"/>
      <c r="B955" s="104"/>
      <c r="C955" s="31"/>
      <c r="D955" s="30"/>
      <c r="E955" s="30"/>
    </row>
    <row r="956" spans="1:5" x14ac:dyDescent="0.25">
      <c r="A956" s="103"/>
      <c r="B956" s="104"/>
      <c r="C956" s="31"/>
      <c r="D956" s="30"/>
      <c r="E956" s="30"/>
    </row>
    <row r="957" spans="1:5" x14ac:dyDescent="0.25">
      <c r="A957" s="103"/>
      <c r="B957" s="104"/>
      <c r="C957" s="31"/>
      <c r="D957" s="30"/>
      <c r="E957" s="30"/>
    </row>
    <row r="958" spans="1:5" x14ac:dyDescent="0.25">
      <c r="A958" s="103"/>
      <c r="B958" s="104"/>
      <c r="C958" s="31"/>
      <c r="D958" s="30"/>
      <c r="E958" s="30"/>
    </row>
    <row r="959" spans="1:5" x14ac:dyDescent="0.25">
      <c r="A959" s="103"/>
      <c r="B959" s="104"/>
      <c r="C959" s="31"/>
      <c r="D959" s="30"/>
      <c r="E959" s="30"/>
    </row>
    <row r="960" spans="1:5" x14ac:dyDescent="0.25">
      <c r="A960" s="103"/>
      <c r="B960" s="104"/>
      <c r="C960" s="31"/>
      <c r="D960" s="30"/>
      <c r="E960" s="30"/>
    </row>
    <row r="961" spans="1:5" x14ac:dyDescent="0.25">
      <c r="A961" s="103"/>
      <c r="B961" s="104"/>
      <c r="C961" s="31"/>
      <c r="D961" s="30"/>
      <c r="E961" s="30"/>
    </row>
    <row r="962" spans="1:5" x14ac:dyDescent="0.25">
      <c r="A962" s="103"/>
      <c r="B962" s="104"/>
      <c r="C962" s="31"/>
      <c r="D962" s="30"/>
      <c r="E962" s="30"/>
    </row>
    <row r="963" spans="1:5" x14ac:dyDescent="0.25">
      <c r="A963" s="103"/>
      <c r="B963" s="104"/>
      <c r="C963" s="31"/>
      <c r="D963" s="30"/>
      <c r="E963" s="30"/>
    </row>
    <row r="964" spans="1:5" x14ac:dyDescent="0.25">
      <c r="A964" s="103"/>
      <c r="B964" s="104"/>
      <c r="C964" s="31"/>
      <c r="D964" s="30"/>
      <c r="E964" s="30"/>
    </row>
    <row r="965" spans="1:5" x14ac:dyDescent="0.25">
      <c r="A965" s="103"/>
      <c r="B965" s="104"/>
      <c r="C965" s="31"/>
      <c r="D965" s="30"/>
      <c r="E965" s="30"/>
    </row>
    <row r="966" spans="1:5" x14ac:dyDescent="0.25">
      <c r="A966" s="103"/>
      <c r="B966" s="104"/>
      <c r="C966" s="31"/>
      <c r="D966" s="30"/>
      <c r="E966" s="30"/>
    </row>
    <row r="967" spans="1:5" x14ac:dyDescent="0.25">
      <c r="A967" s="103"/>
      <c r="B967" s="104"/>
      <c r="C967" s="31"/>
      <c r="D967" s="30"/>
      <c r="E967" s="30"/>
    </row>
    <row r="968" spans="1:5" x14ac:dyDescent="0.25">
      <c r="A968" s="103"/>
      <c r="B968" s="104"/>
      <c r="C968" s="31"/>
      <c r="D968" s="30"/>
      <c r="E968" s="30"/>
    </row>
    <row r="969" spans="1:5" x14ac:dyDescent="0.25">
      <c r="A969" s="103"/>
      <c r="B969" s="104"/>
      <c r="C969" s="31"/>
      <c r="D969" s="30"/>
      <c r="E969" s="30"/>
    </row>
    <row r="970" spans="1:5" x14ac:dyDescent="0.25">
      <c r="A970" s="103"/>
      <c r="B970" s="104"/>
      <c r="C970" s="31"/>
      <c r="D970" s="30"/>
      <c r="E970" s="30"/>
    </row>
    <row r="971" spans="1:5" x14ac:dyDescent="0.25">
      <c r="A971" s="103"/>
      <c r="B971" s="104"/>
      <c r="C971" s="31"/>
      <c r="D971" s="30"/>
      <c r="E971" s="30"/>
    </row>
    <row r="972" spans="1:5" x14ac:dyDescent="0.25">
      <c r="A972" s="103"/>
      <c r="B972" s="104"/>
      <c r="C972" s="31"/>
      <c r="D972" s="30"/>
      <c r="E972" s="30"/>
    </row>
    <row r="973" spans="1:5" x14ac:dyDescent="0.25">
      <c r="A973" s="103"/>
      <c r="B973" s="104"/>
      <c r="C973" s="31"/>
      <c r="D973" s="30"/>
      <c r="E973" s="30"/>
    </row>
    <row r="974" spans="1:5" x14ac:dyDescent="0.25">
      <c r="A974" s="103"/>
      <c r="B974" s="104"/>
      <c r="C974" s="31"/>
      <c r="D974" s="30"/>
      <c r="E974" s="30"/>
    </row>
    <row r="975" spans="1:5" x14ac:dyDescent="0.25">
      <c r="A975" s="103"/>
      <c r="B975" s="104"/>
      <c r="C975" s="31"/>
      <c r="D975" s="30"/>
      <c r="E975" s="30"/>
    </row>
    <row r="976" spans="1:5" x14ac:dyDescent="0.25">
      <c r="A976" s="103"/>
      <c r="B976" s="104"/>
      <c r="C976" s="31"/>
      <c r="D976" s="30"/>
      <c r="E976" s="30"/>
    </row>
    <row r="977" spans="1:5" x14ac:dyDescent="0.25">
      <c r="A977" s="103"/>
      <c r="B977" s="104"/>
      <c r="C977" s="31"/>
      <c r="D977" s="30"/>
      <c r="E977" s="30"/>
    </row>
    <row r="978" spans="1:5" x14ac:dyDescent="0.25">
      <c r="A978" s="103"/>
      <c r="B978" s="104"/>
      <c r="C978" s="31"/>
      <c r="D978" s="30"/>
      <c r="E978" s="30"/>
    </row>
    <row r="979" spans="1:5" x14ac:dyDescent="0.25">
      <c r="A979" s="103"/>
      <c r="B979" s="104"/>
      <c r="C979" s="31"/>
      <c r="D979" s="30"/>
      <c r="E979" s="30"/>
    </row>
    <row r="980" spans="1:5" x14ac:dyDescent="0.25">
      <c r="A980" s="103"/>
      <c r="B980" s="104"/>
      <c r="C980" s="31"/>
      <c r="D980" s="30"/>
      <c r="E980" s="30"/>
    </row>
    <row r="981" spans="1:5" x14ac:dyDescent="0.25">
      <c r="A981" s="103"/>
      <c r="B981" s="104"/>
      <c r="C981" s="31"/>
      <c r="D981" s="30"/>
      <c r="E981" s="30"/>
    </row>
    <row r="982" spans="1:5" x14ac:dyDescent="0.25">
      <c r="A982" s="103"/>
      <c r="B982" s="104"/>
      <c r="C982" s="31"/>
      <c r="D982" s="30"/>
      <c r="E982" s="30"/>
    </row>
    <row r="983" spans="1:5" x14ac:dyDescent="0.25">
      <c r="A983" s="103"/>
      <c r="B983" s="104"/>
      <c r="C983" s="31"/>
      <c r="D983" s="30"/>
      <c r="E983" s="30"/>
    </row>
    <row r="984" spans="1:5" x14ac:dyDescent="0.25">
      <c r="A984" s="103"/>
      <c r="B984" s="104"/>
      <c r="C984" s="31"/>
      <c r="D984" s="30"/>
      <c r="E984" s="30"/>
    </row>
    <row r="985" spans="1:5" x14ac:dyDescent="0.25">
      <c r="A985" s="103"/>
      <c r="B985" s="104"/>
      <c r="C985" s="31"/>
      <c r="D985" s="30"/>
      <c r="E985" s="30"/>
    </row>
    <row r="986" spans="1:5" x14ac:dyDescent="0.25">
      <c r="A986" s="103"/>
      <c r="B986" s="104"/>
      <c r="C986" s="31"/>
      <c r="D986" s="30"/>
      <c r="E986" s="30"/>
    </row>
    <row r="987" spans="1:5" x14ac:dyDescent="0.25">
      <c r="A987" s="103"/>
      <c r="B987" s="104"/>
      <c r="C987" s="31"/>
      <c r="D987" s="30"/>
      <c r="E987" s="30"/>
    </row>
    <row r="988" spans="1:5" x14ac:dyDescent="0.25">
      <c r="A988" s="103"/>
      <c r="B988" s="104"/>
      <c r="C988" s="31"/>
      <c r="D988" s="30"/>
      <c r="E988" s="30"/>
    </row>
    <row r="989" spans="1:5" x14ac:dyDescent="0.25">
      <c r="A989" s="103"/>
      <c r="B989" s="104"/>
      <c r="C989" s="31"/>
      <c r="D989" s="30"/>
      <c r="E989" s="30"/>
    </row>
    <row r="990" spans="1:5" x14ac:dyDescent="0.25">
      <c r="A990" s="103"/>
      <c r="B990" s="104"/>
      <c r="C990" s="31"/>
    </row>
    <row r="991" spans="1:5" x14ac:dyDescent="0.25">
      <c r="A991" s="103"/>
      <c r="B991" s="104"/>
      <c r="C991" s="31"/>
    </row>
    <row r="992" spans="1:5" x14ac:dyDescent="0.25">
      <c r="A992" s="103"/>
      <c r="B992" s="104"/>
      <c r="C992" s="31"/>
    </row>
    <row r="993" spans="1:5" x14ac:dyDescent="0.25">
      <c r="A993" s="103"/>
      <c r="B993" s="104"/>
      <c r="C993" s="31"/>
    </row>
    <row r="994" spans="1:5" x14ac:dyDescent="0.25">
      <c r="A994" s="103"/>
      <c r="B994" s="104"/>
      <c r="C994" s="31"/>
    </row>
    <row r="995" spans="1:5" x14ac:dyDescent="0.25">
      <c r="A995" s="103"/>
      <c r="B995" s="104"/>
      <c r="C995" s="31"/>
    </row>
    <row r="996" spans="1:5" x14ac:dyDescent="0.25">
      <c r="A996" s="103"/>
      <c r="B996" s="104"/>
      <c r="C996" s="31"/>
    </row>
    <row r="997" spans="1:5" x14ac:dyDescent="0.25">
      <c r="A997" s="103"/>
      <c r="B997" s="104"/>
      <c r="C997" s="31"/>
      <c r="D997" s="30"/>
      <c r="E997" s="30"/>
    </row>
    <row r="998" spans="1:5" x14ac:dyDescent="0.25">
      <c r="A998" s="103"/>
      <c r="B998" s="104"/>
      <c r="C998" s="31"/>
      <c r="D998" s="30"/>
      <c r="E998" s="30"/>
    </row>
    <row r="999" spans="1:5" x14ac:dyDescent="0.25">
      <c r="A999" s="103"/>
      <c r="B999" s="104"/>
      <c r="C999" s="31"/>
      <c r="D999" s="30"/>
      <c r="E999" s="30"/>
    </row>
    <row r="1000" spans="1:5" x14ac:dyDescent="0.25">
      <c r="A1000" s="103"/>
      <c r="B1000" s="104"/>
      <c r="C1000" s="31"/>
      <c r="D1000" s="30"/>
      <c r="E1000" s="30"/>
    </row>
    <row r="1001" spans="1:5" x14ac:dyDescent="0.25">
      <c r="A1001" s="103"/>
      <c r="B1001" s="104"/>
      <c r="C1001" s="31"/>
    </row>
    <row r="1002" spans="1:5" x14ac:dyDescent="0.25">
      <c r="A1002" s="101"/>
      <c r="B1002" s="102"/>
      <c r="C1002" s="88"/>
      <c r="D1002" s="88"/>
      <c r="E1002" s="88"/>
    </row>
  </sheetData>
  <sheetProtection selectLockedCells="1"/>
  <sortState ref="B2:B1002">
    <sortCondition ref="B1:B1048576"/>
  </sortState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9"/>
  </sheetPr>
  <dimension ref="A1:K1002"/>
  <sheetViews>
    <sheetView zoomScaleNormal="100" workbookViewId="0">
      <selection activeCell="L1" sqref="L1"/>
    </sheetView>
  </sheetViews>
  <sheetFormatPr defaultRowHeight="15" x14ac:dyDescent="0.25"/>
  <cols>
    <col min="1" max="1" width="8.7109375" style="2" customWidth="1"/>
    <col min="2" max="2" width="70.7109375" style="25" customWidth="1"/>
    <col min="3" max="3" width="13.7109375" customWidth="1"/>
    <col min="4" max="4" width="23.7109375" customWidth="1"/>
    <col min="5" max="5" width="9.7109375" customWidth="1"/>
    <col min="6" max="6" width="8.7109375" customWidth="1"/>
    <col min="7" max="7" width="17.7109375" customWidth="1"/>
    <col min="8" max="8" width="19.7109375" customWidth="1"/>
    <col min="9" max="9" width="25.7109375" customWidth="1"/>
    <col min="10" max="10" width="24.7109375" customWidth="1"/>
    <col min="11" max="11" width="29.7109375" style="49" customWidth="1"/>
    <col min="12" max="12" width="15.7109375" customWidth="1"/>
  </cols>
  <sheetData>
    <row r="1" spans="1:11" ht="15.75" x14ac:dyDescent="0.25">
      <c r="A1" s="53" t="s">
        <v>0</v>
      </c>
      <c r="B1" s="1" t="s">
        <v>1</v>
      </c>
      <c r="C1" s="21" t="s">
        <v>2</v>
      </c>
      <c r="D1" s="22" t="s">
        <v>3</v>
      </c>
      <c r="E1" s="22" t="s">
        <v>4</v>
      </c>
      <c r="F1" s="22" t="s">
        <v>5</v>
      </c>
      <c r="G1" s="66" t="s">
        <v>88</v>
      </c>
      <c r="H1" s="66" t="s">
        <v>87</v>
      </c>
      <c r="I1" s="65" t="s">
        <v>86</v>
      </c>
      <c r="J1" s="65" t="s">
        <v>85</v>
      </c>
      <c r="K1" s="69" t="s">
        <v>84</v>
      </c>
    </row>
    <row r="2" spans="1:11" x14ac:dyDescent="0.25">
      <c r="A2" s="2">
        <f t="array" aca="1" ref="A2:A1001" ca="1">Arawdata</f>
        <v>-1.8912123778136447</v>
      </c>
      <c r="B2" s="3">
        <f ca="1">IFERROR((SUM(Adata)/B4),"")</f>
        <v>1.308764012719621E-2</v>
      </c>
      <c r="C2">
        <f t="array" aca="1" ref="C2:C1001" ca="1">(IF(Adata="","",(Adata-$B$2)^2*$B$12))</f>
        <v>3.6263585583294872E-2</v>
      </c>
      <c r="D2">
        <f t="array" aca="1" ref="D2:D1001" ca="1">IF(Adata="", "", ((Adata-$B$2)^2)*$B$16)</f>
        <v>3.6629884427570578E-2</v>
      </c>
      <c r="E2">
        <f t="array" aca="1" ref="E2:E1001" ca="1">IF(Adata="", "", Adata*$B$12)</f>
        <v>-1.8912123778136447E-2</v>
      </c>
      <c r="F2">
        <f t="array" aca="1" ref="F2:F1001" ca="1">IF(Adata="", "", Adata/$B$4)</f>
        <v>-1.8912123778136447E-2</v>
      </c>
      <c r="G2">
        <f t="array" aca="1" ref="G2:G1001" ca="1">NORMDIST(Adata,$B$2,$B$6,FALSE)</f>
        <v>5.130023801469652E-2</v>
      </c>
      <c r="H2">
        <f t="array" aca="1" ref="H2:H1001" ca="1">(Adata-$B$2)/$B$6</f>
        <v>-2.0650155521034406</v>
      </c>
      <c r="I2">
        <f t="array" aca="1" ref="I2:I1001" ca="1">NORMDIST(Adistz,0,1,FALSE)</f>
        <v>4.7307655418017146E-2</v>
      </c>
      <c r="J2">
        <f t="array" aca="1" ref="J2:J1001" ca="1">(Adata-$B$2)/$B$10</f>
        <v>-20.650155521034407</v>
      </c>
      <c r="K2" s="49">
        <f t="array" aca="1" ref="K2:K1001" ca="1">NORMDIST(Asampz,0,1,FALSE)</f>
        <v>1.0070382466379108E-93</v>
      </c>
    </row>
    <row r="3" spans="1:11" ht="15.75" x14ac:dyDescent="0.25">
      <c r="A3" s="2">
        <f ca="1"/>
        <v>-1.7674619812169112</v>
      </c>
      <c r="B3" s="4" t="s">
        <v>6</v>
      </c>
      <c r="C3">
        <f ca="1"/>
        <v>3.1703569540686448E-2</v>
      </c>
      <c r="D3">
        <f ca="1"/>
        <v>3.2023807616854999E-2</v>
      </c>
      <c r="E3">
        <f ca="1"/>
        <v>-1.7674619812169112E-2</v>
      </c>
      <c r="F3">
        <f ca="1"/>
        <v>-1.7674619812169112E-2</v>
      </c>
      <c r="G3">
        <f ca="1"/>
        <v>6.7074567138003527E-2</v>
      </c>
      <c r="H3">
        <f ca="1"/>
        <v>-1.9308211020988919</v>
      </c>
      <c r="I3">
        <f ca="1"/>
        <v>6.1854303844911668E-2</v>
      </c>
      <c r="J3">
        <f ca="1"/>
        <v>-19.308211020988921</v>
      </c>
      <c r="K3" s="49">
        <f ca="1"/>
        <v>4.4350224457093805E-82</v>
      </c>
    </row>
    <row r="4" spans="1:11" x14ac:dyDescent="0.25">
      <c r="A4" s="2">
        <f ca="1"/>
        <v>-1.751277522998862</v>
      </c>
      <c r="B4" s="3">
        <f ca="1">IFERROR(COUNT(Adata),"")</f>
        <v>100</v>
      </c>
      <c r="C4">
        <f ca="1"/>
        <v>3.112984428852842E-2</v>
      </c>
      <c r="D4">
        <f ca="1"/>
        <v>3.1444287160129723E-2</v>
      </c>
      <c r="E4">
        <f ca="1"/>
        <v>-1.751277522998862E-2</v>
      </c>
      <c r="F4">
        <f ca="1"/>
        <v>-1.751277522998862E-2</v>
      </c>
      <c r="G4">
        <f ca="1"/>
        <v>6.9375761449180368E-2</v>
      </c>
      <c r="H4">
        <f ca="1"/>
        <v>-1.9132707383916128</v>
      </c>
      <c r="I4">
        <f ca="1"/>
        <v>6.3976401358218887E-2</v>
      </c>
      <c r="J4">
        <f ca="1"/>
        <v>-19.132707383916127</v>
      </c>
      <c r="K4" s="49">
        <f ca="1"/>
        <v>1.2938509280908309E-80</v>
      </c>
    </row>
    <row r="5" spans="1:11" ht="15.75" x14ac:dyDescent="0.25">
      <c r="A5" s="2">
        <f ca="1"/>
        <v>-1.7099046090152115</v>
      </c>
      <c r="B5" s="4" t="s">
        <v>7</v>
      </c>
      <c r="C5">
        <f ca="1"/>
        <v>2.9687022906048126E-2</v>
      </c>
      <c r="D5">
        <f ca="1"/>
        <v>2.998689182429104E-2</v>
      </c>
      <c r="E5">
        <f ca="1"/>
        <v>-1.7099046090152115E-2</v>
      </c>
      <c r="F5">
        <f ca="1"/>
        <v>-1.7099046090152115E-2</v>
      </c>
      <c r="G5">
        <f ca="1"/>
        <v>7.5517869418956093E-2</v>
      </c>
      <c r="H5">
        <f ca="1"/>
        <v>-1.8684061109656993</v>
      </c>
      <c r="I5">
        <f ca="1"/>
        <v>6.9640482824881181E-2</v>
      </c>
      <c r="J5">
        <f ca="1"/>
        <v>-18.684061109656994</v>
      </c>
      <c r="K5" s="49">
        <f ca="1"/>
        <v>6.252890598801693E-77</v>
      </c>
    </row>
    <row r="6" spans="1:11" x14ac:dyDescent="0.25">
      <c r="A6" s="2">
        <f ca="1"/>
        <v>-1.6104331734823063</v>
      </c>
      <c r="B6" s="3">
        <f ca="1">IFERROR(STDEV(Adata),"")</f>
        <v>0.9221722403015834</v>
      </c>
      <c r="C6">
        <f ca="1"/>
        <v>2.6358198322232611E-2</v>
      </c>
      <c r="D6">
        <f ca="1"/>
        <v>2.6624442749729912E-2</v>
      </c>
      <c r="E6">
        <f ca="1"/>
        <v>-1.6104331734823063E-2</v>
      </c>
      <c r="F6">
        <f ca="1"/>
        <v>-1.6104331734823063E-2</v>
      </c>
      <c r="G6">
        <f ca="1"/>
        <v>9.1843867083500549E-2</v>
      </c>
      <c r="H6">
        <f ca="1"/>
        <v>-1.7605396721533852</v>
      </c>
      <c r="I6">
        <f ca="1"/>
        <v>8.4695864666352552E-2</v>
      </c>
      <c r="J6">
        <f ca="1"/>
        <v>-17.605396721533854</v>
      </c>
      <c r="K6" s="49">
        <f ca="1"/>
        <v>1.9775346232299058E-68</v>
      </c>
    </row>
    <row r="7" spans="1:11" x14ac:dyDescent="0.25">
      <c r="A7" s="2">
        <f ca="1"/>
        <v>-1.5558043742203154</v>
      </c>
      <c r="B7" s="5" t="s">
        <v>8</v>
      </c>
      <c r="C7">
        <f ca="1"/>
        <v>2.4614221526833926E-2</v>
      </c>
      <c r="D7">
        <f ca="1"/>
        <v>2.4862850027104977E-2</v>
      </c>
      <c r="E7">
        <f ca="1"/>
        <v>-1.5558043742203154E-2</v>
      </c>
      <c r="F7">
        <f ca="1"/>
        <v>-1.5558043742203154E-2</v>
      </c>
      <c r="G7">
        <f ca="1"/>
        <v>0.1017611557812841</v>
      </c>
      <c r="H7">
        <f ca="1"/>
        <v>-1.7013004141551991</v>
      </c>
      <c r="I7">
        <f ca="1"/>
        <v>9.3841313002505186E-2</v>
      </c>
      <c r="J7">
        <f ca="1"/>
        <v>-17.013004141551992</v>
      </c>
      <c r="K7" s="49">
        <f ca="1"/>
        <v>5.6144995573033434E-64</v>
      </c>
    </row>
    <row r="8" spans="1:11" x14ac:dyDescent="0.25">
      <c r="A8" s="2">
        <f ca="1"/>
        <v>-1.4577790352632292</v>
      </c>
      <c r="B8" s="3">
        <f ca="1">IFERROR(VAR(Adata),"")</f>
        <v>0.85040164078284131</v>
      </c>
      <c r="C8">
        <f ca="1"/>
        <v>2.163448776774083E-2</v>
      </c>
      <c r="D8">
        <f ca="1"/>
        <v>2.1853017947212963E-2</v>
      </c>
      <c r="E8">
        <f ca="1"/>
        <v>-1.4577790352632292E-2</v>
      </c>
      <c r="F8">
        <f ca="1"/>
        <v>-1.4577790352632292E-2</v>
      </c>
      <c r="G8">
        <f ca="1"/>
        <v>0.12124631415689015</v>
      </c>
      <c r="H8">
        <f ca="1"/>
        <v>-1.5950021168598603</v>
      </c>
      <c r="I8">
        <f ca="1"/>
        <v>0.11180998515436898</v>
      </c>
      <c r="J8">
        <f ca="1"/>
        <v>-15.950021168598605</v>
      </c>
      <c r="K8" s="49">
        <f ca="1"/>
        <v>2.2801449946523084E-56</v>
      </c>
    </row>
    <row r="9" spans="1:11" ht="15.75" x14ac:dyDescent="0.25">
      <c r="A9" s="2">
        <f ca="1"/>
        <v>-1.3973885870655067</v>
      </c>
      <c r="B9" s="4" t="s">
        <v>9</v>
      </c>
      <c r="C9">
        <f ca="1"/>
        <v>1.9894431874757614E-2</v>
      </c>
      <c r="D9">
        <f ca="1"/>
        <v>2.0095385732078402E-2</v>
      </c>
      <c r="E9">
        <f ca="1"/>
        <v>-1.3973885870655067E-2</v>
      </c>
      <c r="F9">
        <f ca="1"/>
        <v>-1.3973885870655067E-2</v>
      </c>
      <c r="G9">
        <f ca="1"/>
        <v>0.13430750942565187</v>
      </c>
      <c r="H9">
        <f ca="1"/>
        <v>-1.5295149491069333</v>
      </c>
      <c r="I9">
        <f ca="1"/>
        <v>0.12385465685637942</v>
      </c>
      <c r="J9">
        <f ca="1"/>
        <v>-15.295149491069333</v>
      </c>
      <c r="K9" s="49">
        <f ca="1"/>
        <v>6.3261214636746082E-52</v>
      </c>
    </row>
    <row r="10" spans="1:11" x14ac:dyDescent="0.25">
      <c r="A10" s="2">
        <f ca="1"/>
        <v>-1.298019469686551</v>
      </c>
      <c r="B10" s="3">
        <f ca="1">IFERROR(B6/SQRT(B4),"")</f>
        <v>9.2217224030158335E-2</v>
      </c>
      <c r="C10">
        <f ca="1"/>
        <v>1.7190018534041573E-2</v>
      </c>
      <c r="D10">
        <f ca="1"/>
        <v>1.7363655084890479E-2</v>
      </c>
      <c r="E10">
        <f ca="1"/>
        <v>-1.298019469686551E-2</v>
      </c>
      <c r="F10">
        <f ca="1"/>
        <v>-1.298019469686551E-2</v>
      </c>
      <c r="G10">
        <f ca="1"/>
        <v>0.15745505000324647</v>
      </c>
      <c r="H10">
        <f ca="1"/>
        <v>-1.4217594637038393</v>
      </c>
      <c r="I10">
        <f ca="1"/>
        <v>0.14520067620829166</v>
      </c>
      <c r="J10">
        <f ca="1"/>
        <v>-14.217594637038394</v>
      </c>
      <c r="K10" s="49">
        <f ca="1"/>
        <v>5.09058125719899E-45</v>
      </c>
    </row>
    <row r="11" spans="1:11" ht="15.75" x14ac:dyDescent="0.25">
      <c r="A11" s="2">
        <f ca="1"/>
        <v>-1.2974851415492594</v>
      </c>
      <c r="B11" s="4" t="s">
        <v>10</v>
      </c>
      <c r="C11">
        <f ca="1"/>
        <v>1.7176010160711627E-2</v>
      </c>
      <c r="D11">
        <f ca="1"/>
        <v>1.7349505212840028E-2</v>
      </c>
      <c r="E11">
        <f ca="1"/>
        <v>-1.2974851415492594E-2</v>
      </c>
      <c r="F11">
        <f ca="1"/>
        <v>-1.2974851415492594E-2</v>
      </c>
      <c r="G11">
        <f ca="1"/>
        <v>0.15758478856474911</v>
      </c>
      <c r="H11">
        <f ca="1"/>
        <v>-1.4211800403445796</v>
      </c>
      <c r="I11">
        <f ca="1"/>
        <v>0.14532031750820601</v>
      </c>
      <c r="J11">
        <f ca="1"/>
        <v>-14.211800403445796</v>
      </c>
      <c r="K11" s="49">
        <f ca="1"/>
        <v>5.527608694308866E-45</v>
      </c>
    </row>
    <row r="12" spans="1:11" x14ac:dyDescent="0.25">
      <c r="A12" s="2">
        <f ca="1"/>
        <v>-1.2217333278385922</v>
      </c>
      <c r="B12" s="3">
        <f ca="1">IFERROR(1/B4,"")</f>
        <v>0.01</v>
      </c>
      <c r="C12">
        <f ca="1"/>
        <v>1.5247828229279668E-2</v>
      </c>
      <c r="D12">
        <f ca="1"/>
        <v>1.540184669624209E-2</v>
      </c>
      <c r="E12">
        <f ca="1"/>
        <v>-1.2217333278385922E-2</v>
      </c>
      <c r="F12">
        <f ca="1"/>
        <v>-1.2217333278385922E-2</v>
      </c>
      <c r="G12">
        <f ca="1"/>
        <v>0.17650206061044829</v>
      </c>
      <c r="H12">
        <f ca="1"/>
        <v>-1.3390350674207647</v>
      </c>
      <c r="I12">
        <f ca="1"/>
        <v>0.16276530065098296</v>
      </c>
      <c r="J12">
        <f ca="1"/>
        <v>-13.390350674207649</v>
      </c>
      <c r="K12" s="49">
        <f ca="1"/>
        <v>4.6353865677622432E-40</v>
      </c>
    </row>
    <row r="13" spans="1:11" ht="15.75" x14ac:dyDescent="0.25">
      <c r="A13" s="2">
        <f ca="1"/>
        <v>-1.194125616166275</v>
      </c>
      <c r="B13" s="4" t="s">
        <v>11</v>
      </c>
      <c r="C13">
        <f ca="1"/>
        <v>1.4573638461706862E-2</v>
      </c>
      <c r="D13">
        <f ca="1"/>
        <v>1.4720846931017034E-2</v>
      </c>
      <c r="E13">
        <f ca="1"/>
        <v>-1.194125616166275E-2</v>
      </c>
      <c r="F13">
        <f ca="1"/>
        <v>-1.194125616166275E-2</v>
      </c>
      <c r="G13">
        <f ca="1"/>
        <v>0.18363903093376444</v>
      </c>
      <c r="H13">
        <f ca="1"/>
        <v>-1.3090973719819079</v>
      </c>
      <c r="I13">
        <f ca="1"/>
        <v>0.16934681656300132</v>
      </c>
      <c r="J13">
        <f ca="1"/>
        <v>-13.090973719819079</v>
      </c>
      <c r="K13" s="49">
        <f ca="1"/>
        <v>2.4412215128865468E-38</v>
      </c>
    </row>
    <row r="14" spans="1:11" x14ac:dyDescent="0.25">
      <c r="A14" s="2">
        <f ca="1"/>
        <v>-1.19194282888202</v>
      </c>
      <c r="B14" s="3">
        <f ca="1">IFERROR(B4/(B4-1),"")</f>
        <v>1.0101010101010102</v>
      </c>
      <c r="C14">
        <f ca="1"/>
        <v>1.4520984312405717E-2</v>
      </c>
      <c r="D14">
        <f ca="1"/>
        <v>1.4667660921621936E-2</v>
      </c>
      <c r="E14">
        <f ca="1"/>
        <v>-1.19194282888202E-2</v>
      </c>
      <c r="F14">
        <f ca="1"/>
        <v>-1.19194282888202E-2</v>
      </c>
      <c r="G14">
        <f ca="1"/>
        <v>0.18420842892976289</v>
      </c>
      <c r="H14">
        <f ca="1"/>
        <v>-1.306730365918549</v>
      </c>
      <c r="I14">
        <f ca="1"/>
        <v>0.16987189958859444</v>
      </c>
      <c r="J14">
        <f ca="1"/>
        <v>-13.067303659185491</v>
      </c>
      <c r="K14" s="49">
        <f ca="1"/>
        <v>3.3270384032884476E-38</v>
      </c>
    </row>
    <row r="15" spans="1:11" ht="15.75" x14ac:dyDescent="0.25">
      <c r="A15" s="2">
        <f ca="1"/>
        <v>-1.1786619324993808</v>
      </c>
      <c r="B15" s="4" t="s">
        <v>12</v>
      </c>
      <c r="C15">
        <f ca="1"/>
        <v>1.4202670438556289E-2</v>
      </c>
      <c r="D15">
        <f ca="1"/>
        <v>1.4346131756117464E-2</v>
      </c>
      <c r="E15">
        <f ca="1"/>
        <v>-1.1786619324993808E-2</v>
      </c>
      <c r="F15">
        <f ca="1"/>
        <v>-1.1786619324993808E-2</v>
      </c>
      <c r="G15">
        <f ca="1"/>
        <v>0.18768844572049487</v>
      </c>
      <c r="H15">
        <f ca="1"/>
        <v>-1.2923286134018002</v>
      </c>
      <c r="I15">
        <f ca="1"/>
        <v>0.1730810744687909</v>
      </c>
      <c r="J15">
        <f ca="1"/>
        <v>-12.923286134018003</v>
      </c>
      <c r="K15" s="49">
        <f ca="1"/>
        <v>2.16203013310015E-37</v>
      </c>
    </row>
    <row r="16" spans="1:11" x14ac:dyDescent="0.25">
      <c r="A16" s="2">
        <f ca="1"/>
        <v>-1.0199573807767592</v>
      </c>
      <c r="B16" s="3">
        <f ca="1">IFERROR(B12*B14,"")</f>
        <v>1.0101010101010102E-2</v>
      </c>
      <c r="C16">
        <f ca="1"/>
        <v>1.0671820152144539E-2</v>
      </c>
      <c r="D16">
        <f ca="1"/>
        <v>1.0779616315297514E-2</v>
      </c>
      <c r="E16">
        <f ca="1"/>
        <v>-1.0199573807767592E-2</v>
      </c>
      <c r="F16">
        <f ca="1"/>
        <v>-1.0199573807767592E-2</v>
      </c>
      <c r="G16">
        <f ca="1"/>
        <v>0.23099183552108221</v>
      </c>
      <c r="H16">
        <f ca="1"/>
        <v>-1.1202300131764025</v>
      </c>
      <c r="I16">
        <f ca="1"/>
        <v>0.21301425845385125</v>
      </c>
      <c r="J16">
        <f ca="1"/>
        <v>-11.202300131764027</v>
      </c>
      <c r="K16" s="49">
        <f ca="1"/>
        <v>2.2426987719389431E-28</v>
      </c>
    </row>
    <row r="17" spans="1:11" ht="15.75" x14ac:dyDescent="0.25">
      <c r="A17" s="2">
        <f ca="1"/>
        <v>-0.98916871138499118</v>
      </c>
      <c r="B17" s="4" t="s">
        <v>26</v>
      </c>
      <c r="C17">
        <f ca="1"/>
        <v>1.0045177941465214E-2</v>
      </c>
      <c r="D17">
        <f ca="1"/>
        <v>1.0146644385318399E-2</v>
      </c>
      <c r="E17">
        <f ca="1"/>
        <v>-9.8916871138499118E-3</v>
      </c>
      <c r="F17">
        <f ca="1"/>
        <v>-9.8916871138499118E-3</v>
      </c>
      <c r="G17">
        <f ca="1"/>
        <v>0.23966120085857121</v>
      </c>
      <c r="H17">
        <f ca="1"/>
        <v>-1.0868428995264634</v>
      </c>
      <c r="I17">
        <f ca="1"/>
        <v>0.22100890650911634</v>
      </c>
      <c r="J17">
        <f ca="1"/>
        <v>-10.868428995264633</v>
      </c>
      <c r="K17" s="49">
        <f ca="1"/>
        <v>8.9306087805615722E-27</v>
      </c>
    </row>
    <row r="18" spans="1:11" x14ac:dyDescent="0.25">
      <c r="A18" s="2">
        <f ca="1"/>
        <v>-0.965490016824333</v>
      </c>
      <c r="B18" s="3">
        <f ca="1">IFERROR(SUM(ACcol),"")</f>
        <v>0.84189762437501292</v>
      </c>
      <c r="C18">
        <f ca="1"/>
        <v>9.5761423068474478E-3</v>
      </c>
      <c r="D18">
        <f ca="1"/>
        <v>9.6728710170176247E-3</v>
      </c>
      <c r="E18">
        <f ca="1"/>
        <v>-9.65490016824333E-3</v>
      </c>
      <c r="F18">
        <f ca="1"/>
        <v>-9.65490016824333E-3</v>
      </c>
      <c r="G18">
        <f ca="1"/>
        <v>0.24636238545637557</v>
      </c>
      <c r="H18">
        <f ca="1"/>
        <v>-1.0611658150016523</v>
      </c>
      <c r="I18">
        <f ca="1"/>
        <v>0.22718855292234807</v>
      </c>
      <c r="J18">
        <f ca="1"/>
        <v>-10.611658150016522</v>
      </c>
      <c r="K18" s="49">
        <f ca="1"/>
        <v>1.4078228671494458E-25</v>
      </c>
    </row>
    <row r="19" spans="1:11" ht="15.75" x14ac:dyDescent="0.25">
      <c r="A19" s="2">
        <f ca="1"/>
        <v>-0.85901547208777629</v>
      </c>
      <c r="B19" s="4" t="s">
        <v>27</v>
      </c>
      <c r="C19">
        <f ca="1"/>
        <v>7.6056383833504092E-3</v>
      </c>
      <c r="D19">
        <f ca="1"/>
        <v>7.6824630134852629E-3</v>
      </c>
      <c r="E19">
        <f ca="1"/>
        <v>-8.5901547208777629E-3</v>
      </c>
      <c r="F19">
        <f ca="1"/>
        <v>-8.5901547208777629E-3</v>
      </c>
      <c r="G19">
        <f ca="1"/>
        <v>0.27662445117806761</v>
      </c>
      <c r="H19">
        <f ca="1"/>
        <v>-0.94570523173606214</v>
      </c>
      <c r="I19">
        <f ca="1"/>
        <v>0.25509538986507463</v>
      </c>
      <c r="J19">
        <f ca="1"/>
        <v>-9.4570523173606222</v>
      </c>
      <c r="K19" s="49">
        <f ca="1"/>
        <v>1.5141346081732991E-20</v>
      </c>
    </row>
    <row r="20" spans="1:11" x14ac:dyDescent="0.25">
      <c r="A20" s="2">
        <f ca="1"/>
        <v>-0.83829036157112569</v>
      </c>
      <c r="B20" s="3">
        <f ca="1">IFERROR(SUM(ADcol),"")</f>
        <v>0.85040164078284142</v>
      </c>
      <c r="C20">
        <f ca="1"/>
        <v>7.2484450177582784E-3</v>
      </c>
      <c r="D20">
        <f ca="1"/>
        <v>7.3216616340992715E-3</v>
      </c>
      <c r="E20">
        <f ca="1"/>
        <v>-8.3829036157112569E-3</v>
      </c>
      <c r="F20">
        <f ca="1"/>
        <v>-8.3829036157112569E-3</v>
      </c>
      <c r="G20">
        <f ca="1"/>
        <v>0.28249539942928614</v>
      </c>
      <c r="H20">
        <f ca="1"/>
        <v>-0.9232310022907334</v>
      </c>
      <c r="I20">
        <f ca="1"/>
        <v>0.26050941536659544</v>
      </c>
      <c r="J20">
        <f ca="1"/>
        <v>-9.2323100229073347</v>
      </c>
      <c r="K20" s="49">
        <f ca="1"/>
        <v>1.2366474566749775E-19</v>
      </c>
    </row>
    <row r="21" spans="1:11" ht="15.75" x14ac:dyDescent="0.25">
      <c r="A21" s="2">
        <f ca="1"/>
        <v>-0.80346694630861748</v>
      </c>
      <c r="B21" s="6" t="s">
        <v>13</v>
      </c>
      <c r="C21">
        <f ca="1"/>
        <v>6.6676139262936279E-3</v>
      </c>
      <c r="D21">
        <f ca="1"/>
        <v>6.7349635619127551E-3</v>
      </c>
      <c r="E21">
        <f ca="1"/>
        <v>-8.0346694630861748E-3</v>
      </c>
      <c r="F21">
        <f ca="1"/>
        <v>-8.0346694630861748E-3</v>
      </c>
      <c r="G21">
        <f ca="1"/>
        <v>0.29230935118477774</v>
      </c>
      <c r="H21">
        <f ca="1"/>
        <v>-0.8854686258705543</v>
      </c>
      <c r="I21">
        <f ca="1"/>
        <v>0.26955956924316882</v>
      </c>
      <c r="J21">
        <f ca="1"/>
        <v>-8.8546862587055433</v>
      </c>
      <c r="K21" s="49">
        <f ca="1"/>
        <v>3.7616540614645657E-18</v>
      </c>
    </row>
    <row r="22" spans="1:11" x14ac:dyDescent="0.25">
      <c r="A22" s="2">
        <f ca="1"/>
        <v>-0.77660615716013126</v>
      </c>
      <c r="B22" s="7">
        <f ca="1">IFERROR((MAX(B18, B20)-MIN(B18, B20))/B8,"")</f>
        <v>1.0000000000000097E-2</v>
      </c>
      <c r="C22">
        <f ca="1"/>
        <v>6.2361629347407865E-3</v>
      </c>
      <c r="D22">
        <f ca="1"/>
        <v>6.2991544795361482E-3</v>
      </c>
      <c r="E22">
        <f ca="1"/>
        <v>-7.7660615716013126E-3</v>
      </c>
      <c r="F22">
        <f ca="1"/>
        <v>-7.7660615716013126E-3</v>
      </c>
      <c r="G22">
        <f ca="1"/>
        <v>0.29981935606014565</v>
      </c>
      <c r="H22">
        <f ca="1"/>
        <v>-0.85634089031900296</v>
      </c>
      <c r="I22">
        <f ca="1"/>
        <v>0.27648508726376264</v>
      </c>
      <c r="J22">
        <f ca="1"/>
        <v>-8.5634089031900302</v>
      </c>
      <c r="K22" s="49">
        <f ca="1"/>
        <v>4.7541695170608687E-17</v>
      </c>
    </row>
    <row r="23" spans="1:11" ht="15.75" x14ac:dyDescent="0.25">
      <c r="A23" s="2">
        <f ca="1"/>
        <v>-0.73697947300388478</v>
      </c>
      <c r="B23" s="4" t="s">
        <v>28</v>
      </c>
      <c r="C23">
        <f ca="1"/>
        <v>5.6260067420079388E-3</v>
      </c>
      <c r="D23">
        <f ca="1"/>
        <v>5.6828350929373122E-3</v>
      </c>
      <c r="E23">
        <f ca="1"/>
        <v>-7.3697947300388478E-3</v>
      </c>
      <c r="F23">
        <f ca="1"/>
        <v>-7.3697947300388478E-3</v>
      </c>
      <c r="G23">
        <f ca="1"/>
        <v>0.31077051197171912</v>
      </c>
      <c r="H23">
        <f ca="1"/>
        <v>-0.81336986774377651</v>
      </c>
      <c r="I23">
        <f ca="1"/>
        <v>0.28658393924463027</v>
      </c>
      <c r="J23">
        <f ca="1"/>
        <v>-8.1336986774377653</v>
      </c>
      <c r="K23" s="49">
        <f ca="1"/>
        <v>1.7182576342189051E-15</v>
      </c>
    </row>
    <row r="24" spans="1:11" x14ac:dyDescent="0.25">
      <c r="A24" s="2">
        <f ca="1"/>
        <v>-0.59565081755863503</v>
      </c>
      <c r="B24" s="3">
        <f ca="1">IFERROR(SQRT(B18),"")</f>
        <v>0.91754979394854252</v>
      </c>
      <c r="C24">
        <f ca="1"/>
        <v>3.7056250986572453E-3</v>
      </c>
      <c r="D24">
        <f ca="1"/>
        <v>3.7430556552093389E-3</v>
      </c>
      <c r="E24">
        <f ca="1"/>
        <v>-5.9565081755863503E-3</v>
      </c>
      <c r="F24">
        <f ca="1"/>
        <v>-5.9565081755863503E-3</v>
      </c>
      <c r="G24">
        <f ca="1"/>
        <v>0.34791737034553705</v>
      </c>
      <c r="H24">
        <f ca="1"/>
        <v>-0.66011362203524138</v>
      </c>
      <c r="I24">
        <f ca="1"/>
        <v>0.32083974085137956</v>
      </c>
      <c r="J24">
        <f ca="1"/>
        <v>-6.6011362203524149</v>
      </c>
      <c r="K24" s="49">
        <f ca="1"/>
        <v>1.3763192104030552E-10</v>
      </c>
    </row>
    <row r="25" spans="1:11" ht="15.75" x14ac:dyDescent="0.25">
      <c r="A25" s="2">
        <f ca="1"/>
        <v>-0.54435076890513301</v>
      </c>
      <c r="B25" s="4" t="s">
        <v>14</v>
      </c>
      <c r="C25">
        <f ca="1"/>
        <v>3.1073757986449435E-3</v>
      </c>
      <c r="D25">
        <f ca="1"/>
        <v>3.1387634329746905E-3</v>
      </c>
      <c r="E25">
        <f ca="1"/>
        <v>-5.4435076890513301E-3</v>
      </c>
      <c r="F25">
        <f ca="1"/>
        <v>-5.4435076890513301E-3</v>
      </c>
      <c r="G25">
        <f ca="1"/>
        <v>0.36037297065117441</v>
      </c>
      <c r="H25">
        <f ca="1"/>
        <v>-0.6044840482836773</v>
      </c>
      <c r="I25">
        <f ca="1"/>
        <v>0.33232594968953028</v>
      </c>
      <c r="J25">
        <f ca="1"/>
        <v>-6.0448404828367739</v>
      </c>
      <c r="K25" s="49">
        <f ca="1"/>
        <v>4.6379806755221643E-9</v>
      </c>
    </row>
    <row r="26" spans="1:11" x14ac:dyDescent="0.25">
      <c r="A26" s="2">
        <f ca="1"/>
        <v>-0.50928292694152333</v>
      </c>
      <c r="B26" s="3">
        <f ca="1">IFERROR(SQRT(B20),"")</f>
        <v>0.92217224030158351</v>
      </c>
      <c r="C26">
        <f ca="1"/>
        <v>2.728710093396956E-3</v>
      </c>
      <c r="D26">
        <f ca="1"/>
        <v>2.7562728216130872E-3</v>
      </c>
      <c r="E26">
        <f ca="1"/>
        <v>-5.0928292694152333E-3</v>
      </c>
      <c r="F26">
        <f ca="1"/>
        <v>-5.0928292694152333E-3</v>
      </c>
      <c r="G26">
        <f ca="1"/>
        <v>0.36848627224042191</v>
      </c>
      <c r="H26">
        <f ca="1"/>
        <v>-0.56645661649702839</v>
      </c>
      <c r="I26">
        <f ca="1"/>
        <v>0.33980781119232906</v>
      </c>
      <c r="J26">
        <f ca="1"/>
        <v>-5.6645661649702843</v>
      </c>
      <c r="K26" s="49">
        <f ca="1"/>
        <v>4.297731357024756E-8</v>
      </c>
    </row>
    <row r="27" spans="1:11" ht="15.75" x14ac:dyDescent="0.25">
      <c r="A27" s="2">
        <f ca="1"/>
        <v>-0.49756181397242472</v>
      </c>
      <c r="B27" s="8" t="s">
        <v>13</v>
      </c>
      <c r="C27">
        <f ca="1"/>
        <v>2.607628649722409E-3</v>
      </c>
      <c r="D27">
        <f ca="1"/>
        <v>2.6339683330529385E-3</v>
      </c>
      <c r="E27">
        <f ca="1"/>
        <v>-4.9756181397242472E-3</v>
      </c>
      <c r="F27">
        <f ca="1"/>
        <v>-4.9756181397242472E-3</v>
      </c>
      <c r="G27">
        <f ca="1"/>
        <v>0.37111891313275014</v>
      </c>
      <c r="H27">
        <f ca="1"/>
        <v>-0.55374628706305473</v>
      </c>
      <c r="I27">
        <f ca="1"/>
        <v>0.34223555954191692</v>
      </c>
      <c r="J27">
        <f ca="1"/>
        <v>-5.5374628706305478</v>
      </c>
      <c r="K27" s="49">
        <f ca="1"/>
        <v>8.7582375251075567E-8</v>
      </c>
    </row>
    <row r="28" spans="1:11" x14ac:dyDescent="0.25">
      <c r="A28" s="2">
        <f ca="1"/>
        <v>-0.48066226554510649</v>
      </c>
      <c r="B28" s="7">
        <f ca="1">IFERROR((MAX(B24, B26)-MIN(B24, B26))/B6,"")</f>
        <v>5.0125628933801805E-3</v>
      </c>
      <c r="C28">
        <f ca="1"/>
        <v>2.4378896935140781E-3</v>
      </c>
      <c r="D28">
        <f ca="1"/>
        <v>2.4625148419334126E-3</v>
      </c>
      <c r="E28">
        <f ca="1"/>
        <v>-4.8066226554510649E-3</v>
      </c>
      <c r="F28">
        <f ca="1"/>
        <v>-4.8066226554510649E-3</v>
      </c>
      <c r="G28">
        <f ca="1"/>
        <v>0.37484119662264759</v>
      </c>
      <c r="H28">
        <f ca="1"/>
        <v>-0.53542048230689399</v>
      </c>
      <c r="I28">
        <f ca="1"/>
        <v>0.34566814604683321</v>
      </c>
      <c r="J28">
        <f ca="1"/>
        <v>-5.3542048230689403</v>
      </c>
      <c r="K28" s="49">
        <f ca="1"/>
        <v>2.3759621567179461E-7</v>
      </c>
    </row>
    <row r="29" spans="1:11" ht="15.75" x14ac:dyDescent="0.25">
      <c r="A29" s="2">
        <f ca="1"/>
        <v>-0.43630166146613192</v>
      </c>
      <c r="B29" s="4" t="s">
        <v>15</v>
      </c>
      <c r="C29">
        <f ca="1"/>
        <v>2.0195074438653922E-3</v>
      </c>
      <c r="D29">
        <f ca="1"/>
        <v>2.0399065089549417E-3</v>
      </c>
      <c r="E29">
        <f ca="1"/>
        <v>-4.3630166146613192E-3</v>
      </c>
      <c r="F29">
        <f ca="1"/>
        <v>-4.3630166146613192E-3</v>
      </c>
      <c r="G29">
        <f ca="1"/>
        <v>0.38417629839936068</v>
      </c>
      <c r="H29">
        <f ca="1"/>
        <v>-0.48731601533175811</v>
      </c>
      <c r="I29">
        <f ca="1"/>
        <v>0.35427671776570807</v>
      </c>
      <c r="J29">
        <f ca="1"/>
        <v>-4.8731601533175812</v>
      </c>
      <c r="K29" s="49">
        <f ca="1"/>
        <v>2.7807678227972995E-6</v>
      </c>
    </row>
    <row r="30" spans="1:11" x14ac:dyDescent="0.25">
      <c r="A30" s="2">
        <f ca="1"/>
        <v>-0.43016825657105073</v>
      </c>
      <c r="B30" s="3">
        <f ca="1">IFERROR(SUM(AEcol),"")</f>
        <v>1.308764012719621E-2</v>
      </c>
      <c r="C30">
        <f ca="1"/>
        <v>1.9647578995776694E-3</v>
      </c>
      <c r="D30">
        <f ca="1"/>
        <v>1.9846039389673433E-3</v>
      </c>
      <c r="E30">
        <f ca="1"/>
        <v>-4.3016825657105073E-3</v>
      </c>
      <c r="F30">
        <f ca="1"/>
        <v>-4.3016825657105073E-3</v>
      </c>
      <c r="G30">
        <f ca="1"/>
        <v>0.38541497001135328</v>
      </c>
      <c r="H30">
        <f ca="1"/>
        <v>-0.48066497485685145</v>
      </c>
      <c r="I30">
        <f ca="1"/>
        <v>0.35541898634113722</v>
      </c>
      <c r="J30">
        <f ca="1"/>
        <v>-4.8066497485685149</v>
      </c>
      <c r="K30" s="49">
        <f ca="1"/>
        <v>3.8367709793282813E-6</v>
      </c>
    </row>
    <row r="31" spans="1:11" ht="15.75" x14ac:dyDescent="0.25">
      <c r="A31" s="2">
        <f ca="1"/>
        <v>-0.42053784454765264</v>
      </c>
      <c r="B31" s="4" t="s">
        <v>16</v>
      </c>
      <c r="C31">
        <f ca="1"/>
        <v>1.8803106095949757E-3</v>
      </c>
      <c r="D31">
        <f ca="1"/>
        <v>1.8993036460555311E-3</v>
      </c>
      <c r="E31">
        <f ca="1"/>
        <v>-4.2053784454765264E-3</v>
      </c>
      <c r="F31">
        <f ca="1"/>
        <v>-4.2053784454765264E-3</v>
      </c>
      <c r="G31">
        <f ca="1"/>
        <v>0.38733336850198591</v>
      </c>
      <c r="H31">
        <f ca="1"/>
        <v>-0.47022179341793868</v>
      </c>
      <c r="I31">
        <f ca="1"/>
        <v>0.35718808017503512</v>
      </c>
      <c r="J31">
        <f ca="1"/>
        <v>-4.7022179341793873</v>
      </c>
      <c r="K31" s="49">
        <f ca="1"/>
        <v>6.3037536567539357E-6</v>
      </c>
    </row>
    <row r="32" spans="1:11" x14ac:dyDescent="0.25">
      <c r="A32" s="2">
        <f ca="1"/>
        <v>-0.40595750760985538</v>
      </c>
      <c r="B32" s="3">
        <f ca="1">IFERROR(SUM(AFcol),"")</f>
        <v>1.308764012719621E-2</v>
      </c>
      <c r="C32">
        <f ca="1"/>
        <v>1.7559883584196739E-3</v>
      </c>
      <c r="D32">
        <f ca="1"/>
        <v>1.7737256145653273E-3</v>
      </c>
      <c r="E32">
        <f ca="1"/>
        <v>-4.0595750760985538E-3</v>
      </c>
      <c r="F32">
        <f ca="1"/>
        <v>-4.0595750760985538E-3</v>
      </c>
      <c r="G32">
        <f ca="1"/>
        <v>0.39017500108449915</v>
      </c>
      <c r="H32">
        <f ca="1"/>
        <v>-0.4544109326040966</v>
      </c>
      <c r="I32">
        <f ca="1"/>
        <v>0.35980855485976532</v>
      </c>
      <c r="J32">
        <f ca="1"/>
        <v>-4.5441093260409664</v>
      </c>
      <c r="K32" s="49">
        <f ca="1"/>
        <v>1.309338631476544E-5</v>
      </c>
    </row>
    <row r="33" spans="1:11" ht="15.75" x14ac:dyDescent="0.25">
      <c r="A33" s="2">
        <f ca="1"/>
        <v>-0.39435462895198725</v>
      </c>
      <c r="B33" s="6" t="s">
        <v>17</v>
      </c>
      <c r="C33">
        <f ca="1"/>
        <v>1.6600920263239376E-3</v>
      </c>
      <c r="D33">
        <f ca="1"/>
        <v>1.6768606326504421E-3</v>
      </c>
      <c r="E33">
        <f ca="1"/>
        <v>-3.9435462895198725E-3</v>
      </c>
      <c r="F33">
        <f ca="1"/>
        <v>-3.9435462895198725E-3</v>
      </c>
      <c r="G33">
        <f ca="1"/>
        <v>0.39238113701183608</v>
      </c>
      <c r="H33">
        <f ca="1"/>
        <v>-0.44182881599855489</v>
      </c>
      <c r="I33">
        <f ca="1"/>
        <v>0.36184299217028743</v>
      </c>
      <c r="J33">
        <f ca="1"/>
        <v>-4.4182881599855497</v>
      </c>
      <c r="K33" s="49">
        <f ca="1"/>
        <v>2.3010183813313798E-5</v>
      </c>
    </row>
    <row r="34" spans="1:11" x14ac:dyDescent="0.25">
      <c r="A34" s="2">
        <f ca="1"/>
        <v>-0.37565314414678141</v>
      </c>
      <c r="B34" s="7">
        <f ca="1">(MAX(B30, B32)-MIN(B32, B30))/B2</f>
        <v>0</v>
      </c>
      <c r="C34">
        <f ca="1"/>
        <v>1.5111939735794721E-3</v>
      </c>
      <c r="D34">
        <f ca="1"/>
        <v>1.526458559171184E-3</v>
      </c>
      <c r="E34">
        <f ca="1"/>
        <v>-3.7565314414678141E-3</v>
      </c>
      <c r="F34">
        <f ca="1"/>
        <v>-3.7565314414678141E-3</v>
      </c>
      <c r="G34">
        <f ca="1"/>
        <v>0.39583134655826491</v>
      </c>
      <c r="H34">
        <f ca="1"/>
        <v>-0.42154899842446508</v>
      </c>
      <c r="I34">
        <f ca="1"/>
        <v>0.36502467963722757</v>
      </c>
      <c r="J34">
        <f ca="1"/>
        <v>-4.2154899842446509</v>
      </c>
      <c r="K34" s="49">
        <f ca="1"/>
        <v>5.522380559667247E-5</v>
      </c>
    </row>
    <row r="35" spans="1:11" ht="15.75" x14ac:dyDescent="0.25">
      <c r="A35" s="2">
        <f ca="1"/>
        <v>-0.37524273466260638</v>
      </c>
      <c r="B35" s="4" t="s">
        <v>18</v>
      </c>
      <c r="C35">
        <f ca="1"/>
        <v>1.5080047998438856E-3</v>
      </c>
      <c r="D35">
        <f ca="1"/>
        <v>1.5232371715594806E-3</v>
      </c>
      <c r="E35">
        <f ca="1"/>
        <v>-3.7524273466260638E-3</v>
      </c>
      <c r="F35">
        <f ca="1"/>
        <v>-3.7524273466260638E-3</v>
      </c>
      <c r="G35">
        <f ca="1"/>
        <v>0.39590557579506824</v>
      </c>
      <c r="H35">
        <f ca="1"/>
        <v>-0.42110395197192729</v>
      </c>
      <c r="I35">
        <f ca="1"/>
        <v>0.36509313177882646</v>
      </c>
      <c r="J35">
        <f ca="1"/>
        <v>-4.2110395197192734</v>
      </c>
      <c r="K35" s="49">
        <f ca="1"/>
        <v>5.6269075660057314E-5</v>
      </c>
    </row>
    <row r="36" spans="1:11" x14ac:dyDescent="0.25">
      <c r="A36" s="2">
        <f ca="1"/>
        <v>-0.36942083170288242</v>
      </c>
      <c r="B36" s="3">
        <f ca="1">IFERROR(MAX(Adata),"")</f>
        <v>2.3146822059061378</v>
      </c>
      <c r="C36">
        <f ca="1"/>
        <v>1.4631273102178204E-3</v>
      </c>
      <c r="D36">
        <f ca="1"/>
        <v>1.4779063739573945E-3</v>
      </c>
      <c r="E36">
        <f ca="1"/>
        <v>-3.6942083170288242E-3</v>
      </c>
      <c r="F36">
        <f ca="1"/>
        <v>-3.6942083170288242E-3</v>
      </c>
      <c r="G36">
        <f ca="1"/>
        <v>0.39695159384863832</v>
      </c>
      <c r="H36">
        <f ca="1"/>
        <v>-0.41479070298731247</v>
      </c>
      <c r="I36">
        <f ca="1"/>
        <v>0.36605774059068302</v>
      </c>
      <c r="J36">
        <f ca="1"/>
        <v>-4.1479070298731253</v>
      </c>
      <c r="K36" s="49">
        <f ca="1"/>
        <v>7.3259333569520826E-5</v>
      </c>
    </row>
    <row r="37" spans="1:11" ht="15.75" x14ac:dyDescent="0.25">
      <c r="A37" s="2">
        <f ca="1"/>
        <v>-0.36663777791545726</v>
      </c>
      <c r="B37" s="4" t="s">
        <v>19</v>
      </c>
      <c r="C37">
        <f ca="1"/>
        <v>1.4419139310766793E-3</v>
      </c>
      <c r="D37">
        <f ca="1"/>
        <v>1.4564787182592721E-3</v>
      </c>
      <c r="E37">
        <f ca="1"/>
        <v>-3.6663777791545726E-3</v>
      </c>
      <c r="F37">
        <f ca="1"/>
        <v>-3.6663777791545726E-3</v>
      </c>
      <c r="G37">
        <f ca="1"/>
        <v>0.39744700318333459</v>
      </c>
      <c r="H37">
        <f ca="1"/>
        <v>-0.41177277025652997</v>
      </c>
      <c r="I37">
        <f ca="1"/>
        <v>0.3665145933267262</v>
      </c>
      <c r="J37">
        <f ca="1"/>
        <v>-4.1177277025653005</v>
      </c>
      <c r="K37" s="49">
        <f ca="1"/>
        <v>8.2990928656025142E-5</v>
      </c>
    </row>
    <row r="38" spans="1:11" x14ac:dyDescent="0.25">
      <c r="A38" s="2">
        <f ca="1"/>
        <v>-0.33329115467495285</v>
      </c>
      <c r="B38" s="3">
        <f ca="1">IFERROR(MIN(Adata),"")</f>
        <v>-1.8912123778136447</v>
      </c>
      <c r="C38">
        <f ca="1"/>
        <v>1.1997826948858929E-3</v>
      </c>
      <c r="D38">
        <f ca="1"/>
        <v>1.2119017120059525E-3</v>
      </c>
      <c r="E38">
        <f ca="1"/>
        <v>-3.3329115467495285E-3</v>
      </c>
      <c r="F38">
        <f ca="1"/>
        <v>-3.3329115467495285E-3</v>
      </c>
      <c r="G38">
        <f ca="1"/>
        <v>0.40314564025200839</v>
      </c>
      <c r="H38">
        <f ca="1"/>
        <v>-0.37561182137609211</v>
      </c>
      <c r="I38">
        <f ca="1"/>
        <v>0.37176971823901078</v>
      </c>
      <c r="J38">
        <f ca="1"/>
        <v>-3.7561182137609217</v>
      </c>
      <c r="K38" s="49">
        <f ca="1"/>
        <v>3.4459162039218142E-4</v>
      </c>
    </row>
    <row r="39" spans="1:11" ht="15.75" x14ac:dyDescent="0.25">
      <c r="A39" s="2">
        <f ca="1"/>
        <v>-0.28179556466056965</v>
      </c>
      <c r="B39" s="4" t="s">
        <v>20</v>
      </c>
      <c r="C39">
        <f ca="1"/>
        <v>8.6956104465903464E-4</v>
      </c>
      <c r="D39">
        <f ca="1"/>
        <v>8.7834448955458045E-4</v>
      </c>
      <c r="E39">
        <f ca="1"/>
        <v>-2.8179556466056965E-3</v>
      </c>
      <c r="F39">
        <f ca="1"/>
        <v>-2.8179556466056965E-3</v>
      </c>
      <c r="G39">
        <f ca="1"/>
        <v>0.41104944671711258</v>
      </c>
      <c r="H39">
        <f ca="1"/>
        <v>-0.31977020333135214</v>
      </c>
      <c r="I39">
        <f ca="1"/>
        <v>0.3790583891538461</v>
      </c>
      <c r="J39">
        <f ca="1"/>
        <v>-3.1977020333135218</v>
      </c>
      <c r="K39" s="49">
        <f ca="1"/>
        <v>2.4016778538130594E-3</v>
      </c>
    </row>
    <row r="40" spans="1:11" x14ac:dyDescent="0.25">
      <c r="A40" s="2">
        <f ca="1"/>
        <v>-0.2761498762993142</v>
      </c>
      <c r="B40" s="9" t="str">
        <f ca="1">IFERROR(IF(ISNA(MODE(Adata)=TRUE),"There is NO modal number",MODE(Adata)),"")</f>
        <v>There is NO modal number</v>
      </c>
      <c r="C40">
        <f ca="1"/>
        <v>8.3658340908575877E-4</v>
      </c>
      <c r="D40">
        <f ca="1"/>
        <v>8.4503374655127157E-4</v>
      </c>
      <c r="E40">
        <f ca="1"/>
        <v>-2.761498762993142E-3</v>
      </c>
      <c r="F40">
        <f ca="1"/>
        <v>-2.761498762993142E-3</v>
      </c>
      <c r="G40">
        <f ca="1"/>
        <v>0.41184722204625279</v>
      </c>
      <c r="H40">
        <f ca="1"/>
        <v>-0.31364804077372721</v>
      </c>
      <c r="I40">
        <f ca="1"/>
        <v>0.37979407541637661</v>
      </c>
      <c r="J40">
        <f ca="1"/>
        <v>-3.1364804077372725</v>
      </c>
      <c r="K40" s="49">
        <f ca="1"/>
        <v>2.915560468206407E-3</v>
      </c>
    </row>
    <row r="41" spans="1:11" ht="15.75" x14ac:dyDescent="0.25">
      <c r="A41" s="2">
        <f ca="1"/>
        <v>-0.27027340365748387</v>
      </c>
      <c r="B41" s="4" t="s">
        <v>21</v>
      </c>
      <c r="C41">
        <f ca="1"/>
        <v>8.0293481134743384E-4</v>
      </c>
      <c r="D41">
        <f ca="1"/>
        <v>8.1104526398730699E-4</v>
      </c>
      <c r="E41">
        <f ca="1"/>
        <v>-2.7027340365748387E-3</v>
      </c>
      <c r="F41">
        <f ca="1"/>
        <v>-2.7027340365748387E-3</v>
      </c>
      <c r="G41">
        <f ca="1"/>
        <v>0.41266282483083511</v>
      </c>
      <c r="H41">
        <f ca="1"/>
        <v>-0.30727561663752845</v>
      </c>
      <c r="I41">
        <f ca="1"/>
        <v>0.38054620166343112</v>
      </c>
      <c r="J41">
        <f ca="1"/>
        <v>-3.0727561663752843</v>
      </c>
      <c r="K41" s="49">
        <f ca="1"/>
        <v>3.5533880078606845E-3</v>
      </c>
    </row>
    <row r="42" spans="1:11" x14ac:dyDescent="0.25">
      <c r="A42" s="2">
        <f ca="1"/>
        <v>-0.22852418624097481</v>
      </c>
      <c r="B42" s="3">
        <f ca="1">IFERROR(MEDIAN(Adata),"")</f>
        <v>-1.6063950170064345E-3</v>
      </c>
      <c r="C42">
        <f ca="1"/>
        <v>5.8376274640963228E-4</v>
      </c>
      <c r="D42">
        <f ca="1"/>
        <v>5.896593398077094E-4</v>
      </c>
      <c r="E42">
        <f ca="1"/>
        <v>-2.2852418624097481E-3</v>
      </c>
      <c r="F42">
        <f ca="1"/>
        <v>-2.2852418624097481E-3</v>
      </c>
      <c r="G42">
        <f ca="1"/>
        <v>0.41801496783650671</v>
      </c>
      <c r="H42">
        <f ca="1"/>
        <v>-0.26200292722881713</v>
      </c>
      <c r="I42">
        <f ca="1"/>
        <v>0.3854817993693857</v>
      </c>
      <c r="J42">
        <f ca="1"/>
        <v>-2.6200292722881713</v>
      </c>
      <c r="K42" s="49">
        <f ca="1"/>
        <v>1.28911373993662E-2</v>
      </c>
    </row>
    <row r="43" spans="1:11" ht="15.75" x14ac:dyDescent="0.25">
      <c r="A43" s="2">
        <f ca="1"/>
        <v>-0.18849277694243938</v>
      </c>
      <c r="B43" s="4" t="s">
        <v>22</v>
      </c>
      <c r="C43">
        <f ca="1"/>
        <v>4.0634664545968231E-4</v>
      </c>
      <c r="D43">
        <f ca="1"/>
        <v>4.1045115702998216E-4</v>
      </c>
      <c r="E43">
        <f ca="1"/>
        <v>-1.8849277694243938E-3</v>
      </c>
      <c r="F43">
        <f ca="1"/>
        <v>-1.8849277694243938E-3</v>
      </c>
      <c r="G43">
        <f ca="1"/>
        <v>0.4223982343533324</v>
      </c>
      <c r="H43">
        <f ca="1"/>
        <v>-0.21859302227934291</v>
      </c>
      <c r="I43">
        <f ca="1"/>
        <v>0.38952392607304581</v>
      </c>
      <c r="J43">
        <f ca="1"/>
        <v>-2.1859302227934294</v>
      </c>
      <c r="K43" s="49">
        <f ca="1"/>
        <v>3.6586205714418084E-2</v>
      </c>
    </row>
    <row r="44" spans="1:11" x14ac:dyDescent="0.25">
      <c r="A44" s="2">
        <f ca="1"/>
        <v>-0.16665580915287137</v>
      </c>
      <c r="B44" s="3">
        <f ca="1">IFERROR(QUARTILE(Adata,3)-QUARTILE(Adata,1),"")</f>
        <v>1.0936929584204336</v>
      </c>
      <c r="C44">
        <f ca="1"/>
        <v>3.2307707559096227E-4</v>
      </c>
      <c r="D44">
        <f ca="1"/>
        <v>3.263404803949114E-4</v>
      </c>
      <c r="E44">
        <f ca="1"/>
        <v>-1.6665580915287137E-3</v>
      </c>
      <c r="F44">
        <f ca="1"/>
        <v>-1.6665580915287137E-3</v>
      </c>
      <c r="G44">
        <f ca="1"/>
        <v>0.42447132310173086</v>
      </c>
      <c r="H44">
        <f ca="1"/>
        <v>-0.19491309912049079</v>
      </c>
      <c r="I44">
        <f ca="1"/>
        <v>0.39143567096850035</v>
      </c>
      <c r="J44">
        <f ca="1"/>
        <v>-1.949130991204908</v>
      </c>
      <c r="K44" s="49">
        <f ca="1"/>
        <v>5.9695756372820347E-2</v>
      </c>
    </row>
    <row r="45" spans="1:11" ht="15.75" x14ac:dyDescent="0.25">
      <c r="A45" s="2">
        <f ca="1"/>
        <v>-0.13107182894600555</v>
      </c>
      <c r="B45" s="4" t="s">
        <v>23</v>
      </c>
      <c r="C45">
        <f ca="1"/>
        <v>2.0781952523467415E-4</v>
      </c>
      <c r="D45">
        <f ca="1"/>
        <v>2.0991871235825674E-4</v>
      </c>
      <c r="E45">
        <f ca="1"/>
        <v>-1.3107182894600555E-3</v>
      </c>
      <c r="F45">
        <f ca="1"/>
        <v>-1.3107182894600555E-3</v>
      </c>
      <c r="G45">
        <f ca="1"/>
        <v>0.42735758686973813</v>
      </c>
      <c r="H45">
        <f ca="1"/>
        <v>-0.15632596902511015</v>
      </c>
      <c r="I45">
        <f ca="1"/>
        <v>0.39409730329354498</v>
      </c>
      <c r="J45">
        <f ca="1"/>
        <v>-1.5632596902511016</v>
      </c>
      <c r="K45" s="49">
        <f ca="1"/>
        <v>0.11755735194906257</v>
      </c>
    </row>
    <row r="46" spans="1:11" x14ac:dyDescent="0.25">
      <c r="A46" s="2">
        <f ca="1"/>
        <v>-0.10180428944295272</v>
      </c>
      <c r="B46" s="3">
        <f ca="1">IFERROR(IF(IF(MROUND(B48,100)=0,MROUND(B48,1),(MROUND(B48,100)))=0,ROUND(B48,1),ROUND(B48,0)),"")</f>
        <v>0.2</v>
      </c>
      <c r="C46">
        <f ca="1"/>
        <v>1.3200155480352061E-4</v>
      </c>
      <c r="D46">
        <f ca="1"/>
        <v>1.3333490384194002E-4</v>
      </c>
      <c r="E46">
        <f ca="1"/>
        <v>-1.0180428944295272E-3</v>
      </c>
      <c r="F46">
        <f ca="1"/>
        <v>-1.0180428944295272E-3</v>
      </c>
      <c r="G46">
        <f ca="1"/>
        <v>0.42926690299687936</v>
      </c>
      <c r="H46">
        <f ca="1"/>
        <v>-0.12458836272557408</v>
      </c>
      <c r="I46">
        <f ca="1"/>
        <v>0.39585802162395473</v>
      </c>
      <c r="J46">
        <f ca="1"/>
        <v>-1.2458836272557408</v>
      </c>
      <c r="K46" s="49">
        <f ca="1"/>
        <v>0.18358976665237284</v>
      </c>
    </row>
    <row r="47" spans="1:11" ht="15.75" x14ac:dyDescent="0.25">
      <c r="A47" s="2">
        <f ca="1"/>
        <v>-9.888253771350719E-2</v>
      </c>
      <c r="B47" s="4" t="s">
        <v>24</v>
      </c>
      <c r="C47">
        <f ca="1"/>
        <v>1.2537320725678746E-4</v>
      </c>
      <c r="D47">
        <f ca="1"/>
        <v>1.2663960328968433E-4</v>
      </c>
      <c r="E47">
        <f ca="1"/>
        <v>-9.888253771350719E-4</v>
      </c>
      <c r="F47">
        <f ca="1"/>
        <v>-9.888253771350719E-4</v>
      </c>
      <c r="G47">
        <f ca="1"/>
        <v>0.42943422891665933</v>
      </c>
      <c r="H47">
        <f ca="1"/>
        <v>-0.12142002648451566</v>
      </c>
      <c r="I47">
        <f ca="1"/>
        <v>0.3960123249422588</v>
      </c>
      <c r="J47">
        <f ca="1"/>
        <v>-1.2142002648451566</v>
      </c>
      <c r="K47" s="49">
        <f ca="1"/>
        <v>0.1908858497700241</v>
      </c>
    </row>
    <row r="48" spans="1:11" x14ac:dyDescent="0.25">
      <c r="A48" s="2">
        <f ca="1"/>
        <v>-8.8739398051984608E-2</v>
      </c>
      <c r="B48" s="3">
        <f ca="1">IFERROR((2*B44)*(B4^(-1/2)),"")</f>
        <v>0.21873859168408671</v>
      </c>
      <c r="C48">
        <f ca="1"/>
        <v>1.0368745704344347E-4</v>
      </c>
      <c r="D48">
        <f ca="1"/>
        <v>1.0473480509438735E-4</v>
      </c>
      <c r="E48">
        <f ca="1"/>
        <v>-8.8739398051984608E-4</v>
      </c>
      <c r="F48">
        <f ca="1"/>
        <v>-8.8739398051984608E-4</v>
      </c>
      <c r="G48">
        <f ca="1"/>
        <v>0.42998211960867888</v>
      </c>
      <c r="H48">
        <f ca="1"/>
        <v>-0.11042084518384518</v>
      </c>
      <c r="I48">
        <f ca="1"/>
        <v>0.39651757452915881</v>
      </c>
      <c r="J48">
        <f ca="1"/>
        <v>-1.1042084518384518</v>
      </c>
      <c r="K48" s="49">
        <f ca="1"/>
        <v>0.21684408505028732</v>
      </c>
    </row>
    <row r="49" spans="1:11" ht="15.75" x14ac:dyDescent="0.25">
      <c r="A49" s="2">
        <f ca="1"/>
        <v>-8.4517068899003789E-2</v>
      </c>
      <c r="B49" s="4" t="s">
        <v>25</v>
      </c>
      <c r="C49">
        <f ca="1"/>
        <v>9.526679224089167E-5</v>
      </c>
      <c r="D49">
        <f ca="1"/>
        <v>9.6229083071607756E-5</v>
      </c>
      <c r="E49">
        <f ca="1"/>
        <v>-8.4517068899003789E-4</v>
      </c>
      <c r="F49">
        <f ca="1"/>
        <v>-8.4517068899003789E-4</v>
      </c>
      <c r="G49">
        <f ca="1"/>
        <v>0.43019505615455861</v>
      </c>
      <c r="H49">
        <f ca="1"/>
        <v>-0.10584216783003549</v>
      </c>
      <c r="I49">
        <f ca="1"/>
        <v>0.39671393870071481</v>
      </c>
      <c r="J49">
        <f ca="1"/>
        <v>-1.0584216783003548</v>
      </c>
      <c r="K49" s="49">
        <f ca="1"/>
        <v>0.22785022865203347</v>
      </c>
    </row>
    <row r="50" spans="1:11" ht="15.75" thickBot="1" x14ac:dyDescent="0.3">
      <c r="A50" s="2">
        <f ca="1"/>
        <v>-2.1535697669605725E-2</v>
      </c>
      <c r="B50" s="18">
        <f ca="1">IFERROR(((B44*2)/B48),"")</f>
        <v>10</v>
      </c>
      <c r="C50">
        <f ca="1"/>
        <v>1.1987755201914532E-5</v>
      </c>
      <c r="D50">
        <f ca="1"/>
        <v>1.2108843638297509E-5</v>
      </c>
      <c r="E50">
        <f ca="1"/>
        <v>-2.1535697669605725E-4</v>
      </c>
      <c r="F50">
        <f ca="1"/>
        <v>-2.1535697669605725E-4</v>
      </c>
      <c r="G50">
        <f ca="1"/>
        <v>0.43230665156755937</v>
      </c>
      <c r="H50">
        <f ca="1"/>
        <v>-3.7545413192527743E-2</v>
      </c>
      <c r="I50">
        <f ca="1"/>
        <v>0.39866119337333222</v>
      </c>
      <c r="J50">
        <f ca="1"/>
        <v>-0.37545413192527743</v>
      </c>
      <c r="K50" s="49">
        <f ca="1"/>
        <v>0.37179173419719225</v>
      </c>
    </row>
    <row r="51" spans="1:11" ht="15.75" thickTop="1" x14ac:dyDescent="0.25">
      <c r="A51" s="2">
        <f ca="1"/>
        <v>-1.5720615920145065E-2</v>
      </c>
      <c r="B51" s="10"/>
      <c r="C51">
        <f ca="1"/>
        <v>8.2991561648917511E-6</v>
      </c>
      <c r="D51">
        <f ca="1"/>
        <v>8.3829860251431829E-6</v>
      </c>
      <c r="E51">
        <f ca="1"/>
        <v>-1.5720615920145065E-4</v>
      </c>
      <c r="F51">
        <f ca="1"/>
        <v>-1.5720615920145065E-4</v>
      </c>
      <c r="G51">
        <f ca="1"/>
        <v>0.43240041778042398</v>
      </c>
      <c r="H51">
        <f ca="1"/>
        <v>-3.1239561101860908E-2</v>
      </c>
      <c r="I51">
        <f ca="1"/>
        <v>0.39874766197191419</v>
      </c>
      <c r="J51">
        <f ca="1"/>
        <v>-0.31239561101860908</v>
      </c>
      <c r="K51" s="49">
        <f ca="1"/>
        <v>0.37994299825846023</v>
      </c>
    </row>
    <row r="52" spans="1:11" x14ac:dyDescent="0.25">
      <c r="A52" s="2">
        <f ca="1"/>
        <v>1.2507825886132196E-2</v>
      </c>
      <c r="B52" s="10"/>
      <c r="C52">
        <f ca="1"/>
        <v>3.3618455414063844E-9</v>
      </c>
      <c r="D52">
        <f ca="1"/>
        <v>3.395803577178166E-9</v>
      </c>
      <c r="E52">
        <f ca="1"/>
        <v>1.2507825886132196E-4</v>
      </c>
      <c r="F52">
        <f ca="1"/>
        <v>1.2507825886132196E-4</v>
      </c>
      <c r="G52">
        <f ca="1"/>
        <v>0.43261137573947672</v>
      </c>
      <c r="H52">
        <f ca="1"/>
        <v>-6.2874831373626455E-4</v>
      </c>
      <c r="I52">
        <f ca="1"/>
        <v>0.39894220154562327</v>
      </c>
      <c r="J52">
        <f ca="1"/>
        <v>-6.2874831373626464E-3</v>
      </c>
      <c r="K52" s="49">
        <f ca="1"/>
        <v>0.39893439489764626</v>
      </c>
    </row>
    <row r="53" spans="1:11" x14ac:dyDescent="0.25">
      <c r="A53" s="2">
        <f ca="1"/>
        <v>1.9393837646930479E-2</v>
      </c>
      <c r="B53" s="10"/>
      <c r="C53">
        <f ca="1"/>
        <v>3.9768127157902648E-7</v>
      </c>
      <c r="D53">
        <f ca="1"/>
        <v>4.0169825412022878E-7</v>
      </c>
      <c r="E53">
        <f ca="1"/>
        <v>1.9393837646930479E-4</v>
      </c>
      <c r="F53">
        <f ca="1"/>
        <v>1.9393837646930479E-4</v>
      </c>
      <c r="G53">
        <f ca="1"/>
        <v>0.43260134606151385</v>
      </c>
      <c r="H53">
        <f ca="1"/>
        <v>6.8384161267659891E-3</v>
      </c>
      <c r="I53">
        <f ca="1"/>
        <v>0.39893295245502675</v>
      </c>
      <c r="J53">
        <f ca="1"/>
        <v>6.8384161267659893E-2</v>
      </c>
      <c r="K53" s="49">
        <f ca="1"/>
        <v>0.39801056454749134</v>
      </c>
    </row>
    <row r="54" spans="1:11" x14ac:dyDescent="0.25">
      <c r="A54" s="2">
        <f ca="1"/>
        <v>6.3114384829532355E-2</v>
      </c>
      <c r="B54" s="10"/>
      <c r="C54">
        <f ca="1"/>
        <v>2.5026751855127179E-5</v>
      </c>
      <c r="D54">
        <f ca="1"/>
        <v>2.5279547328411292E-5</v>
      </c>
      <c r="E54">
        <f ca="1"/>
        <v>6.3114384829532355E-4</v>
      </c>
      <c r="F54">
        <f ca="1"/>
        <v>6.3114384829532355E-4</v>
      </c>
      <c r="G54">
        <f ca="1"/>
        <v>0.43197535606222037</v>
      </c>
      <c r="H54">
        <f ca="1"/>
        <v>5.4248807886448203E-2</v>
      </c>
      <c r="I54">
        <f ca="1"/>
        <v>0.398355681854972</v>
      </c>
      <c r="J54">
        <f ca="1"/>
        <v>0.54248807886448203</v>
      </c>
      <c r="K54" s="49">
        <f ca="1"/>
        <v>0.34435396209038116</v>
      </c>
    </row>
    <row r="55" spans="1:11" x14ac:dyDescent="0.25">
      <c r="A55" s="2">
        <f ca="1"/>
        <v>0.10272628969687503</v>
      </c>
      <c r="B55" s="10"/>
      <c r="C55">
        <f ca="1"/>
        <v>8.0350874966756818E-5</v>
      </c>
      <c r="D55">
        <f ca="1"/>
        <v>8.1162499966421026E-5</v>
      </c>
      <c r="E55">
        <f ca="1"/>
        <v>1.0272628969687503E-3</v>
      </c>
      <c r="F55">
        <f ca="1"/>
        <v>1.0272628969687503E-3</v>
      </c>
      <c r="G55">
        <f ca="1"/>
        <v>0.4305724994770263</v>
      </c>
      <c r="H55">
        <f ca="1"/>
        <v>9.7203803858120649E-2</v>
      </c>
      <c r="I55">
        <f ca="1"/>
        <v>0.39706200645498169</v>
      </c>
      <c r="J55">
        <f ca="1"/>
        <v>0.97203803858120663</v>
      </c>
      <c r="K55" s="49">
        <f ca="1"/>
        <v>0.24873492509100587</v>
      </c>
    </row>
    <row r="56" spans="1:11" x14ac:dyDescent="0.25">
      <c r="A56" s="2">
        <f ca="1"/>
        <v>0.13045450941717718</v>
      </c>
      <c r="B56" s="10"/>
      <c r="C56">
        <f ca="1"/>
        <v>1.3774982006931478E-4</v>
      </c>
      <c r="D56">
        <f ca="1"/>
        <v>1.3914123239324727E-4</v>
      </c>
      <c r="E56">
        <f ca="1"/>
        <v>1.3045450941717718E-3</v>
      </c>
      <c r="F56">
        <f ca="1"/>
        <v>1.3045450941717718E-3</v>
      </c>
      <c r="G56">
        <f ca="1"/>
        <v>0.42912184665083802</v>
      </c>
      <c r="H56">
        <f ca="1"/>
        <v>0.12727217775672556</v>
      </c>
      <c r="I56">
        <f ca="1"/>
        <v>0.39572425468835581</v>
      </c>
      <c r="J56">
        <f ca="1"/>
        <v>1.2727217775672557</v>
      </c>
      <c r="K56" s="49">
        <f ca="1"/>
        <v>0.17748860048448448</v>
      </c>
    </row>
    <row r="57" spans="1:11" x14ac:dyDescent="0.25">
      <c r="A57" s="2">
        <f ca="1"/>
        <v>0.14280885807238519</v>
      </c>
      <c r="B57" s="10"/>
      <c r="C57">
        <f ca="1"/>
        <v>1.6827594385183221E-4</v>
      </c>
      <c r="D57">
        <f ca="1"/>
        <v>1.6997570086043658E-4</v>
      </c>
      <c r="E57">
        <f ca="1"/>
        <v>1.4280885807238519E-3</v>
      </c>
      <c r="F57">
        <f ca="1"/>
        <v>1.4280885807238519E-3</v>
      </c>
      <c r="G57">
        <f ca="1"/>
        <v>0.4283523468319097</v>
      </c>
      <c r="H57">
        <f ca="1"/>
        <v>0.14066918551220484</v>
      </c>
      <c r="I57">
        <f ca="1"/>
        <v>0.39501464331642305</v>
      </c>
      <c r="J57">
        <f ca="1"/>
        <v>1.4066918551220486</v>
      </c>
      <c r="K57" s="49">
        <f ca="1"/>
        <v>0.14832795851986655</v>
      </c>
    </row>
    <row r="58" spans="1:11" x14ac:dyDescent="0.25">
      <c r="A58" s="2">
        <f ca="1"/>
        <v>0.16642275113554206</v>
      </c>
      <c r="B58" s="10"/>
      <c r="C58">
        <f ca="1"/>
        <v>2.3511656267941744E-4</v>
      </c>
      <c r="D58">
        <f ca="1"/>
        <v>2.3749147745395703E-4</v>
      </c>
      <c r="E58">
        <f ca="1"/>
        <v>1.6642275113554206E-3</v>
      </c>
      <c r="F58">
        <f ca="1"/>
        <v>1.6642275113554206E-3</v>
      </c>
      <c r="G58">
        <f ca="1"/>
        <v>0.42667224954495558</v>
      </c>
      <c r="H58">
        <f ca="1"/>
        <v>0.16627599954451</v>
      </c>
      <c r="I58">
        <f ca="1"/>
        <v>0.3934653042373879</v>
      </c>
      <c r="J58">
        <f ca="1"/>
        <v>1.6627599954451</v>
      </c>
      <c r="K58" s="49">
        <f ca="1"/>
        <v>0.10012619541579611</v>
      </c>
    </row>
    <row r="59" spans="1:11" x14ac:dyDescent="0.25">
      <c r="A59" s="2">
        <f ca="1"/>
        <v>0.1701471319393022</v>
      </c>
      <c r="B59" s="10"/>
      <c r="C59">
        <f ca="1"/>
        <v>2.4667683968276991E-4</v>
      </c>
      <c r="D59">
        <f ca="1"/>
        <v>2.4916852493209082E-4</v>
      </c>
      <c r="E59">
        <f ca="1"/>
        <v>1.701471319393022E-3</v>
      </c>
      <c r="F59">
        <f ca="1"/>
        <v>1.701471319393022E-3</v>
      </c>
      <c r="G59">
        <f ca="1"/>
        <v>0.42638234103251077</v>
      </c>
      <c r="H59">
        <f ca="1"/>
        <v>0.17031470364011597</v>
      </c>
      <c r="I59">
        <f ca="1"/>
        <v>0.39319795865498419</v>
      </c>
      <c r="J59">
        <f ca="1"/>
        <v>1.7031470364011598</v>
      </c>
      <c r="K59" s="49">
        <f ca="1"/>
        <v>9.354679870420618E-2</v>
      </c>
    </row>
    <row r="60" spans="1:11" x14ac:dyDescent="0.25">
      <c r="A60" s="2">
        <f ca="1"/>
        <v>0.19542881091183517</v>
      </c>
      <c r="B60" s="10"/>
      <c r="C60">
        <f ca="1"/>
        <v>3.3248302563112879E-4</v>
      </c>
      <c r="D60">
        <f ca="1"/>
        <v>3.3584144003144322E-4</v>
      </c>
      <c r="E60">
        <f ca="1"/>
        <v>1.9542881091183517E-3</v>
      </c>
      <c r="F60">
        <f ca="1"/>
        <v>1.9542881091183517E-3</v>
      </c>
      <c r="G60">
        <f ca="1"/>
        <v>0.42423664268313305</v>
      </c>
      <c r="H60">
        <f ca="1"/>
        <v>0.19773005824270623</v>
      </c>
      <c r="I60">
        <f ca="1"/>
        <v>0.39121925520112716</v>
      </c>
      <c r="J60">
        <f ca="1"/>
        <v>1.9773005824270624</v>
      </c>
      <c r="K60" s="49">
        <f ca="1"/>
        <v>5.6484030328372264E-2</v>
      </c>
    </row>
    <row r="61" spans="1:11" x14ac:dyDescent="0.25">
      <c r="A61" s="2">
        <f ca="1"/>
        <v>0.21065716282464564</v>
      </c>
      <c r="B61" s="10"/>
      <c r="C61">
        <f ca="1"/>
        <v>3.9033716298897988E-4</v>
      </c>
      <c r="D61">
        <f ca="1"/>
        <v>3.942799626151312E-4</v>
      </c>
      <c r="E61">
        <f ca="1"/>
        <v>2.1065716282464564E-3</v>
      </c>
      <c r="F61">
        <f ca="1"/>
        <v>2.1065716282464564E-3</v>
      </c>
      <c r="G61">
        <f ca="1"/>
        <v>0.42279602055694299</v>
      </c>
      <c r="H61">
        <f ca="1"/>
        <v>0.21424362398160793</v>
      </c>
      <c r="I61">
        <f ca="1"/>
        <v>0.38989075346759039</v>
      </c>
      <c r="J61">
        <f ca="1"/>
        <v>2.1424362398160794</v>
      </c>
      <c r="K61" s="49">
        <f ca="1"/>
        <v>4.0197315908027428E-2</v>
      </c>
    </row>
    <row r="62" spans="1:11" x14ac:dyDescent="0.25">
      <c r="A62" s="2">
        <f ca="1"/>
        <v>0.24938344722613692</v>
      </c>
      <c r="B62" s="10"/>
      <c r="C62">
        <f ca="1"/>
        <v>5.5835708452539807E-4</v>
      </c>
      <c r="D62">
        <f ca="1"/>
        <v>5.6399705507615967E-4</v>
      </c>
      <c r="E62">
        <f ca="1"/>
        <v>2.4938344722613692E-3</v>
      </c>
      <c r="F62">
        <f ca="1"/>
        <v>2.4938344722613692E-3</v>
      </c>
      <c r="G62">
        <f ca="1"/>
        <v>0.41863984213837735</v>
      </c>
      <c r="H62">
        <f ca="1"/>
        <v>0.25623825655569887</v>
      </c>
      <c r="I62">
        <f ca="1"/>
        <v>0.38605804110424868</v>
      </c>
      <c r="J62">
        <f ca="1"/>
        <v>2.5623825655569887</v>
      </c>
      <c r="K62" s="49">
        <f ca="1"/>
        <v>1.4967999261635582E-2</v>
      </c>
    </row>
    <row r="63" spans="1:11" x14ac:dyDescent="0.25">
      <c r="A63" s="2">
        <f ca="1"/>
        <v>0.2568879153841408</v>
      </c>
      <c r="B63" s="10"/>
      <c r="C63">
        <f ca="1"/>
        <v>5.9438574215361949E-4</v>
      </c>
      <c r="D63">
        <f ca="1"/>
        <v>6.0038963853900965E-4</v>
      </c>
      <c r="E63">
        <f ca="1"/>
        <v>2.568879153841408E-3</v>
      </c>
      <c r="F63">
        <f ca="1"/>
        <v>2.568879153841408E-3</v>
      </c>
      <c r="G63">
        <f ca="1"/>
        <v>0.41775396265151166</v>
      </c>
      <c r="H63">
        <f ca="1"/>
        <v>0.26437607271415281</v>
      </c>
      <c r="I63">
        <f ca="1"/>
        <v>0.38524110763320851</v>
      </c>
      <c r="J63">
        <f ca="1"/>
        <v>2.6437607271415282</v>
      </c>
      <c r="K63" s="49">
        <f ca="1"/>
        <v>1.2110603056981945E-2</v>
      </c>
    </row>
    <row r="64" spans="1:11" x14ac:dyDescent="0.25">
      <c r="A64" s="2">
        <f ca="1"/>
        <v>0.3538229975674767</v>
      </c>
      <c r="B64" s="10"/>
      <c r="C64">
        <f ca="1"/>
        <v>1.1610058380995571E-3</v>
      </c>
      <c r="D64">
        <f ca="1"/>
        <v>1.1727331697975324E-3</v>
      </c>
      <c r="E64">
        <f ca="1"/>
        <v>3.538229975674767E-3</v>
      </c>
      <c r="F64">
        <f ca="1"/>
        <v>3.538229975674767E-3</v>
      </c>
      <c r="G64">
        <f ca="1"/>
        <v>0.40406582632574239</v>
      </c>
      <c r="H64">
        <f ca="1"/>
        <v>0.36949209979347003</v>
      </c>
      <c r="I64">
        <f ca="1"/>
        <v>0.37261828829212035</v>
      </c>
      <c r="J64">
        <f ca="1"/>
        <v>3.6949209979347009</v>
      </c>
      <c r="K64" s="49">
        <f ca="1"/>
        <v>4.3283276711651345E-4</v>
      </c>
    </row>
    <row r="65" spans="1:11" ht="15.75" thickBot="1" x14ac:dyDescent="0.3">
      <c r="A65" s="2">
        <f ca="1"/>
        <v>0.36974938666389789</v>
      </c>
      <c r="B65" s="19"/>
      <c r="C65">
        <f ca="1"/>
        <v>1.2720760144261042E-3</v>
      </c>
      <c r="D65">
        <f ca="1"/>
        <v>1.2849252670970751E-3</v>
      </c>
      <c r="E65">
        <f ca="1"/>
        <v>3.6974938666389789E-3</v>
      </c>
      <c r="F65">
        <f ca="1"/>
        <v>3.6974938666389789E-3</v>
      </c>
      <c r="G65">
        <f ca="1"/>
        <v>0.401435690362834</v>
      </c>
      <c r="H65">
        <f ca="1"/>
        <v>0.38676261434638337</v>
      </c>
      <c r="I65">
        <f ca="1"/>
        <v>0.37019284991890739</v>
      </c>
      <c r="J65">
        <f ca="1"/>
        <v>3.8676261434638342</v>
      </c>
      <c r="K65" s="49">
        <f ca="1"/>
        <v>2.2527143028369613E-4</v>
      </c>
    </row>
    <row r="66" spans="1:11" ht="15.75" thickTop="1" x14ac:dyDescent="0.25">
      <c r="A66" s="2">
        <f ca="1"/>
        <v>0.37524273466260638</v>
      </c>
      <c r="B66" s="10"/>
      <c r="C66">
        <f ca="1"/>
        <v>1.3115631249795187E-3</v>
      </c>
      <c r="D66">
        <f ca="1"/>
        <v>1.3248112373530493E-3</v>
      </c>
      <c r="E66">
        <f ca="1"/>
        <v>3.7524273466260638E-3</v>
      </c>
      <c r="F66">
        <f ca="1"/>
        <v>3.7524273466260638E-3</v>
      </c>
      <c r="G66">
        <f ca="1"/>
        <v>0.4005047685543614</v>
      </c>
      <c r="H66">
        <f ca="1"/>
        <v>0.39271957960583642</v>
      </c>
      <c r="I66">
        <f ca="1"/>
        <v>0.3693343796692426</v>
      </c>
      <c r="J66">
        <f ca="1"/>
        <v>3.9271957960583643</v>
      </c>
      <c r="K66" s="49">
        <f ca="1"/>
        <v>1.7859820436961991E-4</v>
      </c>
    </row>
    <row r="67" spans="1:11" x14ac:dyDescent="0.25">
      <c r="A67" s="2">
        <f ca="1"/>
        <v>0.38041889638407156</v>
      </c>
      <c r="B67" s="10"/>
      <c r="C67">
        <f ca="1"/>
        <v>1.3493225182325422E-3</v>
      </c>
      <c r="D67">
        <f ca="1"/>
        <v>1.3629520386187295E-3</v>
      </c>
      <c r="E67">
        <f ca="1"/>
        <v>3.8041889638407156E-3</v>
      </c>
      <c r="F67">
        <f ca="1"/>
        <v>3.8041889638407156E-3</v>
      </c>
      <c r="G67">
        <f ca="1"/>
        <v>0.39961659749926953</v>
      </c>
      <c r="H67">
        <f ca="1"/>
        <v>0.39833258929670756</v>
      </c>
      <c r="I67">
        <f ca="1"/>
        <v>0.36851533297759753</v>
      </c>
      <c r="J67">
        <f ca="1"/>
        <v>3.9833258929670761</v>
      </c>
      <c r="K67" s="49">
        <f ca="1"/>
        <v>1.4304073358873198E-4</v>
      </c>
    </row>
    <row r="68" spans="1:11" x14ac:dyDescent="0.25">
      <c r="A68" s="2">
        <f ca="1"/>
        <v>0.41669636630103923</v>
      </c>
      <c r="B68" s="10"/>
      <c r="C68">
        <f ca="1"/>
        <v>1.6290000384367221E-3</v>
      </c>
      <c r="D68">
        <f ca="1"/>
        <v>1.6454545842795173E-3</v>
      </c>
      <c r="E68">
        <f ca="1"/>
        <v>4.1669636630103923E-3</v>
      </c>
      <c r="F68">
        <f ca="1"/>
        <v>4.1669636630103923E-3</v>
      </c>
      <c r="G68">
        <f ca="1"/>
        <v>0.39309909585367614</v>
      </c>
      <c r="H68">
        <f ca="1"/>
        <v>0.43767173694346784</v>
      </c>
      <c r="I68">
        <f ca="1"/>
        <v>0.3625050738839114</v>
      </c>
      <c r="J68">
        <f ca="1"/>
        <v>4.3767173694346786</v>
      </c>
      <c r="K68" s="49">
        <f ca="1"/>
        <v>2.7625646404000487E-5</v>
      </c>
    </row>
    <row r="69" spans="1:11" x14ac:dyDescent="0.25">
      <c r="A69" s="2">
        <f ca="1"/>
        <v>0.43025238483096473</v>
      </c>
      <c r="B69" s="10"/>
      <c r="C69">
        <f ca="1"/>
        <v>1.7402642422376035E-3</v>
      </c>
      <c r="D69">
        <f ca="1"/>
        <v>1.7578426689268724E-3</v>
      </c>
      <c r="E69">
        <f ca="1"/>
        <v>4.3025238483096473E-3</v>
      </c>
      <c r="F69">
        <f ca="1"/>
        <v>4.3025238483096473E-3</v>
      </c>
      <c r="G69">
        <f ca="1"/>
        <v>0.39053588902490249</v>
      </c>
      <c r="H69">
        <f ca="1"/>
        <v>0.45237183084945248</v>
      </c>
      <c r="I69">
        <f ca="1"/>
        <v>0.3601413557002649</v>
      </c>
      <c r="J69">
        <f ca="1"/>
        <v>4.5237183084945247</v>
      </c>
      <c r="K69" s="49">
        <f ca="1"/>
        <v>1.4361605449212064E-5</v>
      </c>
    </row>
    <row r="70" spans="1:11" x14ac:dyDescent="0.25">
      <c r="A70" s="2">
        <f ca="1"/>
        <v>0.43579689190664794</v>
      </c>
      <c r="B70" s="10"/>
      <c r="C70">
        <f ca="1"/>
        <v>1.7868311153994394E-3</v>
      </c>
      <c r="D70">
        <f ca="1"/>
        <v>1.8048799145448883E-3</v>
      </c>
      <c r="E70">
        <f ca="1"/>
        <v>4.3579689190664794E-3</v>
      </c>
      <c r="F70">
        <f ca="1"/>
        <v>4.3579689190664794E-3</v>
      </c>
      <c r="G70">
        <f ca="1"/>
        <v>0.38946808994261617</v>
      </c>
      <c r="H70">
        <f ca="1"/>
        <v>0.45838427281351546</v>
      </c>
      <c r="I70">
        <f ca="1"/>
        <v>0.35915666102836091</v>
      </c>
      <c r="J70">
        <f ca="1"/>
        <v>4.5838427281351546</v>
      </c>
      <c r="K70" s="49">
        <f ca="1"/>
        <v>1.0921845377148595E-5</v>
      </c>
    </row>
    <row r="71" spans="1:11" x14ac:dyDescent="0.25">
      <c r="A71" s="2">
        <f ca="1"/>
        <v>0.43646991798595991</v>
      </c>
      <c r="B71" s="10"/>
      <c r="C71">
        <f ca="1"/>
        <v>1.7925255320487541E-3</v>
      </c>
      <c r="D71">
        <f ca="1"/>
        <v>1.8106318505542972E-3</v>
      </c>
      <c r="E71">
        <f ca="1"/>
        <v>4.3646991798595991E-3</v>
      </c>
      <c r="F71">
        <f ca="1"/>
        <v>4.3646991798595991E-3</v>
      </c>
      <c r="G71">
        <f ca="1"/>
        <v>0.38933771493838909</v>
      </c>
      <c r="H71">
        <f ca="1"/>
        <v>0.45911409968305106</v>
      </c>
      <c r="I71">
        <f ca="1"/>
        <v>0.35903643281863351</v>
      </c>
      <c r="J71">
        <f ca="1"/>
        <v>4.5911409968305108</v>
      </c>
      <c r="K71" s="49">
        <f ca="1"/>
        <v>1.0562227551086787E-5</v>
      </c>
    </row>
    <row r="72" spans="1:11" x14ac:dyDescent="0.25">
      <c r="A72" s="2">
        <f ca="1"/>
        <v>0.45014303395873867</v>
      </c>
      <c r="B72" s="10"/>
      <c r="C72">
        <f ca="1"/>
        <v>1.9101741727724469E-3</v>
      </c>
      <c r="D72">
        <f ca="1"/>
        <v>1.9294688613863103E-3</v>
      </c>
      <c r="E72">
        <f ca="1"/>
        <v>4.5014303395873867E-3</v>
      </c>
      <c r="F72">
        <f ca="1"/>
        <v>4.5014303395873867E-3</v>
      </c>
      <c r="G72">
        <f ca="1"/>
        <v>0.38665386573466676</v>
      </c>
      <c r="H72">
        <f ca="1"/>
        <v>0.47394117360180965</v>
      </c>
      <c r="I72">
        <f ca="1"/>
        <v>0.35656146158580532</v>
      </c>
      <c r="J72">
        <f ca="1"/>
        <v>4.7394117360180967</v>
      </c>
      <c r="K72" s="49">
        <f ca="1"/>
        <v>5.2886352351291815E-6</v>
      </c>
    </row>
    <row r="73" spans="1:11" x14ac:dyDescent="0.25">
      <c r="A73" s="2">
        <f ca="1"/>
        <v>0.47928892854542937</v>
      </c>
      <c r="B73" s="10"/>
      <c r="C73">
        <f ca="1"/>
        <v>2.1734364132282064E-3</v>
      </c>
      <c r="D73">
        <f ca="1"/>
        <v>2.195390316392128E-3</v>
      </c>
      <c r="E73">
        <f ca="1"/>
        <v>4.7928892854542937E-3</v>
      </c>
      <c r="F73">
        <f ca="1"/>
        <v>4.7928892854542937E-3</v>
      </c>
      <c r="G73">
        <f ca="1"/>
        <v>0.38071504764228725</v>
      </c>
      <c r="H73">
        <f ca="1"/>
        <v>0.50554686862593978</v>
      </c>
      <c r="I73">
        <f ca="1"/>
        <v>0.35108484840081211</v>
      </c>
      <c r="J73">
        <f ca="1"/>
        <v>5.055468686259398</v>
      </c>
      <c r="K73" s="49">
        <f ca="1"/>
        <v>1.1248955713542435E-6</v>
      </c>
    </row>
    <row r="74" spans="1:11" x14ac:dyDescent="0.25">
      <c r="A74" s="2">
        <f ca="1"/>
        <v>0.50206836021970958</v>
      </c>
      <c r="B74" s="10"/>
      <c r="C74">
        <f ca="1"/>
        <v>2.3910214462219289E-3</v>
      </c>
      <c r="D74">
        <f ca="1"/>
        <v>2.4151731780019487E-3</v>
      </c>
      <c r="E74">
        <f ca="1"/>
        <v>5.0206836021970958E-3</v>
      </c>
      <c r="F74">
        <f ca="1"/>
        <v>5.0206836021970958E-3</v>
      </c>
      <c r="G74">
        <f ca="1"/>
        <v>0.37587555363541381</v>
      </c>
      <c r="H74">
        <f ca="1"/>
        <v>0.53024879596527341</v>
      </c>
      <c r="I74">
        <f ca="1"/>
        <v>0.34662200137056748</v>
      </c>
      <c r="J74">
        <f ca="1"/>
        <v>5.3024879596527343</v>
      </c>
      <c r="K74" s="49">
        <f ca="1"/>
        <v>3.1297960310267832E-7</v>
      </c>
    </row>
    <row r="75" spans="1:11" x14ac:dyDescent="0.25">
      <c r="A75" s="2">
        <f ca="1"/>
        <v>0.54452812037197873</v>
      </c>
      <c r="B75" s="10"/>
      <c r="C75">
        <f ca="1"/>
        <v>2.8242898404280507E-3</v>
      </c>
      <c r="D75">
        <f ca="1"/>
        <v>2.8528180206343953E-3</v>
      </c>
      <c r="E75">
        <f ca="1"/>
        <v>5.4452812037197873E-3</v>
      </c>
      <c r="F75">
        <f ca="1"/>
        <v>5.4452812037197873E-3</v>
      </c>
      <c r="G75">
        <f ca="1"/>
        <v>0.36642130399481221</v>
      </c>
      <c r="H75">
        <f ca="1"/>
        <v>0.57629199516023433</v>
      </c>
      <c r="I75">
        <f ca="1"/>
        <v>0.33790355479912348</v>
      </c>
      <c r="J75">
        <f ca="1"/>
        <v>5.7629199516023437</v>
      </c>
      <c r="K75" s="49">
        <f ca="1"/>
        <v>2.4500759558394289E-8</v>
      </c>
    </row>
    <row r="76" spans="1:11" x14ac:dyDescent="0.25">
      <c r="A76" s="2">
        <f ca="1"/>
        <v>0.58019168136524968</v>
      </c>
      <c r="B76" s="10"/>
      <c r="C76">
        <f ca="1"/>
        <v>3.2160699358853187E-3</v>
      </c>
      <c r="D76">
        <f ca="1"/>
        <v>3.2485554907932513E-3</v>
      </c>
      <c r="E76">
        <f ca="1"/>
        <v>5.8019168136524968E-3</v>
      </c>
      <c r="F76">
        <f ca="1"/>
        <v>5.8019168136524968E-3</v>
      </c>
      <c r="G76">
        <f ca="1"/>
        <v>0.35807725947226093</v>
      </c>
      <c r="H76">
        <f ca="1"/>
        <v>0.61496542235167484</v>
      </c>
      <c r="I76">
        <f ca="1"/>
        <v>0.33020890856858626</v>
      </c>
      <c r="J76">
        <f ca="1"/>
        <v>6.1496542235167491</v>
      </c>
      <c r="K76" s="49">
        <f ca="1"/>
        <v>2.4478345322563782E-9</v>
      </c>
    </row>
    <row r="77" spans="1:11" x14ac:dyDescent="0.25">
      <c r="A77" s="2">
        <f ca="1"/>
        <v>0.63222842072718777</v>
      </c>
      <c r="B77" s="10"/>
      <c r="C77">
        <f ca="1"/>
        <v>3.8333530620196688E-3</v>
      </c>
      <c r="D77">
        <f ca="1"/>
        <v>3.8720738000198678E-3</v>
      </c>
      <c r="E77">
        <f ca="1"/>
        <v>6.3222842072718777E-3</v>
      </c>
      <c r="F77">
        <f ca="1"/>
        <v>6.3222842072718777E-3</v>
      </c>
      <c r="G77">
        <f ca="1"/>
        <v>0.34531434564431279</v>
      </c>
      <c r="H77">
        <f ca="1"/>
        <v>0.67139386064962259</v>
      </c>
      <c r="I77">
        <f ca="1"/>
        <v>0.31843930373109119</v>
      </c>
      <c r="J77">
        <f ca="1"/>
        <v>6.7139386064962263</v>
      </c>
      <c r="K77" s="49">
        <f ca="1"/>
        <v>6.4948638253546582E-11</v>
      </c>
    </row>
    <row r="78" spans="1:11" x14ac:dyDescent="0.25">
      <c r="A78" s="2">
        <f ca="1"/>
        <v>0.65395852288929746</v>
      </c>
      <c r="B78" s="10"/>
      <c r="C78">
        <f ca="1"/>
        <v>4.1071548837227486E-3</v>
      </c>
      <c r="D78">
        <f ca="1"/>
        <v>4.1486412966896457E-3</v>
      </c>
      <c r="E78">
        <f ca="1"/>
        <v>6.5395852288929746E-3</v>
      </c>
      <c r="F78">
        <f ca="1"/>
        <v>6.5395852288929746E-3</v>
      </c>
      <c r="G78">
        <f ca="1"/>
        <v>0.33979984947514863</v>
      </c>
      <c r="H78">
        <f ca="1"/>
        <v>0.69495789913662276</v>
      </c>
      <c r="I78">
        <f ca="1"/>
        <v>0.31335398844463858</v>
      </c>
      <c r="J78">
        <f ca="1"/>
        <v>6.949578991366228</v>
      </c>
      <c r="K78" s="49">
        <f ca="1"/>
        <v>1.2984528120556152E-11</v>
      </c>
    </row>
    <row r="79" spans="1:11" x14ac:dyDescent="0.25">
      <c r="A79" s="2">
        <f ca="1"/>
        <v>0.67879341258958448</v>
      </c>
      <c r="B79" s="10"/>
      <c r="C79">
        <f ca="1"/>
        <v>4.431641754897451E-3</v>
      </c>
      <c r="D79">
        <f ca="1"/>
        <v>4.4764058130277286E-3</v>
      </c>
      <c r="E79">
        <f ca="1"/>
        <v>6.7879341258958448E-3</v>
      </c>
      <c r="F79">
        <f ca="1"/>
        <v>6.7879341258958448E-3</v>
      </c>
      <c r="G79">
        <f ca="1"/>
        <v>0.33337844567030012</v>
      </c>
      <c r="H79">
        <f ca="1"/>
        <v>0.72188875718561929</v>
      </c>
      <c r="I79">
        <f ca="1"/>
        <v>0.30743234811204034</v>
      </c>
      <c r="J79">
        <f ca="1"/>
        <v>7.2188875718561931</v>
      </c>
      <c r="K79" s="49">
        <f ca="1"/>
        <v>1.9269023146404061E-12</v>
      </c>
    </row>
    <row r="80" spans="1:11" ht="15.75" thickBot="1" x14ac:dyDescent="0.3">
      <c r="A80" s="2">
        <f ca="1"/>
        <v>0.68004624154127669</v>
      </c>
      <c r="B80" s="19"/>
      <c r="C80">
        <f ca="1"/>
        <v>4.4483377600022626E-3</v>
      </c>
      <c r="D80">
        <f ca="1"/>
        <v>4.4932704646487506E-3</v>
      </c>
      <c r="E80">
        <f ca="1"/>
        <v>6.8004624154127669E-3</v>
      </c>
      <c r="F80">
        <f ca="1"/>
        <v>6.8004624154127669E-3</v>
      </c>
      <c r="G80">
        <f ca="1"/>
        <v>0.3330513439297213</v>
      </c>
      <c r="H80">
        <f ca="1"/>
        <v>0.72324732004073455</v>
      </c>
      <c r="I80">
        <f ca="1"/>
        <v>0.30713070396712427</v>
      </c>
      <c r="J80">
        <f ca="1"/>
        <v>7.2324732004073464</v>
      </c>
      <c r="K80" s="49">
        <f ca="1"/>
        <v>1.7467349203168164E-12</v>
      </c>
    </row>
    <row r="81" spans="1:11" ht="15.75" thickTop="1" x14ac:dyDescent="0.25">
      <c r="A81" s="2">
        <f ca="1"/>
        <v>0.7207165708678076</v>
      </c>
      <c r="B81" s="10"/>
      <c r="C81">
        <f ca="1"/>
        <v>5.0073870362110093E-3</v>
      </c>
      <c r="D81">
        <f ca="1"/>
        <v>5.0579667032434441E-3</v>
      </c>
      <c r="E81">
        <f ca="1"/>
        <v>7.207165708678076E-3</v>
      </c>
      <c r="F81">
        <f ca="1"/>
        <v>7.207165708678076E-3</v>
      </c>
      <c r="G81">
        <f ca="1"/>
        <v>0.32228200174288413</v>
      </c>
      <c r="H81">
        <f ca="1"/>
        <v>0.76735006739000444</v>
      </c>
      <c r="I81">
        <f ca="1"/>
        <v>0.29719951555611429</v>
      </c>
      <c r="J81">
        <f ca="1"/>
        <v>7.6735006739000449</v>
      </c>
      <c r="K81" s="49">
        <f ca="1"/>
        <v>6.5269938181941877E-14</v>
      </c>
    </row>
    <row r="82" spans="1:11" x14ac:dyDescent="0.25">
      <c r="A82" s="2">
        <f ca="1"/>
        <v>0.77340359894151334</v>
      </c>
      <c r="B82" s="10"/>
      <c r="C82">
        <f ca="1"/>
        <v>5.7808035722773446E-3</v>
      </c>
      <c r="D82">
        <f ca="1"/>
        <v>5.8391955275528739E-3</v>
      </c>
      <c r="E82">
        <f ca="1"/>
        <v>7.7340359894151334E-3</v>
      </c>
      <c r="F82">
        <f ca="1"/>
        <v>7.7340359894151334E-3</v>
      </c>
      <c r="G82">
        <f ca="1"/>
        <v>0.30795489912728136</v>
      </c>
      <c r="H82">
        <f ca="1"/>
        <v>0.82448367624432783</v>
      </c>
      <c r="I82">
        <f ca="1"/>
        <v>0.28398745924005314</v>
      </c>
      <c r="J82">
        <f ca="1"/>
        <v>8.2448367624432777</v>
      </c>
      <c r="K82" s="49">
        <f ca="1"/>
        <v>6.9154382168487801E-16</v>
      </c>
    </row>
    <row r="83" spans="1:11" x14ac:dyDescent="0.25">
      <c r="A83" s="2">
        <f ca="1"/>
        <v>0.81727648648666218</v>
      </c>
      <c r="B83" s="10"/>
      <c r="C83">
        <f ca="1"/>
        <v>6.4671970060896878E-3</v>
      </c>
      <c r="D83">
        <f ca="1"/>
        <v>6.5325222283734224E-3</v>
      </c>
      <c r="E83">
        <f ca="1"/>
        <v>8.1727648648666218E-3</v>
      </c>
      <c r="F83">
        <f ca="1"/>
        <v>8.1727648648666218E-3</v>
      </c>
      <c r="G83">
        <f ca="1"/>
        <v>0.29577420016744521</v>
      </c>
      <c r="H83">
        <f ca="1"/>
        <v>0.87205926530218192</v>
      </c>
      <c r="I83">
        <f ca="1"/>
        <v>0.27275475679182193</v>
      </c>
      <c r="J83">
        <f ca="1"/>
        <v>8.7205926530218196</v>
      </c>
      <c r="K83" s="49">
        <f ca="1"/>
        <v>1.2221846300105439E-17</v>
      </c>
    </row>
    <row r="84" spans="1:11" x14ac:dyDescent="0.25">
      <c r="A84" s="2">
        <f ca="1"/>
        <v>0.84472048911266029</v>
      </c>
      <c r="B84" s="10"/>
      <c r="C84">
        <f ca="1"/>
        <v>6.9161319551167971E-3</v>
      </c>
      <c r="D84">
        <f ca="1"/>
        <v>6.9859918738553505E-3</v>
      </c>
      <c r="E84">
        <f ca="1"/>
        <v>8.4472048911266029E-3</v>
      </c>
      <c r="F84">
        <f ca="1"/>
        <v>8.4472048911266029E-3</v>
      </c>
      <c r="G84">
        <f ca="1"/>
        <v>0.28806923775478949</v>
      </c>
      <c r="H84">
        <f ca="1"/>
        <v>0.90181943528628694</v>
      </c>
      <c r="I84">
        <f ca="1"/>
        <v>0.26564945434230369</v>
      </c>
      <c r="J84">
        <f ca="1"/>
        <v>9.0181943528628707</v>
      </c>
      <c r="K84" s="49">
        <f ca="1"/>
        <v>8.7256201303830146E-19</v>
      </c>
    </row>
    <row r="85" spans="1:11" x14ac:dyDescent="0.25">
      <c r="A85" s="2">
        <f ca="1"/>
        <v>0.87147327576531097</v>
      </c>
      <c r="B85" s="10"/>
      <c r="C85">
        <f ca="1"/>
        <v>7.3682589946985032E-3</v>
      </c>
      <c r="D85">
        <f ca="1"/>
        <v>7.4426858532308125E-3</v>
      </c>
      <c r="E85">
        <f ca="1"/>
        <v>8.7147327576531097E-3</v>
      </c>
      <c r="F85">
        <f ca="1"/>
        <v>8.7147327576531097E-3</v>
      </c>
      <c r="G85">
        <f ca="1"/>
        <v>0.28051233889706578</v>
      </c>
      <c r="H85">
        <f ca="1"/>
        <v>0.93083005335032842</v>
      </c>
      <c r="I85">
        <f ca="1"/>
        <v>0.25868069199294413</v>
      </c>
      <c r="J85">
        <f ca="1"/>
        <v>9.3083005335032851</v>
      </c>
      <c r="K85" s="49">
        <f ca="1"/>
        <v>6.1137107669451781E-20</v>
      </c>
    </row>
    <row r="86" spans="1:11" x14ac:dyDescent="0.25">
      <c r="A86" s="2">
        <f ca="1"/>
        <v>0.93142489276942797</v>
      </c>
      <c r="B86" s="10"/>
      <c r="C86">
        <f ca="1"/>
        <v>8.4334330959048229E-3</v>
      </c>
      <c r="D86">
        <f ca="1"/>
        <v>8.51861928879275E-3</v>
      </c>
      <c r="E86">
        <f ca="1"/>
        <v>9.3142489276942797E-3</v>
      </c>
      <c r="F86">
        <f ca="1"/>
        <v>9.3142489276942797E-3</v>
      </c>
      <c r="G86">
        <f ca="1"/>
        <v>0.26348330454584318</v>
      </c>
      <c r="H86">
        <f ca="1"/>
        <v>0.99584135425926779</v>
      </c>
      <c r="I86">
        <f ca="1"/>
        <v>0.24297698923510458</v>
      </c>
      <c r="J86">
        <f ca="1"/>
        <v>9.9584135425926785</v>
      </c>
      <c r="K86" s="49">
        <f ca="1"/>
        <v>1.1652473359467271E-22</v>
      </c>
    </row>
    <row r="87" spans="1:11" x14ac:dyDescent="0.25">
      <c r="A87" s="2">
        <f ca="1"/>
        <v>0.94556526164524257</v>
      </c>
      <c r="B87" s="10"/>
      <c r="C87">
        <f ca="1"/>
        <v>8.695145146319529E-3</v>
      </c>
      <c r="D87">
        <f ca="1"/>
        <v>8.7829748952722528E-3</v>
      </c>
      <c r="E87">
        <f ca="1"/>
        <v>9.4556526164524257E-3</v>
      </c>
      <c r="F87">
        <f ca="1"/>
        <v>9.4556526164524257E-3</v>
      </c>
      <c r="G87">
        <f ca="1"/>
        <v>0.25945997454298403</v>
      </c>
      <c r="H87">
        <f ca="1"/>
        <v>1.0111751154134641</v>
      </c>
      <c r="I87">
        <f ca="1"/>
        <v>0.23926678599289533</v>
      </c>
      <c r="J87">
        <f ca="1"/>
        <v>10.111751154134641</v>
      </c>
      <c r="K87" s="49">
        <f ca="1"/>
        <v>2.5011807092586108E-23</v>
      </c>
    </row>
    <row r="88" spans="1:11" x14ac:dyDescent="0.25">
      <c r="A88" s="2">
        <f ca="1"/>
        <v>1.0312191989214625</v>
      </c>
      <c r="B88" s="10"/>
      <c r="C88">
        <f ca="1"/>
        <v>1.0365918710128427E-2</v>
      </c>
      <c r="D88">
        <f ca="1"/>
        <v>1.0470624959725684E-2</v>
      </c>
      <c r="E88">
        <f ca="1"/>
        <v>1.0312191989214625E-2</v>
      </c>
      <c r="F88">
        <f ca="1"/>
        <v>1.0312191989214625E-2</v>
      </c>
      <c r="G88">
        <f ca="1"/>
        <v>0.23518397253649664</v>
      </c>
      <c r="H88">
        <f ca="1"/>
        <v>1.1040579127184535</v>
      </c>
      <c r="I88">
        <f ca="1"/>
        <v>0.21688013083700716</v>
      </c>
      <c r="J88">
        <f ca="1"/>
        <v>11.040579127184536</v>
      </c>
      <c r="K88" s="49">
        <f ca="1"/>
        <v>1.3548154500398677E-27</v>
      </c>
    </row>
    <row r="89" spans="1:11" x14ac:dyDescent="0.25">
      <c r="A89" s="2">
        <f ca="1"/>
        <v>1.0370945346949156</v>
      </c>
      <c r="B89" s="10"/>
      <c r="C89">
        <f ca="1"/>
        <v>1.0485901201222246E-2</v>
      </c>
      <c r="D89">
        <f ca="1"/>
        <v>1.0591819395173986E-2</v>
      </c>
      <c r="E89">
        <f ca="1"/>
        <v>1.0370945346949156E-2</v>
      </c>
      <c r="F89">
        <f ca="1"/>
        <v>1.0370945346949156E-2</v>
      </c>
      <c r="G89">
        <f ca="1"/>
        <v>0.23353071483204357</v>
      </c>
      <c r="H89">
        <f ca="1"/>
        <v>1.1104291040389944</v>
      </c>
      <c r="I89">
        <f ca="1"/>
        <v>0.21535554247589581</v>
      </c>
      <c r="J89">
        <f ca="1"/>
        <v>11.104291040389944</v>
      </c>
      <c r="K89" s="49">
        <f ca="1"/>
        <v>6.691274175937832E-28</v>
      </c>
    </row>
    <row r="90" spans="1:11" x14ac:dyDescent="0.25">
      <c r="A90" s="2">
        <f ca="1"/>
        <v>1.2127475201850757</v>
      </c>
      <c r="B90" s="10"/>
      <c r="C90">
        <f ca="1"/>
        <v>1.4391838278204859E-2</v>
      </c>
      <c r="D90">
        <f ca="1"/>
        <v>1.4537210382025111E-2</v>
      </c>
      <c r="E90">
        <f ca="1"/>
        <v>1.2127475201850757E-2</v>
      </c>
      <c r="F90">
        <f ca="1"/>
        <v>1.2127475201850757E-2</v>
      </c>
      <c r="G90">
        <f ca="1"/>
        <v>0.18561249124088669</v>
      </c>
      <c r="H90">
        <f ca="1"/>
        <v>1.3009065200938468</v>
      </c>
      <c r="I90">
        <f ca="1"/>
        <v>0.17116668687556652</v>
      </c>
      <c r="J90">
        <f ca="1"/>
        <v>13.009065200938469</v>
      </c>
      <c r="K90" s="49">
        <f ca="1"/>
        <v>7.1093178681806127E-38</v>
      </c>
    </row>
    <row r="91" spans="1:11" x14ac:dyDescent="0.25">
      <c r="A91" s="2">
        <f ca="1"/>
        <v>1.314901965088211</v>
      </c>
      <c r="B91" s="10"/>
      <c r="C91">
        <f ca="1"/>
        <v>1.6947205366737026E-2</v>
      </c>
      <c r="D91">
        <f ca="1"/>
        <v>1.7118389259330329E-2</v>
      </c>
      <c r="E91">
        <f ca="1"/>
        <v>1.314901965088211E-2</v>
      </c>
      <c r="F91">
        <f ca="1"/>
        <v>1.314901965088211E-2</v>
      </c>
      <c r="G91">
        <f ca="1"/>
        <v>0.15971906087560439</v>
      </c>
      <c r="H91">
        <f ca="1"/>
        <v>1.4116824038590392</v>
      </c>
      <c r="I91">
        <f ca="1"/>
        <v>0.1472884841865211</v>
      </c>
      <c r="J91">
        <f ca="1"/>
        <v>14.116824038590392</v>
      </c>
      <c r="K91" s="49">
        <f ca="1"/>
        <v>2.1221826061257763E-44</v>
      </c>
    </row>
    <row r="92" spans="1:11" x14ac:dyDescent="0.25">
      <c r="A92" s="2">
        <f ca="1"/>
        <v>1.3409498933469877</v>
      </c>
      <c r="B92" s="10"/>
      <c r="C92">
        <f ca="1"/>
        <v>1.7632181635259418E-2</v>
      </c>
      <c r="D92">
        <f ca="1"/>
        <v>1.7810284480060019E-2</v>
      </c>
      <c r="E92">
        <f ca="1"/>
        <v>1.3409498933469877E-2</v>
      </c>
      <c r="F92">
        <f ca="1"/>
        <v>1.3409498933469877E-2</v>
      </c>
      <c r="G92">
        <f ca="1"/>
        <v>0.15341439294186152</v>
      </c>
      <c r="H92">
        <f ca="1"/>
        <v>1.4399286762151211</v>
      </c>
      <c r="I92">
        <f ca="1"/>
        <v>0.14147449443370386</v>
      </c>
      <c r="J92">
        <f ca="1"/>
        <v>14.399286762151212</v>
      </c>
      <c r="K92" s="49">
        <f ca="1"/>
        <v>3.7819740743034026E-46</v>
      </c>
    </row>
    <row r="93" spans="1:11" x14ac:dyDescent="0.25">
      <c r="A93" s="2">
        <f ca="1"/>
        <v>1.3466114978655241</v>
      </c>
      <c r="B93" s="11"/>
      <c r="C93">
        <f ca="1"/>
        <v>1.7782858791573122E-2</v>
      </c>
      <c r="D93">
        <f ca="1"/>
        <v>1.796248362785164E-2</v>
      </c>
      <c r="E93">
        <f ca="1"/>
        <v>1.3466114978655241E-2</v>
      </c>
      <c r="F93">
        <f ca="1"/>
        <v>1.3466114978655241E-2</v>
      </c>
      <c r="G93">
        <f ca="1"/>
        <v>0.15206127045727927</v>
      </c>
      <c r="H93">
        <f ca="1"/>
        <v>1.446068098191958</v>
      </c>
      <c r="I93">
        <f ca="1"/>
        <v>0.14022668244069422</v>
      </c>
      <c r="J93">
        <f ca="1"/>
        <v>14.46068098191958</v>
      </c>
      <c r="K93" s="49">
        <f ca="1"/>
        <v>1.559442700391572E-46</v>
      </c>
    </row>
    <row r="94" spans="1:11" x14ac:dyDescent="0.25">
      <c r="A94" s="2">
        <f ca="1"/>
        <v>1.3609542293124832</v>
      </c>
      <c r="B94" s="11"/>
      <c r="C94">
        <f ca="1"/>
        <v>1.8167443422419795E-2</v>
      </c>
      <c r="D94">
        <f ca="1"/>
        <v>1.8350952951939187E-2</v>
      </c>
      <c r="E94">
        <f ca="1"/>
        <v>1.3609542293124832E-2</v>
      </c>
      <c r="F94">
        <f ca="1"/>
        <v>1.3609542293124832E-2</v>
      </c>
      <c r="G94">
        <f ca="1"/>
        <v>0.1486614531080212</v>
      </c>
      <c r="H94">
        <f ca="1"/>
        <v>1.4616213005332781</v>
      </c>
      <c r="I94">
        <f ca="1"/>
        <v>0.1370914652591127</v>
      </c>
      <c r="J94">
        <f ca="1"/>
        <v>14.616213005332781</v>
      </c>
      <c r="K94" s="49">
        <f ca="1"/>
        <v>1.6253440702151439E-47</v>
      </c>
    </row>
    <row r="95" spans="1:11" ht="15.75" thickBot="1" x14ac:dyDescent="0.3">
      <c r="A95" s="2">
        <f ca="1"/>
        <v>1.5286695997929201</v>
      </c>
      <c r="B95" s="24"/>
      <c r="C95">
        <f ca="1"/>
        <v>2.2969886764641956E-2</v>
      </c>
      <c r="D95">
        <f ca="1"/>
        <v>2.3201905822870666E-2</v>
      </c>
      <c r="E95">
        <f ca="1"/>
        <v>1.5286695997929201E-2</v>
      </c>
      <c r="F95">
        <f ca="1"/>
        <v>1.5286695997929201E-2</v>
      </c>
      <c r="G95">
        <f ca="1"/>
        <v>0.11209069816714831</v>
      </c>
      <c r="H95">
        <f ca="1"/>
        <v>1.643491197663979</v>
      </c>
      <c r="I95">
        <f ca="1"/>
        <v>0.10336693024576774</v>
      </c>
      <c r="J95">
        <f ca="1"/>
        <v>16.434911976639789</v>
      </c>
      <c r="K95" s="49">
        <f ca="1"/>
        <v>8.8728957307586842E-60</v>
      </c>
    </row>
    <row r="96" spans="1:11" ht="16.5" thickTop="1" thickBot="1" x14ac:dyDescent="0.3">
      <c r="A96" s="2">
        <f ca="1"/>
        <v>1.5963269106578082</v>
      </c>
      <c r="B96" s="68"/>
      <c r="C96">
        <f ca="1"/>
        <v>2.5066465877503046E-2</v>
      </c>
      <c r="D96">
        <f ca="1"/>
        <v>2.5319662502528328E-2</v>
      </c>
      <c r="E96">
        <f ca="1"/>
        <v>1.5963269106578082E-2</v>
      </c>
      <c r="F96">
        <f ca="1"/>
        <v>1.5963269106578082E-2</v>
      </c>
      <c r="G96">
        <f ca="1"/>
        <v>9.9090979489372025E-2</v>
      </c>
      <c r="H96">
        <f ca="1"/>
        <v>1.7168585231028382</v>
      </c>
      <c r="I96">
        <f ca="1"/>
        <v>9.1378950549392449E-2</v>
      </c>
      <c r="J96">
        <f ca="1"/>
        <v>17.168585231028381</v>
      </c>
      <c r="K96" s="49">
        <f ca="1"/>
        <v>3.931154284657833E-65</v>
      </c>
    </row>
    <row r="97" spans="1:11" ht="15.75" thickTop="1" x14ac:dyDescent="0.25">
      <c r="A97" s="2">
        <f ca="1"/>
        <v>1.6020976545405574</v>
      </c>
      <c r="C97">
        <f ca="1"/>
        <v>2.5249528259059507E-2</v>
      </c>
      <c r="D97">
        <f ca="1"/>
        <v>2.5504573999050009E-2</v>
      </c>
      <c r="E97">
        <f ca="1"/>
        <v>1.6020976545405574E-2</v>
      </c>
      <c r="F97">
        <f ca="1"/>
        <v>1.6020976545405574E-2</v>
      </c>
      <c r="G97">
        <f ca="1"/>
        <v>9.8030153815329132E-2</v>
      </c>
      <c r="H97">
        <f ca="1"/>
        <v>1.7231162953828429</v>
      </c>
      <c r="I97">
        <f ca="1"/>
        <v>9.0400686560990887E-2</v>
      </c>
      <c r="J97">
        <f ca="1"/>
        <v>17.231162953828431</v>
      </c>
      <c r="K97" s="49">
        <f ca="1"/>
        <v>1.3399122687181362E-65</v>
      </c>
    </row>
    <row r="98" spans="1:11" x14ac:dyDescent="0.25">
      <c r="A98" s="2">
        <f ca="1"/>
        <v>1.7566253518452868</v>
      </c>
      <c r="C98">
        <f ca="1"/>
        <v>3.0399237521831556E-2</v>
      </c>
      <c r="D98">
        <f ca="1"/>
        <v>3.0706300527102586E-2</v>
      </c>
      <c r="E98">
        <f ca="1"/>
        <v>1.7566253518452868E-2</v>
      </c>
      <c r="F98">
        <f ca="1"/>
        <v>1.7566253518452868E-2</v>
      </c>
      <c r="G98">
        <f ca="1"/>
        <v>7.242084111718268E-2</v>
      </c>
      <c r="H98">
        <f ca="1"/>
        <v>1.8906855308807509</v>
      </c>
      <c r="I98">
        <f ca="1"/>
        <v>6.678448929755737E-2</v>
      </c>
      <c r="J98">
        <f ca="1"/>
        <v>18.906855308807511</v>
      </c>
      <c r="K98" s="49">
        <f ca="1"/>
        <v>9.4943319075388562E-79</v>
      </c>
    </row>
    <row r="99" spans="1:11" x14ac:dyDescent="0.25">
      <c r="A99" s="2">
        <f ca="1"/>
        <v>1.7744332581060007</v>
      </c>
      <c r="C99">
        <f ca="1"/>
        <v>3.1023383859731368E-2</v>
      </c>
      <c r="D99">
        <f ca="1"/>
        <v>3.1336751373466032E-2</v>
      </c>
      <c r="E99">
        <f ca="1"/>
        <v>1.7744332581060007E-2</v>
      </c>
      <c r="F99">
        <f ca="1"/>
        <v>1.7744332581060007E-2</v>
      </c>
      <c r="G99">
        <f ca="1"/>
        <v>6.9811375433921075E-2</v>
      </c>
      <c r="H99">
        <f ca="1"/>
        <v>1.9099963553476531</v>
      </c>
      <c r="I99">
        <f ca="1"/>
        <v>6.4378112482433913E-2</v>
      </c>
      <c r="J99">
        <f ca="1"/>
        <v>19.099963553476535</v>
      </c>
      <c r="K99" s="49">
        <f ca="1"/>
        <v>2.419509985301375E-80</v>
      </c>
    </row>
    <row r="100" spans="1:11" x14ac:dyDescent="0.25">
      <c r="A100" s="2">
        <f ca="1"/>
        <v>2.0686820789705962</v>
      </c>
      <c r="C100">
        <f ca="1"/>
        <v>4.2254684970039133E-2</v>
      </c>
      <c r="D100">
        <f ca="1"/>
        <v>4.2681499969736497E-2</v>
      </c>
      <c r="E100">
        <f ca="1"/>
        <v>2.0686820789705962E-2</v>
      </c>
      <c r="F100">
        <f ca="1"/>
        <v>2.0686820789705962E-2</v>
      </c>
      <c r="G100">
        <f ca="1"/>
        <v>3.6069377117767552E-2</v>
      </c>
      <c r="H100">
        <f ca="1"/>
        <v>2.2290786352136851</v>
      </c>
      <c r="I100">
        <f ca="1"/>
        <v>3.3262178302974371E-2</v>
      </c>
      <c r="J100">
        <f ca="1"/>
        <v>22.290786352136852</v>
      </c>
      <c r="K100" s="49">
        <f ca="1"/>
        <v>5.0695826914714958E-109</v>
      </c>
    </row>
    <row r="101" spans="1:11" x14ac:dyDescent="0.25">
      <c r="A101" s="2">
        <f ca="1"/>
        <v>2.3146822059061378</v>
      </c>
      <c r="C101">
        <f ca="1"/>
        <v>5.2973375452231547E-2</v>
      </c>
      <c r="D101">
        <f ca="1"/>
        <v>5.3508460052759138E-2</v>
      </c>
      <c r="E101">
        <f ca="1"/>
        <v>2.3146822059061378E-2</v>
      </c>
      <c r="F101">
        <f ca="1"/>
        <v>2.3146822059061378E-2</v>
      </c>
      <c r="G101">
        <f ca="1"/>
        <v>1.9206155157277645E-2</v>
      </c>
      <c r="H101">
        <f ca="1"/>
        <v>2.4958402185542234</v>
      </c>
      <c r="I101">
        <f ca="1"/>
        <v>1.7711383128966536E-2</v>
      </c>
      <c r="J101">
        <f ca="1"/>
        <v>24.958402185542234</v>
      </c>
      <c r="K101" s="49">
        <f ca="1"/>
        <v>2.1634718869347315E-136</v>
      </c>
    </row>
    <row r="102" spans="1:11" x14ac:dyDescent="0.25">
      <c r="A102" s="2" t="e">
        <f ca="1"/>
        <v>#N/A</v>
      </c>
      <c r="C102" t="e">
        <f ca="1"/>
        <v>#N/A</v>
      </c>
      <c r="D102" t="e">
        <f ca="1"/>
        <v>#N/A</v>
      </c>
      <c r="E102" t="e">
        <f ca="1"/>
        <v>#N/A</v>
      </c>
      <c r="F102" t="e">
        <f ca="1"/>
        <v>#N/A</v>
      </c>
      <c r="G102" t="e">
        <f ca="1"/>
        <v>#N/A</v>
      </c>
      <c r="H102" t="e">
        <f ca="1"/>
        <v>#N/A</v>
      </c>
      <c r="I102" t="e">
        <f ca="1"/>
        <v>#N/A</v>
      </c>
      <c r="J102" t="e">
        <f ca="1"/>
        <v>#N/A</v>
      </c>
      <c r="K102" s="49" t="e">
        <f ca="1"/>
        <v>#N/A</v>
      </c>
    </row>
    <row r="103" spans="1:11" x14ac:dyDescent="0.25">
      <c r="A103" s="2" t="e">
        <f ca="1"/>
        <v>#N/A</v>
      </c>
      <c r="C103" t="e">
        <f ca="1"/>
        <v>#N/A</v>
      </c>
      <c r="D103" t="e">
        <f ca="1"/>
        <v>#N/A</v>
      </c>
      <c r="E103" t="e">
        <f ca="1"/>
        <v>#N/A</v>
      </c>
      <c r="F103" t="e">
        <f ca="1"/>
        <v>#N/A</v>
      </c>
      <c r="G103" t="e">
        <f ca="1"/>
        <v>#N/A</v>
      </c>
      <c r="H103" t="e">
        <f ca="1"/>
        <v>#N/A</v>
      </c>
      <c r="I103" t="e">
        <f ca="1"/>
        <v>#N/A</v>
      </c>
      <c r="J103" t="e">
        <f ca="1"/>
        <v>#N/A</v>
      </c>
      <c r="K103" s="49" t="e">
        <f ca="1"/>
        <v>#N/A</v>
      </c>
    </row>
    <row r="104" spans="1:11" x14ac:dyDescent="0.25">
      <c r="A104" s="2" t="e">
        <f ca="1"/>
        <v>#N/A</v>
      </c>
      <c r="C104" t="e">
        <f ca="1"/>
        <v>#N/A</v>
      </c>
      <c r="D104" t="e">
        <f ca="1"/>
        <v>#N/A</v>
      </c>
      <c r="E104" t="e">
        <f ca="1"/>
        <v>#N/A</v>
      </c>
      <c r="F104" t="e">
        <f ca="1"/>
        <v>#N/A</v>
      </c>
      <c r="G104" t="e">
        <f ca="1"/>
        <v>#N/A</v>
      </c>
      <c r="H104" t="e">
        <f ca="1"/>
        <v>#N/A</v>
      </c>
      <c r="I104" t="e">
        <f ca="1"/>
        <v>#N/A</v>
      </c>
      <c r="J104" t="e">
        <f ca="1"/>
        <v>#N/A</v>
      </c>
      <c r="K104" s="49" t="e">
        <f ca="1"/>
        <v>#N/A</v>
      </c>
    </row>
    <row r="105" spans="1:11" x14ac:dyDescent="0.25">
      <c r="A105" s="2" t="e">
        <f ca="1"/>
        <v>#N/A</v>
      </c>
      <c r="C105" t="e">
        <f ca="1"/>
        <v>#N/A</v>
      </c>
      <c r="D105" t="e">
        <f ca="1"/>
        <v>#N/A</v>
      </c>
      <c r="E105" t="e">
        <f ca="1"/>
        <v>#N/A</v>
      </c>
      <c r="F105" t="e">
        <f ca="1"/>
        <v>#N/A</v>
      </c>
      <c r="G105" t="e">
        <f ca="1"/>
        <v>#N/A</v>
      </c>
      <c r="H105" t="e">
        <f ca="1"/>
        <v>#N/A</v>
      </c>
      <c r="I105" t="e">
        <f ca="1"/>
        <v>#N/A</v>
      </c>
      <c r="J105" t="e">
        <f ca="1"/>
        <v>#N/A</v>
      </c>
      <c r="K105" s="49" t="e">
        <f ca="1"/>
        <v>#N/A</v>
      </c>
    </row>
    <row r="106" spans="1:11" x14ac:dyDescent="0.25">
      <c r="A106" s="2" t="e">
        <f ca="1"/>
        <v>#N/A</v>
      </c>
      <c r="C106" t="e">
        <f ca="1"/>
        <v>#N/A</v>
      </c>
      <c r="D106" t="e">
        <f ca="1"/>
        <v>#N/A</v>
      </c>
      <c r="E106" t="e">
        <f ca="1"/>
        <v>#N/A</v>
      </c>
      <c r="F106" t="e">
        <f ca="1"/>
        <v>#N/A</v>
      </c>
      <c r="G106" t="e">
        <f ca="1"/>
        <v>#N/A</v>
      </c>
      <c r="H106" t="e">
        <f ca="1"/>
        <v>#N/A</v>
      </c>
      <c r="I106" t="e">
        <f ca="1"/>
        <v>#N/A</v>
      </c>
      <c r="J106" t="e">
        <f ca="1"/>
        <v>#N/A</v>
      </c>
      <c r="K106" s="49" t="e">
        <f ca="1"/>
        <v>#N/A</v>
      </c>
    </row>
    <row r="107" spans="1:11" x14ac:dyDescent="0.25">
      <c r="A107" s="2" t="e">
        <f ca="1"/>
        <v>#N/A</v>
      </c>
      <c r="C107" t="e">
        <f ca="1"/>
        <v>#N/A</v>
      </c>
      <c r="D107" t="e">
        <f ca="1"/>
        <v>#N/A</v>
      </c>
      <c r="E107" t="e">
        <f ca="1"/>
        <v>#N/A</v>
      </c>
      <c r="F107" t="e">
        <f ca="1"/>
        <v>#N/A</v>
      </c>
      <c r="G107" t="e">
        <f ca="1"/>
        <v>#N/A</v>
      </c>
      <c r="H107" t="e">
        <f ca="1"/>
        <v>#N/A</v>
      </c>
      <c r="I107" t="e">
        <f ca="1"/>
        <v>#N/A</v>
      </c>
      <c r="J107" t="e">
        <f ca="1"/>
        <v>#N/A</v>
      </c>
      <c r="K107" s="49" t="e">
        <f ca="1"/>
        <v>#N/A</v>
      </c>
    </row>
    <row r="108" spans="1:11" x14ac:dyDescent="0.25">
      <c r="A108" s="2" t="e">
        <f ca="1"/>
        <v>#N/A</v>
      </c>
      <c r="C108" t="e">
        <f ca="1"/>
        <v>#N/A</v>
      </c>
      <c r="D108" t="e">
        <f ca="1"/>
        <v>#N/A</v>
      </c>
      <c r="E108" t="e">
        <f ca="1"/>
        <v>#N/A</v>
      </c>
      <c r="F108" t="e">
        <f ca="1"/>
        <v>#N/A</v>
      </c>
      <c r="G108" t="e">
        <f ca="1"/>
        <v>#N/A</v>
      </c>
      <c r="H108" t="e">
        <f ca="1"/>
        <v>#N/A</v>
      </c>
      <c r="I108" t="e">
        <f ca="1"/>
        <v>#N/A</v>
      </c>
      <c r="J108" t="e">
        <f ca="1"/>
        <v>#N/A</v>
      </c>
      <c r="K108" s="49" t="e">
        <f ca="1"/>
        <v>#N/A</v>
      </c>
    </row>
    <row r="109" spans="1:11" x14ac:dyDescent="0.25">
      <c r="A109" s="2" t="e">
        <f ca="1"/>
        <v>#N/A</v>
      </c>
      <c r="C109" t="e">
        <f ca="1"/>
        <v>#N/A</v>
      </c>
      <c r="D109" t="e">
        <f ca="1"/>
        <v>#N/A</v>
      </c>
      <c r="E109" t="e">
        <f ca="1"/>
        <v>#N/A</v>
      </c>
      <c r="F109" t="e">
        <f ca="1"/>
        <v>#N/A</v>
      </c>
      <c r="G109" t="e">
        <f ca="1"/>
        <v>#N/A</v>
      </c>
      <c r="H109" t="e">
        <f ca="1"/>
        <v>#N/A</v>
      </c>
      <c r="I109" t="e">
        <f ca="1"/>
        <v>#N/A</v>
      </c>
      <c r="J109" t="e">
        <f ca="1"/>
        <v>#N/A</v>
      </c>
      <c r="K109" s="49" t="e">
        <f ca="1"/>
        <v>#N/A</v>
      </c>
    </row>
    <row r="110" spans="1:11" x14ac:dyDescent="0.25">
      <c r="A110" s="2" t="e">
        <f ca="1"/>
        <v>#N/A</v>
      </c>
      <c r="C110" t="e">
        <f ca="1"/>
        <v>#N/A</v>
      </c>
      <c r="D110" t="e">
        <f ca="1"/>
        <v>#N/A</v>
      </c>
      <c r="E110" t="e">
        <f ca="1"/>
        <v>#N/A</v>
      </c>
      <c r="F110" t="e">
        <f ca="1"/>
        <v>#N/A</v>
      </c>
      <c r="G110" t="e">
        <f ca="1"/>
        <v>#N/A</v>
      </c>
      <c r="H110" t="e">
        <f ca="1"/>
        <v>#N/A</v>
      </c>
      <c r="I110" t="e">
        <f ca="1"/>
        <v>#N/A</v>
      </c>
      <c r="J110" t="e">
        <f ca="1"/>
        <v>#N/A</v>
      </c>
      <c r="K110" s="49" t="e">
        <f ca="1"/>
        <v>#N/A</v>
      </c>
    </row>
    <row r="111" spans="1:11" x14ac:dyDescent="0.25">
      <c r="A111" s="2" t="e">
        <f ca="1"/>
        <v>#N/A</v>
      </c>
      <c r="C111" t="e">
        <f ca="1"/>
        <v>#N/A</v>
      </c>
      <c r="D111" t="e">
        <f ca="1"/>
        <v>#N/A</v>
      </c>
      <c r="E111" t="e">
        <f ca="1"/>
        <v>#N/A</v>
      </c>
      <c r="F111" t="e">
        <f ca="1"/>
        <v>#N/A</v>
      </c>
      <c r="G111" t="e">
        <f ca="1"/>
        <v>#N/A</v>
      </c>
      <c r="H111" t="e">
        <f ca="1"/>
        <v>#N/A</v>
      </c>
      <c r="I111" t="e">
        <f ca="1"/>
        <v>#N/A</v>
      </c>
      <c r="J111" t="e">
        <f ca="1"/>
        <v>#N/A</v>
      </c>
      <c r="K111" s="49" t="e">
        <f ca="1"/>
        <v>#N/A</v>
      </c>
    </row>
    <row r="112" spans="1:11" x14ac:dyDescent="0.25">
      <c r="A112" s="2" t="e">
        <f ca="1"/>
        <v>#N/A</v>
      </c>
      <c r="C112" t="e">
        <f ca="1"/>
        <v>#N/A</v>
      </c>
      <c r="D112" t="e">
        <f ca="1"/>
        <v>#N/A</v>
      </c>
      <c r="E112" t="e">
        <f ca="1"/>
        <v>#N/A</v>
      </c>
      <c r="F112" t="e">
        <f ca="1"/>
        <v>#N/A</v>
      </c>
      <c r="G112" t="e">
        <f ca="1"/>
        <v>#N/A</v>
      </c>
      <c r="H112" t="e">
        <f ca="1"/>
        <v>#N/A</v>
      </c>
      <c r="I112" t="e">
        <f ca="1"/>
        <v>#N/A</v>
      </c>
      <c r="J112" t="e">
        <f ca="1"/>
        <v>#N/A</v>
      </c>
      <c r="K112" s="49" t="e">
        <f ca="1"/>
        <v>#N/A</v>
      </c>
    </row>
    <row r="113" spans="1:11" x14ac:dyDescent="0.25">
      <c r="A113" s="2" t="e">
        <f ca="1"/>
        <v>#N/A</v>
      </c>
      <c r="C113" t="e">
        <f ca="1"/>
        <v>#N/A</v>
      </c>
      <c r="D113" t="e">
        <f ca="1"/>
        <v>#N/A</v>
      </c>
      <c r="E113" t="e">
        <f ca="1"/>
        <v>#N/A</v>
      </c>
      <c r="F113" t="e">
        <f ca="1"/>
        <v>#N/A</v>
      </c>
      <c r="G113" t="e">
        <f ca="1"/>
        <v>#N/A</v>
      </c>
      <c r="H113" t="e">
        <f ca="1"/>
        <v>#N/A</v>
      </c>
      <c r="I113" t="e">
        <f ca="1"/>
        <v>#N/A</v>
      </c>
      <c r="J113" t="e">
        <f ca="1"/>
        <v>#N/A</v>
      </c>
      <c r="K113" s="49" t="e">
        <f ca="1"/>
        <v>#N/A</v>
      </c>
    </row>
    <row r="114" spans="1:11" x14ac:dyDescent="0.25">
      <c r="A114" s="2" t="e">
        <f ca="1"/>
        <v>#N/A</v>
      </c>
      <c r="C114" t="e">
        <f ca="1"/>
        <v>#N/A</v>
      </c>
      <c r="D114" t="e">
        <f ca="1"/>
        <v>#N/A</v>
      </c>
      <c r="E114" t="e">
        <f ca="1"/>
        <v>#N/A</v>
      </c>
      <c r="F114" t="e">
        <f ca="1"/>
        <v>#N/A</v>
      </c>
      <c r="G114" t="e">
        <f ca="1"/>
        <v>#N/A</v>
      </c>
      <c r="H114" t="e">
        <f ca="1"/>
        <v>#N/A</v>
      </c>
      <c r="I114" t="e">
        <f ca="1"/>
        <v>#N/A</v>
      </c>
      <c r="J114" t="e">
        <f ca="1"/>
        <v>#N/A</v>
      </c>
      <c r="K114" s="49" t="e">
        <f ca="1"/>
        <v>#N/A</v>
      </c>
    </row>
    <row r="115" spans="1:11" x14ac:dyDescent="0.25">
      <c r="A115" s="2" t="e">
        <f ca="1"/>
        <v>#N/A</v>
      </c>
      <c r="C115" t="e">
        <f ca="1"/>
        <v>#N/A</v>
      </c>
      <c r="D115" t="e">
        <f ca="1"/>
        <v>#N/A</v>
      </c>
      <c r="E115" t="e">
        <f ca="1"/>
        <v>#N/A</v>
      </c>
      <c r="F115" t="e">
        <f ca="1"/>
        <v>#N/A</v>
      </c>
      <c r="G115" t="e">
        <f ca="1"/>
        <v>#N/A</v>
      </c>
      <c r="H115" t="e">
        <f ca="1"/>
        <v>#N/A</v>
      </c>
      <c r="I115" t="e">
        <f ca="1"/>
        <v>#N/A</v>
      </c>
      <c r="J115" t="e">
        <f ca="1"/>
        <v>#N/A</v>
      </c>
      <c r="K115" s="49" t="e">
        <f ca="1"/>
        <v>#N/A</v>
      </c>
    </row>
    <row r="116" spans="1:11" x14ac:dyDescent="0.25">
      <c r="A116" s="2" t="e">
        <f ca="1"/>
        <v>#N/A</v>
      </c>
      <c r="C116" t="e">
        <f ca="1"/>
        <v>#N/A</v>
      </c>
      <c r="D116" t="e">
        <f ca="1"/>
        <v>#N/A</v>
      </c>
      <c r="E116" t="e">
        <f ca="1"/>
        <v>#N/A</v>
      </c>
      <c r="F116" t="e">
        <f ca="1"/>
        <v>#N/A</v>
      </c>
      <c r="G116" t="e">
        <f ca="1"/>
        <v>#N/A</v>
      </c>
      <c r="H116" t="e">
        <f ca="1"/>
        <v>#N/A</v>
      </c>
      <c r="I116" t="e">
        <f ca="1"/>
        <v>#N/A</v>
      </c>
      <c r="J116" t="e">
        <f ca="1"/>
        <v>#N/A</v>
      </c>
      <c r="K116" s="49" t="e">
        <f ca="1"/>
        <v>#N/A</v>
      </c>
    </row>
    <row r="117" spans="1:11" x14ac:dyDescent="0.25">
      <c r="A117" s="2" t="e">
        <f ca="1"/>
        <v>#N/A</v>
      </c>
      <c r="C117" t="e">
        <f ca="1"/>
        <v>#N/A</v>
      </c>
      <c r="D117" t="e">
        <f ca="1"/>
        <v>#N/A</v>
      </c>
      <c r="E117" t="e">
        <f ca="1"/>
        <v>#N/A</v>
      </c>
      <c r="F117" t="e">
        <f ca="1"/>
        <v>#N/A</v>
      </c>
      <c r="G117" t="e">
        <f ca="1"/>
        <v>#N/A</v>
      </c>
      <c r="H117" t="e">
        <f ca="1"/>
        <v>#N/A</v>
      </c>
      <c r="I117" t="e">
        <f ca="1"/>
        <v>#N/A</v>
      </c>
      <c r="J117" t="e">
        <f ca="1"/>
        <v>#N/A</v>
      </c>
      <c r="K117" s="49" t="e">
        <f ca="1"/>
        <v>#N/A</v>
      </c>
    </row>
    <row r="118" spans="1:11" x14ac:dyDescent="0.25">
      <c r="A118" s="2" t="e">
        <f ca="1"/>
        <v>#N/A</v>
      </c>
      <c r="C118" t="e">
        <f ca="1"/>
        <v>#N/A</v>
      </c>
      <c r="D118" t="e">
        <f ca="1"/>
        <v>#N/A</v>
      </c>
      <c r="E118" t="e">
        <f ca="1"/>
        <v>#N/A</v>
      </c>
      <c r="F118" t="e">
        <f ca="1"/>
        <v>#N/A</v>
      </c>
      <c r="G118" t="e">
        <f ca="1"/>
        <v>#N/A</v>
      </c>
      <c r="H118" t="e">
        <f ca="1"/>
        <v>#N/A</v>
      </c>
      <c r="I118" t="e">
        <f ca="1"/>
        <v>#N/A</v>
      </c>
      <c r="J118" t="e">
        <f ca="1"/>
        <v>#N/A</v>
      </c>
      <c r="K118" s="49" t="e">
        <f ca="1"/>
        <v>#N/A</v>
      </c>
    </row>
    <row r="119" spans="1:11" x14ac:dyDescent="0.25">
      <c r="A119" s="2" t="e">
        <f ca="1"/>
        <v>#N/A</v>
      </c>
      <c r="C119" t="e">
        <f ca="1"/>
        <v>#N/A</v>
      </c>
      <c r="D119" t="e">
        <f ca="1"/>
        <v>#N/A</v>
      </c>
      <c r="E119" t="e">
        <f ca="1"/>
        <v>#N/A</v>
      </c>
      <c r="F119" t="e">
        <f ca="1"/>
        <v>#N/A</v>
      </c>
      <c r="G119" t="e">
        <f ca="1"/>
        <v>#N/A</v>
      </c>
      <c r="H119" t="e">
        <f ca="1"/>
        <v>#N/A</v>
      </c>
      <c r="I119" t="e">
        <f ca="1"/>
        <v>#N/A</v>
      </c>
      <c r="J119" t="e">
        <f ca="1"/>
        <v>#N/A</v>
      </c>
      <c r="K119" s="49" t="e">
        <f ca="1"/>
        <v>#N/A</v>
      </c>
    </row>
    <row r="120" spans="1:11" x14ac:dyDescent="0.25">
      <c r="A120" s="2" t="e">
        <f ca="1"/>
        <v>#N/A</v>
      </c>
      <c r="C120" t="e">
        <f ca="1"/>
        <v>#N/A</v>
      </c>
      <c r="D120" t="e">
        <f ca="1"/>
        <v>#N/A</v>
      </c>
      <c r="E120" t="e">
        <f ca="1"/>
        <v>#N/A</v>
      </c>
      <c r="F120" t="e">
        <f ca="1"/>
        <v>#N/A</v>
      </c>
      <c r="G120" t="e">
        <f ca="1"/>
        <v>#N/A</v>
      </c>
      <c r="H120" t="e">
        <f ca="1"/>
        <v>#N/A</v>
      </c>
      <c r="I120" t="e">
        <f ca="1"/>
        <v>#N/A</v>
      </c>
      <c r="J120" t="e">
        <f ca="1"/>
        <v>#N/A</v>
      </c>
      <c r="K120" s="49" t="e">
        <f ca="1"/>
        <v>#N/A</v>
      </c>
    </row>
    <row r="121" spans="1:11" x14ac:dyDescent="0.25">
      <c r="A121" s="2" t="e">
        <f ca="1"/>
        <v>#N/A</v>
      </c>
      <c r="C121" t="e">
        <f ca="1"/>
        <v>#N/A</v>
      </c>
      <c r="D121" t="e">
        <f ca="1"/>
        <v>#N/A</v>
      </c>
      <c r="E121" t="e">
        <f ca="1"/>
        <v>#N/A</v>
      </c>
      <c r="F121" t="e">
        <f ca="1"/>
        <v>#N/A</v>
      </c>
      <c r="G121" t="e">
        <f ca="1"/>
        <v>#N/A</v>
      </c>
      <c r="H121" t="e">
        <f ca="1"/>
        <v>#N/A</v>
      </c>
      <c r="I121" t="e">
        <f ca="1"/>
        <v>#N/A</v>
      </c>
      <c r="J121" t="e">
        <f ca="1"/>
        <v>#N/A</v>
      </c>
      <c r="K121" s="49" t="e">
        <f ca="1"/>
        <v>#N/A</v>
      </c>
    </row>
    <row r="122" spans="1:11" x14ac:dyDescent="0.25">
      <c r="A122" s="2" t="e">
        <f ca="1"/>
        <v>#N/A</v>
      </c>
      <c r="C122" t="e">
        <f ca="1"/>
        <v>#N/A</v>
      </c>
      <c r="D122" t="e">
        <f ca="1"/>
        <v>#N/A</v>
      </c>
      <c r="E122" t="e">
        <f ca="1"/>
        <v>#N/A</v>
      </c>
      <c r="F122" t="e">
        <f ca="1"/>
        <v>#N/A</v>
      </c>
      <c r="G122" t="e">
        <f ca="1"/>
        <v>#N/A</v>
      </c>
      <c r="H122" t="e">
        <f ca="1"/>
        <v>#N/A</v>
      </c>
      <c r="I122" t="e">
        <f ca="1"/>
        <v>#N/A</v>
      </c>
      <c r="J122" t="e">
        <f ca="1"/>
        <v>#N/A</v>
      </c>
      <c r="K122" s="49" t="e">
        <f ca="1"/>
        <v>#N/A</v>
      </c>
    </row>
    <row r="123" spans="1:11" x14ac:dyDescent="0.25">
      <c r="A123" s="2" t="e">
        <f ca="1"/>
        <v>#N/A</v>
      </c>
      <c r="C123" t="e">
        <f ca="1"/>
        <v>#N/A</v>
      </c>
      <c r="D123" t="e">
        <f ca="1"/>
        <v>#N/A</v>
      </c>
      <c r="E123" t="e">
        <f ca="1"/>
        <v>#N/A</v>
      </c>
      <c r="F123" t="e">
        <f ca="1"/>
        <v>#N/A</v>
      </c>
      <c r="G123" t="e">
        <f ca="1"/>
        <v>#N/A</v>
      </c>
      <c r="H123" t="e">
        <f ca="1"/>
        <v>#N/A</v>
      </c>
      <c r="I123" t="e">
        <f ca="1"/>
        <v>#N/A</v>
      </c>
      <c r="J123" t="e">
        <f ca="1"/>
        <v>#N/A</v>
      </c>
      <c r="K123" s="49" t="e">
        <f ca="1"/>
        <v>#N/A</v>
      </c>
    </row>
    <row r="124" spans="1:11" x14ac:dyDescent="0.25">
      <c r="A124" s="2" t="e">
        <f ca="1"/>
        <v>#N/A</v>
      </c>
      <c r="C124" t="e">
        <f ca="1"/>
        <v>#N/A</v>
      </c>
      <c r="D124" t="e">
        <f ca="1"/>
        <v>#N/A</v>
      </c>
      <c r="E124" t="e">
        <f ca="1"/>
        <v>#N/A</v>
      </c>
      <c r="F124" t="e">
        <f ca="1"/>
        <v>#N/A</v>
      </c>
      <c r="G124" t="e">
        <f ca="1"/>
        <v>#N/A</v>
      </c>
      <c r="H124" t="e">
        <f ca="1"/>
        <v>#N/A</v>
      </c>
      <c r="I124" t="e">
        <f ca="1"/>
        <v>#N/A</v>
      </c>
      <c r="J124" t="e">
        <f ca="1"/>
        <v>#N/A</v>
      </c>
      <c r="K124" s="49" t="e">
        <f ca="1"/>
        <v>#N/A</v>
      </c>
    </row>
    <row r="125" spans="1:11" x14ac:dyDescent="0.25">
      <c r="A125" s="2" t="e">
        <f ca="1"/>
        <v>#N/A</v>
      </c>
      <c r="C125" t="e">
        <f ca="1"/>
        <v>#N/A</v>
      </c>
      <c r="D125" t="e">
        <f ca="1"/>
        <v>#N/A</v>
      </c>
      <c r="E125" t="e">
        <f ca="1"/>
        <v>#N/A</v>
      </c>
      <c r="F125" t="e">
        <f ca="1"/>
        <v>#N/A</v>
      </c>
      <c r="G125" t="e">
        <f ca="1"/>
        <v>#N/A</v>
      </c>
      <c r="H125" t="e">
        <f ca="1"/>
        <v>#N/A</v>
      </c>
      <c r="I125" t="e">
        <f ca="1"/>
        <v>#N/A</v>
      </c>
      <c r="J125" t="e">
        <f ca="1"/>
        <v>#N/A</v>
      </c>
      <c r="K125" s="49" t="e">
        <f ca="1"/>
        <v>#N/A</v>
      </c>
    </row>
    <row r="126" spans="1:11" x14ac:dyDescent="0.25">
      <c r="A126" s="2" t="e">
        <f ca="1"/>
        <v>#N/A</v>
      </c>
      <c r="C126" t="e">
        <f ca="1"/>
        <v>#N/A</v>
      </c>
      <c r="D126" t="e">
        <f ca="1"/>
        <v>#N/A</v>
      </c>
      <c r="E126" t="e">
        <f ca="1"/>
        <v>#N/A</v>
      </c>
      <c r="F126" t="e">
        <f ca="1"/>
        <v>#N/A</v>
      </c>
      <c r="G126" t="e">
        <f ca="1"/>
        <v>#N/A</v>
      </c>
      <c r="H126" t="e">
        <f ca="1"/>
        <v>#N/A</v>
      </c>
      <c r="I126" t="e">
        <f ca="1"/>
        <v>#N/A</v>
      </c>
      <c r="J126" t="e">
        <f ca="1"/>
        <v>#N/A</v>
      </c>
      <c r="K126" s="49" t="e">
        <f ca="1"/>
        <v>#N/A</v>
      </c>
    </row>
    <row r="127" spans="1:11" x14ac:dyDescent="0.25">
      <c r="A127" s="2" t="e">
        <f ca="1"/>
        <v>#N/A</v>
      </c>
      <c r="C127" t="e">
        <f ca="1"/>
        <v>#N/A</v>
      </c>
      <c r="D127" t="e">
        <f ca="1"/>
        <v>#N/A</v>
      </c>
      <c r="E127" t="e">
        <f ca="1"/>
        <v>#N/A</v>
      </c>
      <c r="F127" t="e">
        <f ca="1"/>
        <v>#N/A</v>
      </c>
      <c r="G127" t="e">
        <f ca="1"/>
        <v>#N/A</v>
      </c>
      <c r="H127" t="e">
        <f ca="1"/>
        <v>#N/A</v>
      </c>
      <c r="I127" t="e">
        <f ca="1"/>
        <v>#N/A</v>
      </c>
      <c r="J127" t="e">
        <f ca="1"/>
        <v>#N/A</v>
      </c>
      <c r="K127" s="49" t="e">
        <f ca="1"/>
        <v>#N/A</v>
      </c>
    </row>
    <row r="128" spans="1:11" x14ac:dyDescent="0.25">
      <c r="A128" s="2" t="e">
        <f ca="1"/>
        <v>#N/A</v>
      </c>
      <c r="C128" t="e">
        <f ca="1"/>
        <v>#N/A</v>
      </c>
      <c r="D128" t="e">
        <f ca="1"/>
        <v>#N/A</v>
      </c>
      <c r="E128" t="e">
        <f ca="1"/>
        <v>#N/A</v>
      </c>
      <c r="F128" t="e">
        <f ca="1"/>
        <v>#N/A</v>
      </c>
      <c r="G128" t="e">
        <f ca="1"/>
        <v>#N/A</v>
      </c>
      <c r="H128" t="e">
        <f ca="1"/>
        <v>#N/A</v>
      </c>
      <c r="I128" t="e">
        <f ca="1"/>
        <v>#N/A</v>
      </c>
      <c r="J128" t="e">
        <f ca="1"/>
        <v>#N/A</v>
      </c>
      <c r="K128" s="49" t="e">
        <f ca="1"/>
        <v>#N/A</v>
      </c>
    </row>
    <row r="129" spans="1:11" x14ac:dyDescent="0.25">
      <c r="A129" s="2" t="e">
        <f ca="1"/>
        <v>#N/A</v>
      </c>
      <c r="C129" t="e">
        <f ca="1"/>
        <v>#N/A</v>
      </c>
      <c r="D129" t="e">
        <f ca="1"/>
        <v>#N/A</v>
      </c>
      <c r="E129" t="e">
        <f ca="1"/>
        <v>#N/A</v>
      </c>
      <c r="F129" t="e">
        <f ca="1"/>
        <v>#N/A</v>
      </c>
      <c r="G129" t="e">
        <f ca="1"/>
        <v>#N/A</v>
      </c>
      <c r="H129" t="e">
        <f ca="1"/>
        <v>#N/A</v>
      </c>
      <c r="I129" t="e">
        <f ca="1"/>
        <v>#N/A</v>
      </c>
      <c r="J129" t="e">
        <f ca="1"/>
        <v>#N/A</v>
      </c>
      <c r="K129" s="49" t="e">
        <f ca="1"/>
        <v>#N/A</v>
      </c>
    </row>
    <row r="130" spans="1:11" x14ac:dyDescent="0.25">
      <c r="A130" s="2" t="e">
        <f ca="1"/>
        <v>#N/A</v>
      </c>
      <c r="C130" t="e">
        <f ca="1"/>
        <v>#N/A</v>
      </c>
      <c r="D130" t="e">
        <f ca="1"/>
        <v>#N/A</v>
      </c>
      <c r="E130" t="e">
        <f ca="1"/>
        <v>#N/A</v>
      </c>
      <c r="F130" t="e">
        <f ca="1"/>
        <v>#N/A</v>
      </c>
      <c r="G130" t="e">
        <f ca="1"/>
        <v>#N/A</v>
      </c>
      <c r="H130" t="e">
        <f ca="1"/>
        <v>#N/A</v>
      </c>
      <c r="I130" t="e">
        <f ca="1"/>
        <v>#N/A</v>
      </c>
      <c r="J130" t="e">
        <f ca="1"/>
        <v>#N/A</v>
      </c>
      <c r="K130" s="49" t="e">
        <f ca="1"/>
        <v>#N/A</v>
      </c>
    </row>
    <row r="131" spans="1:11" x14ac:dyDescent="0.25">
      <c r="A131" s="2" t="e">
        <f ca="1"/>
        <v>#N/A</v>
      </c>
      <c r="C131" t="e">
        <f ca="1"/>
        <v>#N/A</v>
      </c>
      <c r="D131" t="e">
        <f ca="1"/>
        <v>#N/A</v>
      </c>
      <c r="E131" t="e">
        <f ca="1"/>
        <v>#N/A</v>
      </c>
      <c r="F131" t="e">
        <f ca="1"/>
        <v>#N/A</v>
      </c>
      <c r="G131" t="e">
        <f ca="1"/>
        <v>#N/A</v>
      </c>
      <c r="H131" t="e">
        <f ca="1"/>
        <v>#N/A</v>
      </c>
      <c r="I131" t="e">
        <f ca="1"/>
        <v>#N/A</v>
      </c>
      <c r="J131" t="e">
        <f ca="1"/>
        <v>#N/A</v>
      </c>
      <c r="K131" s="49" t="e">
        <f ca="1"/>
        <v>#N/A</v>
      </c>
    </row>
    <row r="132" spans="1:11" x14ac:dyDescent="0.25">
      <c r="A132" s="2" t="e">
        <f ca="1"/>
        <v>#N/A</v>
      </c>
      <c r="C132" t="e">
        <f ca="1"/>
        <v>#N/A</v>
      </c>
      <c r="D132" t="e">
        <f ca="1"/>
        <v>#N/A</v>
      </c>
      <c r="E132" t="e">
        <f ca="1"/>
        <v>#N/A</v>
      </c>
      <c r="F132" t="e">
        <f ca="1"/>
        <v>#N/A</v>
      </c>
      <c r="G132" t="e">
        <f ca="1"/>
        <v>#N/A</v>
      </c>
      <c r="H132" t="e">
        <f ca="1"/>
        <v>#N/A</v>
      </c>
      <c r="I132" t="e">
        <f ca="1"/>
        <v>#N/A</v>
      </c>
      <c r="J132" t="e">
        <f ca="1"/>
        <v>#N/A</v>
      </c>
      <c r="K132" s="49" t="e">
        <f ca="1"/>
        <v>#N/A</v>
      </c>
    </row>
    <row r="133" spans="1:11" x14ac:dyDescent="0.25">
      <c r="A133" s="2" t="e">
        <f ca="1"/>
        <v>#N/A</v>
      </c>
      <c r="C133" t="e">
        <f ca="1"/>
        <v>#N/A</v>
      </c>
      <c r="D133" t="e">
        <f ca="1"/>
        <v>#N/A</v>
      </c>
      <c r="E133" t="e">
        <f ca="1"/>
        <v>#N/A</v>
      </c>
      <c r="F133" t="e">
        <f ca="1"/>
        <v>#N/A</v>
      </c>
      <c r="G133" t="e">
        <f ca="1"/>
        <v>#N/A</v>
      </c>
      <c r="H133" t="e">
        <f ca="1"/>
        <v>#N/A</v>
      </c>
      <c r="I133" t="e">
        <f ca="1"/>
        <v>#N/A</v>
      </c>
      <c r="J133" t="e">
        <f ca="1"/>
        <v>#N/A</v>
      </c>
      <c r="K133" s="49" t="e">
        <f ca="1"/>
        <v>#N/A</v>
      </c>
    </row>
    <row r="134" spans="1:11" x14ac:dyDescent="0.25">
      <c r="A134" s="2" t="e">
        <f ca="1"/>
        <v>#N/A</v>
      </c>
      <c r="C134" t="e">
        <f ca="1"/>
        <v>#N/A</v>
      </c>
      <c r="D134" t="e">
        <f ca="1"/>
        <v>#N/A</v>
      </c>
      <c r="E134" t="e">
        <f ca="1"/>
        <v>#N/A</v>
      </c>
      <c r="F134" t="e">
        <f ca="1"/>
        <v>#N/A</v>
      </c>
      <c r="G134" t="e">
        <f ca="1"/>
        <v>#N/A</v>
      </c>
      <c r="H134" t="e">
        <f ca="1"/>
        <v>#N/A</v>
      </c>
      <c r="I134" t="e">
        <f ca="1"/>
        <v>#N/A</v>
      </c>
      <c r="J134" t="e">
        <f ca="1"/>
        <v>#N/A</v>
      </c>
      <c r="K134" s="49" t="e">
        <f ca="1"/>
        <v>#N/A</v>
      </c>
    </row>
    <row r="135" spans="1:11" x14ac:dyDescent="0.25">
      <c r="A135" s="2" t="e">
        <f ca="1"/>
        <v>#N/A</v>
      </c>
      <c r="C135" t="e">
        <f ca="1"/>
        <v>#N/A</v>
      </c>
      <c r="D135" t="e">
        <f ca="1"/>
        <v>#N/A</v>
      </c>
      <c r="E135" t="e">
        <f ca="1"/>
        <v>#N/A</v>
      </c>
      <c r="F135" t="e">
        <f ca="1"/>
        <v>#N/A</v>
      </c>
      <c r="G135" t="e">
        <f ca="1"/>
        <v>#N/A</v>
      </c>
      <c r="H135" t="e">
        <f ca="1"/>
        <v>#N/A</v>
      </c>
      <c r="I135" t="e">
        <f ca="1"/>
        <v>#N/A</v>
      </c>
      <c r="J135" t="e">
        <f ca="1"/>
        <v>#N/A</v>
      </c>
      <c r="K135" s="49" t="e">
        <f ca="1"/>
        <v>#N/A</v>
      </c>
    </row>
    <row r="136" spans="1:11" x14ac:dyDescent="0.25">
      <c r="A136" s="2" t="e">
        <f ca="1"/>
        <v>#N/A</v>
      </c>
      <c r="C136" t="e">
        <f ca="1"/>
        <v>#N/A</v>
      </c>
      <c r="D136" t="e">
        <f ca="1"/>
        <v>#N/A</v>
      </c>
      <c r="E136" t="e">
        <f ca="1"/>
        <v>#N/A</v>
      </c>
      <c r="F136" t="e">
        <f ca="1"/>
        <v>#N/A</v>
      </c>
      <c r="G136" t="e">
        <f ca="1"/>
        <v>#N/A</v>
      </c>
      <c r="H136" t="e">
        <f ca="1"/>
        <v>#N/A</v>
      </c>
      <c r="I136" t="e">
        <f ca="1"/>
        <v>#N/A</v>
      </c>
      <c r="J136" t="e">
        <f ca="1"/>
        <v>#N/A</v>
      </c>
      <c r="K136" s="49" t="e">
        <f ca="1"/>
        <v>#N/A</v>
      </c>
    </row>
    <row r="137" spans="1:11" x14ac:dyDescent="0.25">
      <c r="A137" s="2" t="e">
        <f ca="1"/>
        <v>#N/A</v>
      </c>
      <c r="C137" t="e">
        <f ca="1"/>
        <v>#N/A</v>
      </c>
      <c r="D137" t="e">
        <f ca="1"/>
        <v>#N/A</v>
      </c>
      <c r="E137" t="e">
        <f ca="1"/>
        <v>#N/A</v>
      </c>
      <c r="F137" t="e">
        <f ca="1"/>
        <v>#N/A</v>
      </c>
      <c r="G137" t="e">
        <f ca="1"/>
        <v>#N/A</v>
      </c>
      <c r="H137" t="e">
        <f ca="1"/>
        <v>#N/A</v>
      </c>
      <c r="I137" t="e">
        <f ca="1"/>
        <v>#N/A</v>
      </c>
      <c r="J137" t="e">
        <f ca="1"/>
        <v>#N/A</v>
      </c>
      <c r="K137" s="49" t="e">
        <f ca="1"/>
        <v>#N/A</v>
      </c>
    </row>
    <row r="138" spans="1:11" x14ac:dyDescent="0.25">
      <c r="A138" s="2" t="e">
        <f ca="1"/>
        <v>#N/A</v>
      </c>
      <c r="C138" t="e">
        <f ca="1"/>
        <v>#N/A</v>
      </c>
      <c r="D138" t="e">
        <f ca="1"/>
        <v>#N/A</v>
      </c>
      <c r="E138" t="e">
        <f ca="1"/>
        <v>#N/A</v>
      </c>
      <c r="F138" t="e">
        <f ca="1"/>
        <v>#N/A</v>
      </c>
      <c r="G138" t="e">
        <f ca="1"/>
        <v>#N/A</v>
      </c>
      <c r="H138" t="e">
        <f ca="1"/>
        <v>#N/A</v>
      </c>
      <c r="I138" t="e">
        <f ca="1"/>
        <v>#N/A</v>
      </c>
      <c r="J138" t="e">
        <f ca="1"/>
        <v>#N/A</v>
      </c>
      <c r="K138" s="49" t="e">
        <f ca="1"/>
        <v>#N/A</v>
      </c>
    </row>
    <row r="139" spans="1:11" x14ac:dyDescent="0.25">
      <c r="A139" s="2" t="e">
        <f ca="1"/>
        <v>#N/A</v>
      </c>
      <c r="C139" t="e">
        <f ca="1"/>
        <v>#N/A</v>
      </c>
      <c r="D139" t="e">
        <f ca="1"/>
        <v>#N/A</v>
      </c>
      <c r="E139" t="e">
        <f ca="1"/>
        <v>#N/A</v>
      </c>
      <c r="F139" t="e">
        <f ca="1"/>
        <v>#N/A</v>
      </c>
      <c r="G139" t="e">
        <f ca="1"/>
        <v>#N/A</v>
      </c>
      <c r="H139" t="e">
        <f ca="1"/>
        <v>#N/A</v>
      </c>
      <c r="I139" t="e">
        <f ca="1"/>
        <v>#N/A</v>
      </c>
      <c r="J139" t="e">
        <f ca="1"/>
        <v>#N/A</v>
      </c>
      <c r="K139" s="49" t="e">
        <f ca="1"/>
        <v>#N/A</v>
      </c>
    </row>
    <row r="140" spans="1:11" x14ac:dyDescent="0.25">
      <c r="A140" s="2" t="e">
        <f ca="1"/>
        <v>#N/A</v>
      </c>
      <c r="C140" t="e">
        <f ca="1"/>
        <v>#N/A</v>
      </c>
      <c r="D140" t="e">
        <f ca="1"/>
        <v>#N/A</v>
      </c>
      <c r="E140" t="e">
        <f ca="1"/>
        <v>#N/A</v>
      </c>
      <c r="F140" t="e">
        <f ca="1"/>
        <v>#N/A</v>
      </c>
      <c r="G140" t="e">
        <f ca="1"/>
        <v>#N/A</v>
      </c>
      <c r="H140" t="e">
        <f ca="1"/>
        <v>#N/A</v>
      </c>
      <c r="I140" t="e">
        <f ca="1"/>
        <v>#N/A</v>
      </c>
      <c r="J140" t="e">
        <f ca="1"/>
        <v>#N/A</v>
      </c>
      <c r="K140" s="49" t="e">
        <f ca="1"/>
        <v>#N/A</v>
      </c>
    </row>
    <row r="141" spans="1:11" x14ac:dyDescent="0.25">
      <c r="A141" s="2" t="e">
        <f ca="1"/>
        <v>#N/A</v>
      </c>
      <c r="C141" t="e">
        <f ca="1"/>
        <v>#N/A</v>
      </c>
      <c r="D141" t="e">
        <f ca="1"/>
        <v>#N/A</v>
      </c>
      <c r="E141" t="e">
        <f ca="1"/>
        <v>#N/A</v>
      </c>
      <c r="F141" t="e">
        <f ca="1"/>
        <v>#N/A</v>
      </c>
      <c r="G141" t="e">
        <f ca="1"/>
        <v>#N/A</v>
      </c>
      <c r="H141" t="e">
        <f ca="1"/>
        <v>#N/A</v>
      </c>
      <c r="I141" t="e">
        <f ca="1"/>
        <v>#N/A</v>
      </c>
      <c r="J141" t="e">
        <f ca="1"/>
        <v>#N/A</v>
      </c>
      <c r="K141" s="49" t="e">
        <f ca="1"/>
        <v>#N/A</v>
      </c>
    </row>
    <row r="142" spans="1:11" x14ac:dyDescent="0.25">
      <c r="A142" s="2" t="e">
        <f ca="1"/>
        <v>#N/A</v>
      </c>
      <c r="C142" t="e">
        <f ca="1"/>
        <v>#N/A</v>
      </c>
      <c r="D142" t="e">
        <f ca="1"/>
        <v>#N/A</v>
      </c>
      <c r="E142" t="e">
        <f ca="1"/>
        <v>#N/A</v>
      </c>
      <c r="F142" t="e">
        <f ca="1"/>
        <v>#N/A</v>
      </c>
      <c r="G142" t="e">
        <f ca="1"/>
        <v>#N/A</v>
      </c>
      <c r="H142" t="e">
        <f ca="1"/>
        <v>#N/A</v>
      </c>
      <c r="I142" t="e">
        <f ca="1"/>
        <v>#N/A</v>
      </c>
      <c r="J142" t="e">
        <f ca="1"/>
        <v>#N/A</v>
      </c>
      <c r="K142" s="49" t="e">
        <f ca="1"/>
        <v>#N/A</v>
      </c>
    </row>
    <row r="143" spans="1:11" x14ac:dyDescent="0.25">
      <c r="A143" s="2" t="e">
        <f ca="1"/>
        <v>#N/A</v>
      </c>
      <c r="C143" t="e">
        <f ca="1"/>
        <v>#N/A</v>
      </c>
      <c r="D143" t="e">
        <f ca="1"/>
        <v>#N/A</v>
      </c>
      <c r="E143" t="e">
        <f ca="1"/>
        <v>#N/A</v>
      </c>
      <c r="F143" t="e">
        <f ca="1"/>
        <v>#N/A</v>
      </c>
      <c r="G143" t="e">
        <f ca="1"/>
        <v>#N/A</v>
      </c>
      <c r="H143" t="e">
        <f ca="1"/>
        <v>#N/A</v>
      </c>
      <c r="I143" t="e">
        <f ca="1"/>
        <v>#N/A</v>
      </c>
      <c r="J143" t="e">
        <f ca="1"/>
        <v>#N/A</v>
      </c>
      <c r="K143" s="49" t="e">
        <f ca="1"/>
        <v>#N/A</v>
      </c>
    </row>
    <row r="144" spans="1:11" x14ac:dyDescent="0.25">
      <c r="A144" s="2" t="e">
        <f ca="1"/>
        <v>#N/A</v>
      </c>
      <c r="C144" t="e">
        <f ca="1"/>
        <v>#N/A</v>
      </c>
      <c r="D144" t="e">
        <f ca="1"/>
        <v>#N/A</v>
      </c>
      <c r="E144" t="e">
        <f ca="1"/>
        <v>#N/A</v>
      </c>
      <c r="F144" t="e">
        <f ca="1"/>
        <v>#N/A</v>
      </c>
      <c r="G144" t="e">
        <f ca="1"/>
        <v>#N/A</v>
      </c>
      <c r="H144" t="e">
        <f ca="1"/>
        <v>#N/A</v>
      </c>
      <c r="I144" t="e">
        <f ca="1"/>
        <v>#N/A</v>
      </c>
      <c r="J144" t="e">
        <f ca="1"/>
        <v>#N/A</v>
      </c>
      <c r="K144" s="49" t="e">
        <f ca="1"/>
        <v>#N/A</v>
      </c>
    </row>
    <row r="145" spans="1:11" x14ac:dyDescent="0.25">
      <c r="A145" s="2" t="e">
        <f ca="1"/>
        <v>#N/A</v>
      </c>
      <c r="C145" t="e">
        <f ca="1"/>
        <v>#N/A</v>
      </c>
      <c r="D145" t="e">
        <f ca="1"/>
        <v>#N/A</v>
      </c>
      <c r="E145" t="e">
        <f ca="1"/>
        <v>#N/A</v>
      </c>
      <c r="F145" t="e">
        <f ca="1"/>
        <v>#N/A</v>
      </c>
      <c r="G145" t="e">
        <f ca="1"/>
        <v>#N/A</v>
      </c>
      <c r="H145" t="e">
        <f ca="1"/>
        <v>#N/A</v>
      </c>
      <c r="I145" t="e">
        <f ca="1"/>
        <v>#N/A</v>
      </c>
      <c r="J145" t="e">
        <f ca="1"/>
        <v>#N/A</v>
      </c>
      <c r="K145" s="49" t="e">
        <f ca="1"/>
        <v>#N/A</v>
      </c>
    </row>
    <row r="146" spans="1:11" x14ac:dyDescent="0.25">
      <c r="A146" s="2" t="e">
        <f ca="1"/>
        <v>#N/A</v>
      </c>
      <c r="C146" t="e">
        <f ca="1"/>
        <v>#N/A</v>
      </c>
      <c r="D146" t="e">
        <f ca="1"/>
        <v>#N/A</v>
      </c>
      <c r="E146" t="e">
        <f ca="1"/>
        <v>#N/A</v>
      </c>
      <c r="F146" t="e">
        <f ca="1"/>
        <v>#N/A</v>
      </c>
      <c r="G146" t="e">
        <f ca="1"/>
        <v>#N/A</v>
      </c>
      <c r="H146" t="e">
        <f ca="1"/>
        <v>#N/A</v>
      </c>
      <c r="I146" t="e">
        <f ca="1"/>
        <v>#N/A</v>
      </c>
      <c r="J146" t="e">
        <f ca="1"/>
        <v>#N/A</v>
      </c>
      <c r="K146" s="49" t="e">
        <f ca="1"/>
        <v>#N/A</v>
      </c>
    </row>
    <row r="147" spans="1:11" x14ac:dyDescent="0.25">
      <c r="A147" s="2" t="e">
        <f ca="1"/>
        <v>#N/A</v>
      </c>
      <c r="C147" t="e">
        <f ca="1"/>
        <v>#N/A</v>
      </c>
      <c r="D147" t="e">
        <f ca="1"/>
        <v>#N/A</v>
      </c>
      <c r="E147" t="e">
        <f ca="1"/>
        <v>#N/A</v>
      </c>
      <c r="F147" t="e">
        <f ca="1"/>
        <v>#N/A</v>
      </c>
      <c r="G147" t="e">
        <f ca="1"/>
        <v>#N/A</v>
      </c>
      <c r="H147" t="e">
        <f ca="1"/>
        <v>#N/A</v>
      </c>
      <c r="I147" t="e">
        <f ca="1"/>
        <v>#N/A</v>
      </c>
      <c r="J147" t="e">
        <f ca="1"/>
        <v>#N/A</v>
      </c>
      <c r="K147" s="49" t="e">
        <f ca="1"/>
        <v>#N/A</v>
      </c>
    </row>
    <row r="148" spans="1:11" x14ac:dyDescent="0.25">
      <c r="A148" s="2" t="e">
        <f ca="1"/>
        <v>#N/A</v>
      </c>
      <c r="C148" t="e">
        <f ca="1"/>
        <v>#N/A</v>
      </c>
      <c r="D148" t="e">
        <f ca="1"/>
        <v>#N/A</v>
      </c>
      <c r="E148" t="e">
        <f ca="1"/>
        <v>#N/A</v>
      </c>
      <c r="F148" t="e">
        <f ca="1"/>
        <v>#N/A</v>
      </c>
      <c r="G148" t="e">
        <f ca="1"/>
        <v>#N/A</v>
      </c>
      <c r="H148" t="e">
        <f ca="1"/>
        <v>#N/A</v>
      </c>
      <c r="I148" t="e">
        <f ca="1"/>
        <v>#N/A</v>
      </c>
      <c r="J148" t="e">
        <f ca="1"/>
        <v>#N/A</v>
      </c>
      <c r="K148" s="49" t="e">
        <f ca="1"/>
        <v>#N/A</v>
      </c>
    </row>
    <row r="149" spans="1:11" x14ac:dyDescent="0.25">
      <c r="A149" s="2" t="e">
        <f ca="1"/>
        <v>#N/A</v>
      </c>
      <c r="C149" t="e">
        <f ca="1"/>
        <v>#N/A</v>
      </c>
      <c r="D149" t="e">
        <f ca="1"/>
        <v>#N/A</v>
      </c>
      <c r="E149" t="e">
        <f ca="1"/>
        <v>#N/A</v>
      </c>
      <c r="F149" t="e">
        <f ca="1"/>
        <v>#N/A</v>
      </c>
      <c r="G149" t="e">
        <f ca="1"/>
        <v>#N/A</v>
      </c>
      <c r="H149" t="e">
        <f ca="1"/>
        <v>#N/A</v>
      </c>
      <c r="I149" t="e">
        <f ca="1"/>
        <v>#N/A</v>
      </c>
      <c r="J149" t="e">
        <f ca="1"/>
        <v>#N/A</v>
      </c>
      <c r="K149" s="49" t="e">
        <f ca="1"/>
        <v>#N/A</v>
      </c>
    </row>
    <row r="150" spans="1:11" x14ac:dyDescent="0.25">
      <c r="A150" s="2" t="e">
        <f ca="1"/>
        <v>#N/A</v>
      </c>
      <c r="C150" t="e">
        <f ca="1"/>
        <v>#N/A</v>
      </c>
      <c r="D150" t="e">
        <f ca="1"/>
        <v>#N/A</v>
      </c>
      <c r="E150" t="e">
        <f ca="1"/>
        <v>#N/A</v>
      </c>
      <c r="F150" t="e">
        <f ca="1"/>
        <v>#N/A</v>
      </c>
      <c r="G150" t="e">
        <f ca="1"/>
        <v>#N/A</v>
      </c>
      <c r="H150" t="e">
        <f ca="1"/>
        <v>#N/A</v>
      </c>
      <c r="I150" t="e">
        <f ca="1"/>
        <v>#N/A</v>
      </c>
      <c r="J150" t="e">
        <f ca="1"/>
        <v>#N/A</v>
      </c>
      <c r="K150" s="49" t="e">
        <f ca="1"/>
        <v>#N/A</v>
      </c>
    </row>
    <row r="151" spans="1:11" x14ac:dyDescent="0.25">
      <c r="A151" s="2" t="e">
        <f ca="1"/>
        <v>#N/A</v>
      </c>
      <c r="C151" t="e">
        <f ca="1"/>
        <v>#N/A</v>
      </c>
      <c r="D151" t="e">
        <f ca="1"/>
        <v>#N/A</v>
      </c>
      <c r="E151" t="e">
        <f ca="1"/>
        <v>#N/A</v>
      </c>
      <c r="F151" t="e">
        <f ca="1"/>
        <v>#N/A</v>
      </c>
      <c r="G151" t="e">
        <f ca="1"/>
        <v>#N/A</v>
      </c>
      <c r="H151" t="e">
        <f ca="1"/>
        <v>#N/A</v>
      </c>
      <c r="I151" t="e">
        <f ca="1"/>
        <v>#N/A</v>
      </c>
      <c r="J151" t="e">
        <f ca="1"/>
        <v>#N/A</v>
      </c>
      <c r="K151" s="49" t="e">
        <f ca="1"/>
        <v>#N/A</v>
      </c>
    </row>
    <row r="152" spans="1:11" x14ac:dyDescent="0.25">
      <c r="A152" s="2" t="e">
        <f ca="1"/>
        <v>#N/A</v>
      </c>
      <c r="C152" t="e">
        <f ca="1"/>
        <v>#N/A</v>
      </c>
      <c r="D152" t="e">
        <f ca="1"/>
        <v>#N/A</v>
      </c>
      <c r="E152" t="e">
        <f ca="1"/>
        <v>#N/A</v>
      </c>
      <c r="F152" t="e">
        <f ca="1"/>
        <v>#N/A</v>
      </c>
      <c r="G152" t="e">
        <f ca="1"/>
        <v>#N/A</v>
      </c>
      <c r="H152" t="e">
        <f ca="1"/>
        <v>#N/A</v>
      </c>
      <c r="I152" t="e">
        <f ca="1"/>
        <v>#N/A</v>
      </c>
      <c r="J152" t="e">
        <f ca="1"/>
        <v>#N/A</v>
      </c>
      <c r="K152" s="49" t="e">
        <f ca="1"/>
        <v>#N/A</v>
      </c>
    </row>
    <row r="153" spans="1:11" x14ac:dyDescent="0.25">
      <c r="A153" s="2" t="e">
        <f ca="1"/>
        <v>#N/A</v>
      </c>
      <c r="C153" t="e">
        <f ca="1"/>
        <v>#N/A</v>
      </c>
      <c r="D153" t="e">
        <f ca="1"/>
        <v>#N/A</v>
      </c>
      <c r="E153" t="e">
        <f ca="1"/>
        <v>#N/A</v>
      </c>
      <c r="F153" t="e">
        <f ca="1"/>
        <v>#N/A</v>
      </c>
      <c r="G153" t="e">
        <f ca="1"/>
        <v>#N/A</v>
      </c>
      <c r="H153" t="e">
        <f ca="1"/>
        <v>#N/A</v>
      </c>
      <c r="I153" t="e">
        <f ca="1"/>
        <v>#N/A</v>
      </c>
      <c r="J153" t="e">
        <f ca="1"/>
        <v>#N/A</v>
      </c>
      <c r="K153" s="49" t="e">
        <f ca="1"/>
        <v>#N/A</v>
      </c>
    </row>
    <row r="154" spans="1:11" x14ac:dyDescent="0.25">
      <c r="A154" s="2" t="e">
        <f ca="1"/>
        <v>#N/A</v>
      </c>
      <c r="C154" t="e">
        <f ca="1"/>
        <v>#N/A</v>
      </c>
      <c r="D154" t="e">
        <f ca="1"/>
        <v>#N/A</v>
      </c>
      <c r="E154" t="e">
        <f ca="1"/>
        <v>#N/A</v>
      </c>
      <c r="F154" t="e">
        <f ca="1"/>
        <v>#N/A</v>
      </c>
      <c r="G154" t="e">
        <f ca="1"/>
        <v>#N/A</v>
      </c>
      <c r="H154" t="e">
        <f ca="1"/>
        <v>#N/A</v>
      </c>
      <c r="I154" t="e">
        <f ca="1"/>
        <v>#N/A</v>
      </c>
      <c r="J154" t="e">
        <f ca="1"/>
        <v>#N/A</v>
      </c>
      <c r="K154" s="49" t="e">
        <f ca="1"/>
        <v>#N/A</v>
      </c>
    </row>
    <row r="155" spans="1:11" x14ac:dyDescent="0.25">
      <c r="A155" s="2" t="e">
        <f ca="1"/>
        <v>#N/A</v>
      </c>
      <c r="C155" t="e">
        <f ca="1"/>
        <v>#N/A</v>
      </c>
      <c r="D155" t="e">
        <f ca="1"/>
        <v>#N/A</v>
      </c>
      <c r="E155" t="e">
        <f ca="1"/>
        <v>#N/A</v>
      </c>
      <c r="F155" t="e">
        <f ca="1"/>
        <v>#N/A</v>
      </c>
      <c r="G155" t="e">
        <f ca="1"/>
        <v>#N/A</v>
      </c>
      <c r="H155" t="e">
        <f ca="1"/>
        <v>#N/A</v>
      </c>
      <c r="I155" t="e">
        <f ca="1"/>
        <v>#N/A</v>
      </c>
      <c r="J155" t="e">
        <f ca="1"/>
        <v>#N/A</v>
      </c>
      <c r="K155" s="49" t="e">
        <f ca="1"/>
        <v>#N/A</v>
      </c>
    </row>
    <row r="156" spans="1:11" x14ac:dyDescent="0.25">
      <c r="A156" s="2" t="e">
        <f ca="1"/>
        <v>#N/A</v>
      </c>
      <c r="C156" t="e">
        <f ca="1"/>
        <v>#N/A</v>
      </c>
      <c r="D156" t="e">
        <f ca="1"/>
        <v>#N/A</v>
      </c>
      <c r="E156" t="e">
        <f ca="1"/>
        <v>#N/A</v>
      </c>
      <c r="F156" t="e">
        <f ca="1"/>
        <v>#N/A</v>
      </c>
      <c r="G156" t="e">
        <f ca="1"/>
        <v>#N/A</v>
      </c>
      <c r="H156" t="e">
        <f ca="1"/>
        <v>#N/A</v>
      </c>
      <c r="I156" t="e">
        <f ca="1"/>
        <v>#N/A</v>
      </c>
      <c r="J156" t="e">
        <f ca="1"/>
        <v>#N/A</v>
      </c>
      <c r="K156" s="49" t="e">
        <f ca="1"/>
        <v>#N/A</v>
      </c>
    </row>
    <row r="157" spans="1:11" x14ac:dyDescent="0.25">
      <c r="A157" s="2" t="e">
        <f ca="1"/>
        <v>#N/A</v>
      </c>
      <c r="C157" t="e">
        <f ca="1"/>
        <v>#N/A</v>
      </c>
      <c r="D157" t="e">
        <f ca="1"/>
        <v>#N/A</v>
      </c>
      <c r="E157" t="e">
        <f ca="1"/>
        <v>#N/A</v>
      </c>
      <c r="F157" t="e">
        <f ca="1"/>
        <v>#N/A</v>
      </c>
      <c r="G157" t="e">
        <f ca="1"/>
        <v>#N/A</v>
      </c>
      <c r="H157" t="e">
        <f ca="1"/>
        <v>#N/A</v>
      </c>
      <c r="I157" t="e">
        <f ca="1"/>
        <v>#N/A</v>
      </c>
      <c r="J157" t="e">
        <f ca="1"/>
        <v>#N/A</v>
      </c>
      <c r="K157" s="49" t="e">
        <f ca="1"/>
        <v>#N/A</v>
      </c>
    </row>
    <row r="158" spans="1:11" x14ac:dyDescent="0.25">
      <c r="A158" s="2" t="e">
        <f ca="1"/>
        <v>#N/A</v>
      </c>
      <c r="C158" t="e">
        <f ca="1"/>
        <v>#N/A</v>
      </c>
      <c r="D158" t="e">
        <f ca="1"/>
        <v>#N/A</v>
      </c>
      <c r="E158" t="e">
        <f ca="1"/>
        <v>#N/A</v>
      </c>
      <c r="F158" t="e">
        <f ca="1"/>
        <v>#N/A</v>
      </c>
      <c r="G158" t="e">
        <f ca="1"/>
        <v>#N/A</v>
      </c>
      <c r="H158" t="e">
        <f ca="1"/>
        <v>#N/A</v>
      </c>
      <c r="I158" t="e">
        <f ca="1"/>
        <v>#N/A</v>
      </c>
      <c r="J158" t="e">
        <f ca="1"/>
        <v>#N/A</v>
      </c>
      <c r="K158" s="49" t="e">
        <f ca="1"/>
        <v>#N/A</v>
      </c>
    </row>
    <row r="159" spans="1:11" x14ac:dyDescent="0.25">
      <c r="A159" s="2" t="e">
        <f ca="1"/>
        <v>#N/A</v>
      </c>
      <c r="C159" t="e">
        <f ca="1"/>
        <v>#N/A</v>
      </c>
      <c r="D159" t="e">
        <f ca="1"/>
        <v>#N/A</v>
      </c>
      <c r="E159" t="e">
        <f ca="1"/>
        <v>#N/A</v>
      </c>
      <c r="F159" t="e">
        <f ca="1"/>
        <v>#N/A</v>
      </c>
      <c r="G159" t="e">
        <f ca="1"/>
        <v>#N/A</v>
      </c>
      <c r="H159" t="e">
        <f ca="1"/>
        <v>#N/A</v>
      </c>
      <c r="I159" t="e">
        <f ca="1"/>
        <v>#N/A</v>
      </c>
      <c r="J159" t="e">
        <f ca="1"/>
        <v>#N/A</v>
      </c>
      <c r="K159" s="49" t="e">
        <f ca="1"/>
        <v>#N/A</v>
      </c>
    </row>
    <row r="160" spans="1:11" x14ac:dyDescent="0.25">
      <c r="A160" s="2" t="e">
        <f ca="1"/>
        <v>#N/A</v>
      </c>
      <c r="C160" t="e">
        <f ca="1"/>
        <v>#N/A</v>
      </c>
      <c r="D160" t="e">
        <f ca="1"/>
        <v>#N/A</v>
      </c>
      <c r="E160" t="e">
        <f ca="1"/>
        <v>#N/A</v>
      </c>
      <c r="F160" t="e">
        <f ca="1"/>
        <v>#N/A</v>
      </c>
      <c r="G160" t="e">
        <f ca="1"/>
        <v>#N/A</v>
      </c>
      <c r="H160" t="e">
        <f ca="1"/>
        <v>#N/A</v>
      </c>
      <c r="I160" t="e">
        <f ca="1"/>
        <v>#N/A</v>
      </c>
      <c r="J160" t="e">
        <f ca="1"/>
        <v>#N/A</v>
      </c>
      <c r="K160" s="49" t="e">
        <f ca="1"/>
        <v>#N/A</v>
      </c>
    </row>
    <row r="161" spans="1:11" x14ac:dyDescent="0.25">
      <c r="A161" s="2" t="e">
        <f ca="1"/>
        <v>#N/A</v>
      </c>
      <c r="C161" t="e">
        <f ca="1"/>
        <v>#N/A</v>
      </c>
      <c r="D161" t="e">
        <f ca="1"/>
        <v>#N/A</v>
      </c>
      <c r="E161" t="e">
        <f ca="1"/>
        <v>#N/A</v>
      </c>
      <c r="F161" t="e">
        <f ca="1"/>
        <v>#N/A</v>
      </c>
      <c r="G161" t="e">
        <f ca="1"/>
        <v>#N/A</v>
      </c>
      <c r="H161" t="e">
        <f ca="1"/>
        <v>#N/A</v>
      </c>
      <c r="I161" t="e">
        <f ca="1"/>
        <v>#N/A</v>
      </c>
      <c r="J161" t="e">
        <f ca="1"/>
        <v>#N/A</v>
      </c>
      <c r="K161" s="49" t="e">
        <f ca="1"/>
        <v>#N/A</v>
      </c>
    </row>
    <row r="162" spans="1:11" x14ac:dyDescent="0.25">
      <c r="A162" s="2" t="e">
        <f ca="1"/>
        <v>#N/A</v>
      </c>
      <c r="C162" t="e">
        <f ca="1"/>
        <v>#N/A</v>
      </c>
      <c r="D162" t="e">
        <f ca="1"/>
        <v>#N/A</v>
      </c>
      <c r="E162" t="e">
        <f ca="1"/>
        <v>#N/A</v>
      </c>
      <c r="F162" t="e">
        <f ca="1"/>
        <v>#N/A</v>
      </c>
      <c r="G162" t="e">
        <f ca="1"/>
        <v>#N/A</v>
      </c>
      <c r="H162" t="e">
        <f ca="1"/>
        <v>#N/A</v>
      </c>
      <c r="I162" t="e">
        <f ca="1"/>
        <v>#N/A</v>
      </c>
      <c r="J162" t="e">
        <f ca="1"/>
        <v>#N/A</v>
      </c>
      <c r="K162" s="49" t="e">
        <f ca="1"/>
        <v>#N/A</v>
      </c>
    </row>
    <row r="163" spans="1:11" x14ac:dyDescent="0.25">
      <c r="A163" s="2" t="e">
        <f ca="1"/>
        <v>#N/A</v>
      </c>
      <c r="C163" t="e">
        <f ca="1"/>
        <v>#N/A</v>
      </c>
      <c r="D163" t="e">
        <f ca="1"/>
        <v>#N/A</v>
      </c>
      <c r="E163" t="e">
        <f ca="1"/>
        <v>#N/A</v>
      </c>
      <c r="F163" t="e">
        <f ca="1"/>
        <v>#N/A</v>
      </c>
      <c r="G163" t="e">
        <f ca="1"/>
        <v>#N/A</v>
      </c>
      <c r="H163" t="e">
        <f ca="1"/>
        <v>#N/A</v>
      </c>
      <c r="I163" t="e">
        <f ca="1"/>
        <v>#N/A</v>
      </c>
      <c r="J163" t="e">
        <f ca="1"/>
        <v>#N/A</v>
      </c>
      <c r="K163" s="49" t="e">
        <f ca="1"/>
        <v>#N/A</v>
      </c>
    </row>
    <row r="164" spans="1:11" x14ac:dyDescent="0.25">
      <c r="A164" s="2" t="e">
        <f ca="1"/>
        <v>#N/A</v>
      </c>
      <c r="C164" t="e">
        <f ca="1"/>
        <v>#N/A</v>
      </c>
      <c r="D164" t="e">
        <f ca="1"/>
        <v>#N/A</v>
      </c>
      <c r="E164" t="e">
        <f ca="1"/>
        <v>#N/A</v>
      </c>
      <c r="F164" t="e">
        <f ca="1"/>
        <v>#N/A</v>
      </c>
      <c r="G164" t="e">
        <f ca="1"/>
        <v>#N/A</v>
      </c>
      <c r="H164" t="e">
        <f ca="1"/>
        <v>#N/A</v>
      </c>
      <c r="I164" t="e">
        <f ca="1"/>
        <v>#N/A</v>
      </c>
      <c r="J164" t="e">
        <f ca="1"/>
        <v>#N/A</v>
      </c>
      <c r="K164" s="49" t="e">
        <f ca="1"/>
        <v>#N/A</v>
      </c>
    </row>
    <row r="165" spans="1:11" x14ac:dyDescent="0.25">
      <c r="A165" s="2" t="e">
        <f ca="1"/>
        <v>#N/A</v>
      </c>
      <c r="C165" t="e">
        <f ca="1"/>
        <v>#N/A</v>
      </c>
      <c r="D165" t="e">
        <f ca="1"/>
        <v>#N/A</v>
      </c>
      <c r="E165" t="e">
        <f ca="1"/>
        <v>#N/A</v>
      </c>
      <c r="F165" t="e">
        <f ca="1"/>
        <v>#N/A</v>
      </c>
      <c r="G165" t="e">
        <f ca="1"/>
        <v>#N/A</v>
      </c>
      <c r="H165" t="e">
        <f ca="1"/>
        <v>#N/A</v>
      </c>
      <c r="I165" t="e">
        <f ca="1"/>
        <v>#N/A</v>
      </c>
      <c r="J165" t="e">
        <f ca="1"/>
        <v>#N/A</v>
      </c>
      <c r="K165" s="49" t="e">
        <f ca="1"/>
        <v>#N/A</v>
      </c>
    </row>
    <row r="166" spans="1:11" x14ac:dyDescent="0.25">
      <c r="A166" s="2" t="e">
        <f ca="1"/>
        <v>#N/A</v>
      </c>
      <c r="C166" t="e">
        <f ca="1"/>
        <v>#N/A</v>
      </c>
      <c r="D166" t="e">
        <f ca="1"/>
        <v>#N/A</v>
      </c>
      <c r="E166" t="e">
        <f ca="1"/>
        <v>#N/A</v>
      </c>
      <c r="F166" t="e">
        <f ca="1"/>
        <v>#N/A</v>
      </c>
      <c r="G166" t="e">
        <f ca="1"/>
        <v>#N/A</v>
      </c>
      <c r="H166" t="e">
        <f ca="1"/>
        <v>#N/A</v>
      </c>
      <c r="I166" t="e">
        <f ca="1"/>
        <v>#N/A</v>
      </c>
      <c r="J166" t="e">
        <f ca="1"/>
        <v>#N/A</v>
      </c>
      <c r="K166" s="49" t="e">
        <f ca="1"/>
        <v>#N/A</v>
      </c>
    </row>
    <row r="167" spans="1:11" x14ac:dyDescent="0.25">
      <c r="A167" s="2" t="e">
        <f ca="1"/>
        <v>#N/A</v>
      </c>
      <c r="C167" t="e">
        <f ca="1"/>
        <v>#N/A</v>
      </c>
      <c r="D167" t="e">
        <f ca="1"/>
        <v>#N/A</v>
      </c>
      <c r="E167" t="e">
        <f ca="1"/>
        <v>#N/A</v>
      </c>
      <c r="F167" t="e">
        <f ca="1"/>
        <v>#N/A</v>
      </c>
      <c r="G167" t="e">
        <f ca="1"/>
        <v>#N/A</v>
      </c>
      <c r="H167" t="e">
        <f ca="1"/>
        <v>#N/A</v>
      </c>
      <c r="I167" t="e">
        <f ca="1"/>
        <v>#N/A</v>
      </c>
      <c r="J167" t="e">
        <f ca="1"/>
        <v>#N/A</v>
      </c>
      <c r="K167" s="49" t="e">
        <f ca="1"/>
        <v>#N/A</v>
      </c>
    </row>
    <row r="168" spans="1:11" x14ac:dyDescent="0.25">
      <c r="A168" s="2" t="e">
        <f ca="1"/>
        <v>#N/A</v>
      </c>
      <c r="C168" t="e">
        <f ca="1"/>
        <v>#N/A</v>
      </c>
      <c r="D168" t="e">
        <f ca="1"/>
        <v>#N/A</v>
      </c>
      <c r="E168" t="e">
        <f ca="1"/>
        <v>#N/A</v>
      </c>
      <c r="F168" t="e">
        <f ca="1"/>
        <v>#N/A</v>
      </c>
      <c r="G168" t="e">
        <f ca="1"/>
        <v>#N/A</v>
      </c>
      <c r="H168" t="e">
        <f ca="1"/>
        <v>#N/A</v>
      </c>
      <c r="I168" t="e">
        <f ca="1"/>
        <v>#N/A</v>
      </c>
      <c r="J168" t="e">
        <f ca="1"/>
        <v>#N/A</v>
      </c>
      <c r="K168" s="49" t="e">
        <f ca="1"/>
        <v>#N/A</v>
      </c>
    </row>
    <row r="169" spans="1:11" x14ac:dyDescent="0.25">
      <c r="A169" s="2" t="e">
        <f ca="1"/>
        <v>#N/A</v>
      </c>
      <c r="C169" t="e">
        <f ca="1"/>
        <v>#N/A</v>
      </c>
      <c r="D169" t="e">
        <f ca="1"/>
        <v>#N/A</v>
      </c>
      <c r="E169" t="e">
        <f ca="1"/>
        <v>#N/A</v>
      </c>
      <c r="F169" t="e">
        <f ca="1"/>
        <v>#N/A</v>
      </c>
      <c r="G169" t="e">
        <f ca="1"/>
        <v>#N/A</v>
      </c>
      <c r="H169" t="e">
        <f ca="1"/>
        <v>#N/A</v>
      </c>
      <c r="I169" t="e">
        <f ca="1"/>
        <v>#N/A</v>
      </c>
      <c r="J169" t="e">
        <f ca="1"/>
        <v>#N/A</v>
      </c>
      <c r="K169" s="49" t="e">
        <f ca="1"/>
        <v>#N/A</v>
      </c>
    </row>
    <row r="170" spans="1:11" x14ac:dyDescent="0.25">
      <c r="A170" s="2" t="e">
        <f ca="1"/>
        <v>#N/A</v>
      </c>
      <c r="C170" t="e">
        <f ca="1"/>
        <v>#N/A</v>
      </c>
      <c r="D170" t="e">
        <f ca="1"/>
        <v>#N/A</v>
      </c>
      <c r="E170" t="e">
        <f ca="1"/>
        <v>#N/A</v>
      </c>
      <c r="F170" t="e">
        <f ca="1"/>
        <v>#N/A</v>
      </c>
      <c r="G170" t="e">
        <f ca="1"/>
        <v>#N/A</v>
      </c>
      <c r="H170" t="e">
        <f ca="1"/>
        <v>#N/A</v>
      </c>
      <c r="I170" t="e">
        <f ca="1"/>
        <v>#N/A</v>
      </c>
      <c r="J170" t="e">
        <f ca="1"/>
        <v>#N/A</v>
      </c>
      <c r="K170" s="49" t="e">
        <f ca="1"/>
        <v>#N/A</v>
      </c>
    </row>
    <row r="171" spans="1:11" x14ac:dyDescent="0.25">
      <c r="A171" s="2" t="e">
        <f ca="1"/>
        <v>#N/A</v>
      </c>
      <c r="C171" t="e">
        <f ca="1"/>
        <v>#N/A</v>
      </c>
      <c r="D171" t="e">
        <f ca="1"/>
        <v>#N/A</v>
      </c>
      <c r="E171" t="e">
        <f ca="1"/>
        <v>#N/A</v>
      </c>
      <c r="F171" t="e">
        <f ca="1"/>
        <v>#N/A</v>
      </c>
      <c r="G171" t="e">
        <f ca="1"/>
        <v>#N/A</v>
      </c>
      <c r="H171" t="e">
        <f ca="1"/>
        <v>#N/A</v>
      </c>
      <c r="I171" t="e">
        <f ca="1"/>
        <v>#N/A</v>
      </c>
      <c r="J171" t="e">
        <f ca="1"/>
        <v>#N/A</v>
      </c>
      <c r="K171" s="49" t="e">
        <f ca="1"/>
        <v>#N/A</v>
      </c>
    </row>
    <row r="172" spans="1:11" x14ac:dyDescent="0.25">
      <c r="A172" s="2" t="e">
        <f ca="1"/>
        <v>#N/A</v>
      </c>
      <c r="C172" t="e">
        <f ca="1"/>
        <v>#N/A</v>
      </c>
      <c r="D172" t="e">
        <f ca="1"/>
        <v>#N/A</v>
      </c>
      <c r="E172" t="e">
        <f ca="1"/>
        <v>#N/A</v>
      </c>
      <c r="F172" t="e">
        <f ca="1"/>
        <v>#N/A</v>
      </c>
      <c r="G172" t="e">
        <f ca="1"/>
        <v>#N/A</v>
      </c>
      <c r="H172" t="e">
        <f ca="1"/>
        <v>#N/A</v>
      </c>
      <c r="I172" t="e">
        <f ca="1"/>
        <v>#N/A</v>
      </c>
      <c r="J172" t="e">
        <f ca="1"/>
        <v>#N/A</v>
      </c>
      <c r="K172" s="49" t="e">
        <f ca="1"/>
        <v>#N/A</v>
      </c>
    </row>
    <row r="173" spans="1:11" x14ac:dyDescent="0.25">
      <c r="A173" s="2" t="e">
        <f ca="1"/>
        <v>#N/A</v>
      </c>
      <c r="C173" t="e">
        <f ca="1"/>
        <v>#N/A</v>
      </c>
      <c r="D173" t="e">
        <f ca="1"/>
        <v>#N/A</v>
      </c>
      <c r="E173" t="e">
        <f ca="1"/>
        <v>#N/A</v>
      </c>
      <c r="F173" t="e">
        <f ca="1"/>
        <v>#N/A</v>
      </c>
      <c r="G173" t="e">
        <f ca="1"/>
        <v>#N/A</v>
      </c>
      <c r="H173" t="e">
        <f ca="1"/>
        <v>#N/A</v>
      </c>
      <c r="I173" t="e">
        <f ca="1"/>
        <v>#N/A</v>
      </c>
      <c r="J173" t="e">
        <f ca="1"/>
        <v>#N/A</v>
      </c>
      <c r="K173" s="49" t="e">
        <f ca="1"/>
        <v>#N/A</v>
      </c>
    </row>
    <row r="174" spans="1:11" x14ac:dyDescent="0.25">
      <c r="A174" s="2" t="e">
        <f ca="1"/>
        <v>#N/A</v>
      </c>
      <c r="C174" t="e">
        <f ca="1"/>
        <v>#N/A</v>
      </c>
      <c r="D174" t="e">
        <f ca="1"/>
        <v>#N/A</v>
      </c>
      <c r="E174" t="e">
        <f ca="1"/>
        <v>#N/A</v>
      </c>
      <c r="F174" t="e">
        <f ca="1"/>
        <v>#N/A</v>
      </c>
      <c r="G174" t="e">
        <f ca="1"/>
        <v>#N/A</v>
      </c>
      <c r="H174" t="e">
        <f ca="1"/>
        <v>#N/A</v>
      </c>
      <c r="I174" t="e">
        <f ca="1"/>
        <v>#N/A</v>
      </c>
      <c r="J174" t="e">
        <f ca="1"/>
        <v>#N/A</v>
      </c>
      <c r="K174" s="49" t="e">
        <f ca="1"/>
        <v>#N/A</v>
      </c>
    </row>
    <row r="175" spans="1:11" x14ac:dyDescent="0.25">
      <c r="A175" s="2" t="e">
        <f ca="1"/>
        <v>#N/A</v>
      </c>
      <c r="C175" t="e">
        <f ca="1"/>
        <v>#N/A</v>
      </c>
      <c r="D175" t="e">
        <f ca="1"/>
        <v>#N/A</v>
      </c>
      <c r="E175" t="e">
        <f ca="1"/>
        <v>#N/A</v>
      </c>
      <c r="F175" t="e">
        <f ca="1"/>
        <v>#N/A</v>
      </c>
      <c r="G175" t="e">
        <f ca="1"/>
        <v>#N/A</v>
      </c>
      <c r="H175" t="e">
        <f ca="1"/>
        <v>#N/A</v>
      </c>
      <c r="I175" t="e">
        <f ca="1"/>
        <v>#N/A</v>
      </c>
      <c r="J175" t="e">
        <f ca="1"/>
        <v>#N/A</v>
      </c>
      <c r="K175" s="49" t="e">
        <f ca="1"/>
        <v>#N/A</v>
      </c>
    </row>
    <row r="176" spans="1:11" x14ac:dyDescent="0.25">
      <c r="A176" s="2" t="e">
        <f ca="1"/>
        <v>#N/A</v>
      </c>
      <c r="C176" t="e">
        <f ca="1"/>
        <v>#N/A</v>
      </c>
      <c r="D176" t="e">
        <f ca="1"/>
        <v>#N/A</v>
      </c>
      <c r="E176" t="e">
        <f ca="1"/>
        <v>#N/A</v>
      </c>
      <c r="F176" t="e">
        <f ca="1"/>
        <v>#N/A</v>
      </c>
      <c r="G176" t="e">
        <f ca="1"/>
        <v>#N/A</v>
      </c>
      <c r="H176" t="e">
        <f ca="1"/>
        <v>#N/A</v>
      </c>
      <c r="I176" t="e">
        <f ca="1"/>
        <v>#N/A</v>
      </c>
      <c r="J176" t="e">
        <f ca="1"/>
        <v>#N/A</v>
      </c>
      <c r="K176" s="49" t="e">
        <f ca="1"/>
        <v>#N/A</v>
      </c>
    </row>
    <row r="177" spans="1:11" x14ac:dyDescent="0.25">
      <c r="A177" s="2" t="e">
        <f ca="1"/>
        <v>#N/A</v>
      </c>
      <c r="C177" t="e">
        <f ca="1"/>
        <v>#N/A</v>
      </c>
      <c r="D177" t="e">
        <f ca="1"/>
        <v>#N/A</v>
      </c>
      <c r="E177" t="e">
        <f ca="1"/>
        <v>#N/A</v>
      </c>
      <c r="F177" t="e">
        <f ca="1"/>
        <v>#N/A</v>
      </c>
      <c r="G177" t="e">
        <f ca="1"/>
        <v>#N/A</v>
      </c>
      <c r="H177" t="e">
        <f ca="1"/>
        <v>#N/A</v>
      </c>
      <c r="I177" t="e">
        <f ca="1"/>
        <v>#N/A</v>
      </c>
      <c r="J177" t="e">
        <f ca="1"/>
        <v>#N/A</v>
      </c>
      <c r="K177" s="49" t="e">
        <f ca="1"/>
        <v>#N/A</v>
      </c>
    </row>
    <row r="178" spans="1:11" x14ac:dyDescent="0.25">
      <c r="A178" s="2" t="e">
        <f ca="1"/>
        <v>#N/A</v>
      </c>
      <c r="C178" t="e">
        <f ca="1"/>
        <v>#N/A</v>
      </c>
      <c r="D178" t="e">
        <f ca="1"/>
        <v>#N/A</v>
      </c>
      <c r="E178" t="e">
        <f ca="1"/>
        <v>#N/A</v>
      </c>
      <c r="F178" t="e">
        <f ca="1"/>
        <v>#N/A</v>
      </c>
      <c r="G178" t="e">
        <f ca="1"/>
        <v>#N/A</v>
      </c>
      <c r="H178" t="e">
        <f ca="1"/>
        <v>#N/A</v>
      </c>
      <c r="I178" t="e">
        <f ca="1"/>
        <v>#N/A</v>
      </c>
      <c r="J178" t="e">
        <f ca="1"/>
        <v>#N/A</v>
      </c>
      <c r="K178" s="49" t="e">
        <f ca="1"/>
        <v>#N/A</v>
      </c>
    </row>
    <row r="179" spans="1:11" x14ac:dyDescent="0.25">
      <c r="A179" s="2" t="e">
        <f ca="1"/>
        <v>#N/A</v>
      </c>
      <c r="C179" t="e">
        <f ca="1"/>
        <v>#N/A</v>
      </c>
      <c r="D179" t="e">
        <f ca="1"/>
        <v>#N/A</v>
      </c>
      <c r="E179" t="e">
        <f ca="1"/>
        <v>#N/A</v>
      </c>
      <c r="F179" t="e">
        <f ca="1"/>
        <v>#N/A</v>
      </c>
      <c r="G179" t="e">
        <f ca="1"/>
        <v>#N/A</v>
      </c>
      <c r="H179" t="e">
        <f ca="1"/>
        <v>#N/A</v>
      </c>
      <c r="I179" t="e">
        <f ca="1"/>
        <v>#N/A</v>
      </c>
      <c r="J179" t="e">
        <f ca="1"/>
        <v>#N/A</v>
      </c>
      <c r="K179" s="49" t="e">
        <f ca="1"/>
        <v>#N/A</v>
      </c>
    </row>
    <row r="180" spans="1:11" x14ac:dyDescent="0.25">
      <c r="A180" s="2" t="e">
        <f ca="1"/>
        <v>#N/A</v>
      </c>
      <c r="C180" t="e">
        <f ca="1"/>
        <v>#N/A</v>
      </c>
      <c r="D180" t="e">
        <f ca="1"/>
        <v>#N/A</v>
      </c>
      <c r="E180" t="e">
        <f ca="1"/>
        <v>#N/A</v>
      </c>
      <c r="F180" t="e">
        <f ca="1"/>
        <v>#N/A</v>
      </c>
      <c r="G180" t="e">
        <f ca="1"/>
        <v>#N/A</v>
      </c>
      <c r="H180" t="e">
        <f ca="1"/>
        <v>#N/A</v>
      </c>
      <c r="I180" t="e">
        <f ca="1"/>
        <v>#N/A</v>
      </c>
      <c r="J180" t="e">
        <f ca="1"/>
        <v>#N/A</v>
      </c>
      <c r="K180" s="49" t="e">
        <f ca="1"/>
        <v>#N/A</v>
      </c>
    </row>
    <row r="181" spans="1:11" x14ac:dyDescent="0.25">
      <c r="A181" s="2" t="e">
        <f ca="1"/>
        <v>#N/A</v>
      </c>
      <c r="C181" t="e">
        <f ca="1"/>
        <v>#N/A</v>
      </c>
      <c r="D181" t="e">
        <f ca="1"/>
        <v>#N/A</v>
      </c>
      <c r="E181" t="e">
        <f ca="1"/>
        <v>#N/A</v>
      </c>
      <c r="F181" t="e">
        <f ca="1"/>
        <v>#N/A</v>
      </c>
      <c r="G181" t="e">
        <f ca="1"/>
        <v>#N/A</v>
      </c>
      <c r="H181" t="e">
        <f ca="1"/>
        <v>#N/A</v>
      </c>
      <c r="I181" t="e">
        <f ca="1"/>
        <v>#N/A</v>
      </c>
      <c r="J181" t="e">
        <f ca="1"/>
        <v>#N/A</v>
      </c>
      <c r="K181" s="49" t="e">
        <f ca="1"/>
        <v>#N/A</v>
      </c>
    </row>
    <row r="182" spans="1:11" x14ac:dyDescent="0.25">
      <c r="A182" s="2" t="e">
        <f ca="1"/>
        <v>#N/A</v>
      </c>
      <c r="C182" t="e">
        <f ca="1"/>
        <v>#N/A</v>
      </c>
      <c r="D182" t="e">
        <f ca="1"/>
        <v>#N/A</v>
      </c>
      <c r="E182" t="e">
        <f ca="1"/>
        <v>#N/A</v>
      </c>
      <c r="F182" t="e">
        <f ca="1"/>
        <v>#N/A</v>
      </c>
      <c r="G182" t="e">
        <f ca="1"/>
        <v>#N/A</v>
      </c>
      <c r="H182" t="e">
        <f ca="1"/>
        <v>#N/A</v>
      </c>
      <c r="I182" t="e">
        <f ca="1"/>
        <v>#N/A</v>
      </c>
      <c r="J182" t="e">
        <f ca="1"/>
        <v>#N/A</v>
      </c>
      <c r="K182" s="49" t="e">
        <f ca="1"/>
        <v>#N/A</v>
      </c>
    </row>
    <row r="183" spans="1:11" x14ac:dyDescent="0.25">
      <c r="A183" s="2" t="e">
        <f ca="1"/>
        <v>#N/A</v>
      </c>
      <c r="C183" t="e">
        <f ca="1"/>
        <v>#N/A</v>
      </c>
      <c r="D183" t="e">
        <f ca="1"/>
        <v>#N/A</v>
      </c>
      <c r="E183" t="e">
        <f ca="1"/>
        <v>#N/A</v>
      </c>
      <c r="F183" t="e">
        <f ca="1"/>
        <v>#N/A</v>
      </c>
      <c r="G183" t="e">
        <f ca="1"/>
        <v>#N/A</v>
      </c>
      <c r="H183" t="e">
        <f ca="1"/>
        <v>#N/A</v>
      </c>
      <c r="I183" t="e">
        <f ca="1"/>
        <v>#N/A</v>
      </c>
      <c r="J183" t="e">
        <f ca="1"/>
        <v>#N/A</v>
      </c>
      <c r="K183" s="49" t="e">
        <f ca="1"/>
        <v>#N/A</v>
      </c>
    </row>
    <row r="184" spans="1:11" x14ac:dyDescent="0.25">
      <c r="A184" s="2" t="e">
        <f ca="1"/>
        <v>#N/A</v>
      </c>
      <c r="C184" t="e">
        <f ca="1"/>
        <v>#N/A</v>
      </c>
      <c r="D184" t="e">
        <f ca="1"/>
        <v>#N/A</v>
      </c>
      <c r="E184" t="e">
        <f ca="1"/>
        <v>#N/A</v>
      </c>
      <c r="F184" t="e">
        <f ca="1"/>
        <v>#N/A</v>
      </c>
      <c r="G184" t="e">
        <f ca="1"/>
        <v>#N/A</v>
      </c>
      <c r="H184" t="e">
        <f ca="1"/>
        <v>#N/A</v>
      </c>
      <c r="I184" t="e">
        <f ca="1"/>
        <v>#N/A</v>
      </c>
      <c r="J184" t="e">
        <f ca="1"/>
        <v>#N/A</v>
      </c>
      <c r="K184" s="49" t="e">
        <f ca="1"/>
        <v>#N/A</v>
      </c>
    </row>
    <row r="185" spans="1:11" x14ac:dyDescent="0.25">
      <c r="A185" s="2" t="e">
        <f ca="1"/>
        <v>#N/A</v>
      </c>
      <c r="C185" t="e">
        <f ca="1"/>
        <v>#N/A</v>
      </c>
      <c r="D185" t="e">
        <f ca="1"/>
        <v>#N/A</v>
      </c>
      <c r="E185" t="e">
        <f ca="1"/>
        <v>#N/A</v>
      </c>
      <c r="F185" t="e">
        <f ca="1"/>
        <v>#N/A</v>
      </c>
      <c r="G185" t="e">
        <f ca="1"/>
        <v>#N/A</v>
      </c>
      <c r="H185" t="e">
        <f ca="1"/>
        <v>#N/A</v>
      </c>
      <c r="I185" t="e">
        <f ca="1"/>
        <v>#N/A</v>
      </c>
      <c r="J185" t="e">
        <f ca="1"/>
        <v>#N/A</v>
      </c>
      <c r="K185" s="49" t="e">
        <f ca="1"/>
        <v>#N/A</v>
      </c>
    </row>
    <row r="186" spans="1:11" x14ac:dyDescent="0.25">
      <c r="A186" s="2" t="e">
        <f ca="1"/>
        <v>#N/A</v>
      </c>
      <c r="C186" t="e">
        <f ca="1"/>
        <v>#N/A</v>
      </c>
      <c r="D186" t="e">
        <f ca="1"/>
        <v>#N/A</v>
      </c>
      <c r="E186" t="e">
        <f ca="1"/>
        <v>#N/A</v>
      </c>
      <c r="F186" t="e">
        <f ca="1"/>
        <v>#N/A</v>
      </c>
      <c r="G186" t="e">
        <f ca="1"/>
        <v>#N/A</v>
      </c>
      <c r="H186" t="e">
        <f ca="1"/>
        <v>#N/A</v>
      </c>
      <c r="I186" t="e">
        <f ca="1"/>
        <v>#N/A</v>
      </c>
      <c r="J186" t="e">
        <f ca="1"/>
        <v>#N/A</v>
      </c>
      <c r="K186" s="49" t="e">
        <f ca="1"/>
        <v>#N/A</v>
      </c>
    </row>
    <row r="187" spans="1:11" x14ac:dyDescent="0.25">
      <c r="A187" s="2" t="e">
        <f ca="1"/>
        <v>#N/A</v>
      </c>
      <c r="C187" t="e">
        <f ca="1"/>
        <v>#N/A</v>
      </c>
      <c r="D187" t="e">
        <f ca="1"/>
        <v>#N/A</v>
      </c>
      <c r="E187" t="e">
        <f ca="1"/>
        <v>#N/A</v>
      </c>
      <c r="F187" t="e">
        <f ca="1"/>
        <v>#N/A</v>
      </c>
      <c r="G187" t="e">
        <f ca="1"/>
        <v>#N/A</v>
      </c>
      <c r="H187" t="e">
        <f ca="1"/>
        <v>#N/A</v>
      </c>
      <c r="I187" t="e">
        <f ca="1"/>
        <v>#N/A</v>
      </c>
      <c r="J187" t="e">
        <f ca="1"/>
        <v>#N/A</v>
      </c>
      <c r="K187" s="49" t="e">
        <f ca="1"/>
        <v>#N/A</v>
      </c>
    </row>
    <row r="188" spans="1:11" x14ac:dyDescent="0.25">
      <c r="A188" s="2" t="e">
        <f ca="1"/>
        <v>#N/A</v>
      </c>
      <c r="C188" t="e">
        <f ca="1"/>
        <v>#N/A</v>
      </c>
      <c r="D188" t="e">
        <f ca="1"/>
        <v>#N/A</v>
      </c>
      <c r="E188" t="e">
        <f ca="1"/>
        <v>#N/A</v>
      </c>
      <c r="F188" t="e">
        <f ca="1"/>
        <v>#N/A</v>
      </c>
      <c r="G188" t="e">
        <f ca="1"/>
        <v>#N/A</v>
      </c>
      <c r="H188" t="e">
        <f ca="1"/>
        <v>#N/A</v>
      </c>
      <c r="I188" t="e">
        <f ca="1"/>
        <v>#N/A</v>
      </c>
      <c r="J188" t="e">
        <f ca="1"/>
        <v>#N/A</v>
      </c>
      <c r="K188" s="49" t="e">
        <f ca="1"/>
        <v>#N/A</v>
      </c>
    </row>
    <row r="189" spans="1:11" x14ac:dyDescent="0.25">
      <c r="A189" s="2" t="e">
        <f ca="1"/>
        <v>#N/A</v>
      </c>
      <c r="C189" t="e">
        <f ca="1"/>
        <v>#N/A</v>
      </c>
      <c r="D189" t="e">
        <f ca="1"/>
        <v>#N/A</v>
      </c>
      <c r="E189" t="e">
        <f ca="1"/>
        <v>#N/A</v>
      </c>
      <c r="F189" t="e">
        <f ca="1"/>
        <v>#N/A</v>
      </c>
      <c r="G189" t="e">
        <f ca="1"/>
        <v>#N/A</v>
      </c>
      <c r="H189" t="e">
        <f ca="1"/>
        <v>#N/A</v>
      </c>
      <c r="I189" t="e">
        <f ca="1"/>
        <v>#N/A</v>
      </c>
      <c r="J189" t="e">
        <f ca="1"/>
        <v>#N/A</v>
      </c>
      <c r="K189" s="49" t="e">
        <f ca="1"/>
        <v>#N/A</v>
      </c>
    </row>
    <row r="190" spans="1:11" x14ac:dyDescent="0.25">
      <c r="A190" s="2" t="e">
        <f ca="1"/>
        <v>#N/A</v>
      </c>
      <c r="C190" t="e">
        <f ca="1"/>
        <v>#N/A</v>
      </c>
      <c r="D190" t="e">
        <f ca="1"/>
        <v>#N/A</v>
      </c>
      <c r="E190" t="e">
        <f ca="1"/>
        <v>#N/A</v>
      </c>
      <c r="F190" t="e">
        <f ca="1"/>
        <v>#N/A</v>
      </c>
      <c r="G190" t="e">
        <f ca="1"/>
        <v>#N/A</v>
      </c>
      <c r="H190" t="e">
        <f ca="1"/>
        <v>#N/A</v>
      </c>
      <c r="I190" t="e">
        <f ca="1"/>
        <v>#N/A</v>
      </c>
      <c r="J190" t="e">
        <f ca="1"/>
        <v>#N/A</v>
      </c>
      <c r="K190" s="49" t="e">
        <f ca="1"/>
        <v>#N/A</v>
      </c>
    </row>
    <row r="191" spans="1:11" x14ac:dyDescent="0.25">
      <c r="A191" s="2" t="e">
        <f ca="1"/>
        <v>#N/A</v>
      </c>
      <c r="C191" t="e">
        <f ca="1"/>
        <v>#N/A</v>
      </c>
      <c r="D191" t="e">
        <f ca="1"/>
        <v>#N/A</v>
      </c>
      <c r="E191" t="e">
        <f ca="1"/>
        <v>#N/A</v>
      </c>
      <c r="F191" t="e">
        <f ca="1"/>
        <v>#N/A</v>
      </c>
      <c r="G191" t="e">
        <f ca="1"/>
        <v>#N/A</v>
      </c>
      <c r="H191" t="e">
        <f ca="1"/>
        <v>#N/A</v>
      </c>
      <c r="I191" t="e">
        <f ca="1"/>
        <v>#N/A</v>
      </c>
      <c r="J191" t="e">
        <f ca="1"/>
        <v>#N/A</v>
      </c>
      <c r="K191" s="49" t="e">
        <f ca="1"/>
        <v>#N/A</v>
      </c>
    </row>
    <row r="192" spans="1:11" x14ac:dyDescent="0.25">
      <c r="A192" s="2" t="e">
        <f ca="1"/>
        <v>#N/A</v>
      </c>
      <c r="C192" t="e">
        <f ca="1"/>
        <v>#N/A</v>
      </c>
      <c r="D192" t="e">
        <f ca="1"/>
        <v>#N/A</v>
      </c>
      <c r="E192" t="e">
        <f ca="1"/>
        <v>#N/A</v>
      </c>
      <c r="F192" t="e">
        <f ca="1"/>
        <v>#N/A</v>
      </c>
      <c r="G192" t="e">
        <f ca="1"/>
        <v>#N/A</v>
      </c>
      <c r="H192" t="e">
        <f ca="1"/>
        <v>#N/A</v>
      </c>
      <c r="I192" t="e">
        <f ca="1"/>
        <v>#N/A</v>
      </c>
      <c r="J192" t="e">
        <f ca="1"/>
        <v>#N/A</v>
      </c>
      <c r="K192" s="49" t="e">
        <f ca="1"/>
        <v>#N/A</v>
      </c>
    </row>
    <row r="193" spans="1:11" x14ac:dyDescent="0.25">
      <c r="A193" s="2" t="e">
        <f ca="1"/>
        <v>#N/A</v>
      </c>
      <c r="C193" t="e">
        <f ca="1"/>
        <v>#N/A</v>
      </c>
      <c r="D193" t="e">
        <f ca="1"/>
        <v>#N/A</v>
      </c>
      <c r="E193" t="e">
        <f ca="1"/>
        <v>#N/A</v>
      </c>
      <c r="F193" t="e">
        <f ca="1"/>
        <v>#N/A</v>
      </c>
      <c r="G193" t="e">
        <f ca="1"/>
        <v>#N/A</v>
      </c>
      <c r="H193" t="e">
        <f ca="1"/>
        <v>#N/A</v>
      </c>
      <c r="I193" t="e">
        <f ca="1"/>
        <v>#N/A</v>
      </c>
      <c r="J193" t="e">
        <f ca="1"/>
        <v>#N/A</v>
      </c>
      <c r="K193" s="49" t="e">
        <f ca="1"/>
        <v>#N/A</v>
      </c>
    </row>
    <row r="194" spans="1:11" x14ac:dyDescent="0.25">
      <c r="A194" s="2" t="e">
        <f ca="1"/>
        <v>#N/A</v>
      </c>
      <c r="C194" t="e">
        <f ca="1"/>
        <v>#N/A</v>
      </c>
      <c r="D194" t="e">
        <f ca="1"/>
        <v>#N/A</v>
      </c>
      <c r="E194" t="e">
        <f ca="1"/>
        <v>#N/A</v>
      </c>
      <c r="F194" t="e">
        <f ca="1"/>
        <v>#N/A</v>
      </c>
      <c r="G194" t="e">
        <f ca="1"/>
        <v>#N/A</v>
      </c>
      <c r="H194" t="e">
        <f ca="1"/>
        <v>#N/A</v>
      </c>
      <c r="I194" t="e">
        <f ca="1"/>
        <v>#N/A</v>
      </c>
      <c r="J194" t="e">
        <f ca="1"/>
        <v>#N/A</v>
      </c>
      <c r="K194" s="49" t="e">
        <f ca="1"/>
        <v>#N/A</v>
      </c>
    </row>
    <row r="195" spans="1:11" x14ac:dyDescent="0.25">
      <c r="A195" s="2" t="e">
        <f ca="1"/>
        <v>#N/A</v>
      </c>
      <c r="C195" t="e">
        <f ca="1"/>
        <v>#N/A</v>
      </c>
      <c r="D195" t="e">
        <f ca="1"/>
        <v>#N/A</v>
      </c>
      <c r="E195" t="e">
        <f ca="1"/>
        <v>#N/A</v>
      </c>
      <c r="F195" t="e">
        <f ca="1"/>
        <v>#N/A</v>
      </c>
      <c r="G195" t="e">
        <f ca="1"/>
        <v>#N/A</v>
      </c>
      <c r="H195" t="e">
        <f ca="1"/>
        <v>#N/A</v>
      </c>
      <c r="I195" t="e">
        <f ca="1"/>
        <v>#N/A</v>
      </c>
      <c r="J195" t="e">
        <f ca="1"/>
        <v>#N/A</v>
      </c>
      <c r="K195" s="49" t="e">
        <f ca="1"/>
        <v>#N/A</v>
      </c>
    </row>
    <row r="196" spans="1:11" x14ac:dyDescent="0.25">
      <c r="A196" s="2" t="e">
        <f ca="1"/>
        <v>#N/A</v>
      </c>
      <c r="C196" t="e">
        <f ca="1"/>
        <v>#N/A</v>
      </c>
      <c r="D196" t="e">
        <f ca="1"/>
        <v>#N/A</v>
      </c>
      <c r="E196" t="e">
        <f ca="1"/>
        <v>#N/A</v>
      </c>
      <c r="F196" t="e">
        <f ca="1"/>
        <v>#N/A</v>
      </c>
      <c r="G196" t="e">
        <f ca="1"/>
        <v>#N/A</v>
      </c>
      <c r="H196" t="e">
        <f ca="1"/>
        <v>#N/A</v>
      </c>
      <c r="I196" t="e">
        <f ca="1"/>
        <v>#N/A</v>
      </c>
      <c r="J196" t="e">
        <f ca="1"/>
        <v>#N/A</v>
      </c>
      <c r="K196" s="49" t="e">
        <f ca="1"/>
        <v>#N/A</v>
      </c>
    </row>
    <row r="197" spans="1:11" x14ac:dyDescent="0.25">
      <c r="A197" s="2" t="e">
        <f ca="1"/>
        <v>#N/A</v>
      </c>
      <c r="C197" t="e">
        <f ca="1"/>
        <v>#N/A</v>
      </c>
      <c r="D197" t="e">
        <f ca="1"/>
        <v>#N/A</v>
      </c>
      <c r="E197" t="e">
        <f ca="1"/>
        <v>#N/A</v>
      </c>
      <c r="F197" t="e">
        <f ca="1"/>
        <v>#N/A</v>
      </c>
      <c r="G197" t="e">
        <f ca="1"/>
        <v>#N/A</v>
      </c>
      <c r="H197" t="e">
        <f ca="1"/>
        <v>#N/A</v>
      </c>
      <c r="I197" t="e">
        <f ca="1"/>
        <v>#N/A</v>
      </c>
      <c r="J197" t="e">
        <f ca="1"/>
        <v>#N/A</v>
      </c>
      <c r="K197" s="49" t="e">
        <f ca="1"/>
        <v>#N/A</v>
      </c>
    </row>
    <row r="198" spans="1:11" x14ac:dyDescent="0.25">
      <c r="A198" s="2" t="e">
        <f ca="1"/>
        <v>#N/A</v>
      </c>
      <c r="C198" t="e">
        <f ca="1"/>
        <v>#N/A</v>
      </c>
      <c r="D198" t="e">
        <f ca="1"/>
        <v>#N/A</v>
      </c>
      <c r="E198" t="e">
        <f ca="1"/>
        <v>#N/A</v>
      </c>
      <c r="F198" t="e">
        <f ca="1"/>
        <v>#N/A</v>
      </c>
      <c r="G198" t="e">
        <f ca="1"/>
        <v>#N/A</v>
      </c>
      <c r="H198" t="e">
        <f ca="1"/>
        <v>#N/A</v>
      </c>
      <c r="I198" t="e">
        <f ca="1"/>
        <v>#N/A</v>
      </c>
      <c r="J198" t="e">
        <f ca="1"/>
        <v>#N/A</v>
      </c>
      <c r="K198" s="49" t="e">
        <f ca="1"/>
        <v>#N/A</v>
      </c>
    </row>
    <row r="199" spans="1:11" x14ac:dyDescent="0.25">
      <c r="A199" s="2" t="e">
        <f ca="1"/>
        <v>#N/A</v>
      </c>
      <c r="C199" t="e">
        <f ca="1"/>
        <v>#N/A</v>
      </c>
      <c r="D199" t="e">
        <f ca="1"/>
        <v>#N/A</v>
      </c>
      <c r="E199" t="e">
        <f ca="1"/>
        <v>#N/A</v>
      </c>
      <c r="F199" t="e">
        <f ca="1"/>
        <v>#N/A</v>
      </c>
      <c r="G199" t="e">
        <f ca="1"/>
        <v>#N/A</v>
      </c>
      <c r="H199" t="e">
        <f ca="1"/>
        <v>#N/A</v>
      </c>
      <c r="I199" t="e">
        <f ca="1"/>
        <v>#N/A</v>
      </c>
      <c r="J199" t="e">
        <f ca="1"/>
        <v>#N/A</v>
      </c>
      <c r="K199" s="49" t="e">
        <f ca="1"/>
        <v>#N/A</v>
      </c>
    </row>
    <row r="200" spans="1:11" x14ac:dyDescent="0.25">
      <c r="A200" s="2" t="e">
        <f ca="1"/>
        <v>#N/A</v>
      </c>
      <c r="C200" t="e">
        <f ca="1"/>
        <v>#N/A</v>
      </c>
      <c r="D200" t="e">
        <f ca="1"/>
        <v>#N/A</v>
      </c>
      <c r="E200" t="e">
        <f ca="1"/>
        <v>#N/A</v>
      </c>
      <c r="F200" t="e">
        <f ca="1"/>
        <v>#N/A</v>
      </c>
      <c r="G200" t="e">
        <f ca="1"/>
        <v>#N/A</v>
      </c>
      <c r="H200" t="e">
        <f ca="1"/>
        <v>#N/A</v>
      </c>
      <c r="I200" t="e">
        <f ca="1"/>
        <v>#N/A</v>
      </c>
      <c r="J200" t="e">
        <f ca="1"/>
        <v>#N/A</v>
      </c>
      <c r="K200" s="49" t="e">
        <f ca="1"/>
        <v>#N/A</v>
      </c>
    </row>
    <row r="201" spans="1:11" x14ac:dyDescent="0.25">
      <c r="A201" s="2" t="e">
        <f ca="1"/>
        <v>#N/A</v>
      </c>
      <c r="C201" t="e">
        <f ca="1"/>
        <v>#N/A</v>
      </c>
      <c r="D201" t="e">
        <f ca="1"/>
        <v>#N/A</v>
      </c>
      <c r="E201" t="e">
        <f ca="1"/>
        <v>#N/A</v>
      </c>
      <c r="F201" t="e">
        <f ca="1"/>
        <v>#N/A</v>
      </c>
      <c r="G201" t="e">
        <f ca="1"/>
        <v>#N/A</v>
      </c>
      <c r="H201" t="e">
        <f ca="1"/>
        <v>#N/A</v>
      </c>
      <c r="I201" t="e">
        <f ca="1"/>
        <v>#N/A</v>
      </c>
      <c r="J201" t="e">
        <f ca="1"/>
        <v>#N/A</v>
      </c>
      <c r="K201" s="49" t="e">
        <f ca="1"/>
        <v>#N/A</v>
      </c>
    </row>
    <row r="202" spans="1:11" x14ac:dyDescent="0.25">
      <c r="A202" s="2" t="e">
        <f ca="1"/>
        <v>#N/A</v>
      </c>
      <c r="C202" t="e">
        <f ca="1"/>
        <v>#N/A</v>
      </c>
      <c r="D202" t="e">
        <f ca="1"/>
        <v>#N/A</v>
      </c>
      <c r="E202" t="e">
        <f ca="1"/>
        <v>#N/A</v>
      </c>
      <c r="F202" t="e">
        <f ca="1"/>
        <v>#N/A</v>
      </c>
      <c r="G202" t="e">
        <f ca="1"/>
        <v>#N/A</v>
      </c>
      <c r="H202" t="e">
        <f ca="1"/>
        <v>#N/A</v>
      </c>
      <c r="I202" t="e">
        <f ca="1"/>
        <v>#N/A</v>
      </c>
      <c r="J202" t="e">
        <f ca="1"/>
        <v>#N/A</v>
      </c>
      <c r="K202" s="49" t="e">
        <f ca="1"/>
        <v>#N/A</v>
      </c>
    </row>
    <row r="203" spans="1:11" x14ac:dyDescent="0.25">
      <c r="A203" s="2" t="e">
        <f ca="1"/>
        <v>#N/A</v>
      </c>
      <c r="C203" t="e">
        <f ca="1"/>
        <v>#N/A</v>
      </c>
      <c r="D203" t="e">
        <f ca="1"/>
        <v>#N/A</v>
      </c>
      <c r="E203" t="e">
        <f ca="1"/>
        <v>#N/A</v>
      </c>
      <c r="F203" t="e">
        <f ca="1"/>
        <v>#N/A</v>
      </c>
      <c r="G203" t="e">
        <f ca="1"/>
        <v>#N/A</v>
      </c>
      <c r="H203" t="e">
        <f ca="1"/>
        <v>#N/A</v>
      </c>
      <c r="I203" t="e">
        <f ca="1"/>
        <v>#N/A</v>
      </c>
      <c r="J203" t="e">
        <f ca="1"/>
        <v>#N/A</v>
      </c>
      <c r="K203" s="49" t="e">
        <f ca="1"/>
        <v>#N/A</v>
      </c>
    </row>
    <row r="204" spans="1:11" x14ac:dyDescent="0.25">
      <c r="A204" s="2" t="e">
        <f ca="1"/>
        <v>#N/A</v>
      </c>
      <c r="C204" t="e">
        <f ca="1"/>
        <v>#N/A</v>
      </c>
      <c r="D204" t="e">
        <f ca="1"/>
        <v>#N/A</v>
      </c>
      <c r="E204" t="e">
        <f ca="1"/>
        <v>#N/A</v>
      </c>
      <c r="F204" t="e">
        <f ca="1"/>
        <v>#N/A</v>
      </c>
      <c r="G204" t="e">
        <f ca="1"/>
        <v>#N/A</v>
      </c>
      <c r="H204" t="e">
        <f ca="1"/>
        <v>#N/A</v>
      </c>
      <c r="I204" t="e">
        <f ca="1"/>
        <v>#N/A</v>
      </c>
      <c r="J204" t="e">
        <f ca="1"/>
        <v>#N/A</v>
      </c>
      <c r="K204" s="49" t="e">
        <f ca="1"/>
        <v>#N/A</v>
      </c>
    </row>
    <row r="205" spans="1:11" x14ac:dyDescent="0.25">
      <c r="A205" s="2" t="e">
        <f ca="1"/>
        <v>#N/A</v>
      </c>
      <c r="C205" t="e">
        <f ca="1"/>
        <v>#N/A</v>
      </c>
      <c r="D205" t="e">
        <f ca="1"/>
        <v>#N/A</v>
      </c>
      <c r="E205" t="e">
        <f ca="1"/>
        <v>#N/A</v>
      </c>
      <c r="F205" t="e">
        <f ca="1"/>
        <v>#N/A</v>
      </c>
      <c r="G205" t="e">
        <f ca="1"/>
        <v>#N/A</v>
      </c>
      <c r="H205" t="e">
        <f ca="1"/>
        <v>#N/A</v>
      </c>
      <c r="I205" t="e">
        <f ca="1"/>
        <v>#N/A</v>
      </c>
      <c r="J205" t="e">
        <f ca="1"/>
        <v>#N/A</v>
      </c>
      <c r="K205" s="49" t="e">
        <f ca="1"/>
        <v>#N/A</v>
      </c>
    </row>
    <row r="206" spans="1:11" x14ac:dyDescent="0.25">
      <c r="A206" s="2" t="e">
        <f ca="1"/>
        <v>#N/A</v>
      </c>
      <c r="C206" t="e">
        <f ca="1"/>
        <v>#N/A</v>
      </c>
      <c r="D206" t="e">
        <f ca="1"/>
        <v>#N/A</v>
      </c>
      <c r="E206" t="e">
        <f ca="1"/>
        <v>#N/A</v>
      </c>
      <c r="F206" t="e">
        <f ca="1"/>
        <v>#N/A</v>
      </c>
      <c r="G206" t="e">
        <f ca="1"/>
        <v>#N/A</v>
      </c>
      <c r="H206" t="e">
        <f ca="1"/>
        <v>#N/A</v>
      </c>
      <c r="I206" t="e">
        <f ca="1"/>
        <v>#N/A</v>
      </c>
      <c r="J206" t="e">
        <f ca="1"/>
        <v>#N/A</v>
      </c>
      <c r="K206" s="49" t="e">
        <f ca="1"/>
        <v>#N/A</v>
      </c>
    </row>
    <row r="207" spans="1:11" x14ac:dyDescent="0.25">
      <c r="A207" s="2" t="e">
        <f ca="1"/>
        <v>#N/A</v>
      </c>
      <c r="C207" t="e">
        <f ca="1"/>
        <v>#N/A</v>
      </c>
      <c r="D207" t="e">
        <f ca="1"/>
        <v>#N/A</v>
      </c>
      <c r="E207" t="e">
        <f ca="1"/>
        <v>#N/A</v>
      </c>
      <c r="F207" t="e">
        <f ca="1"/>
        <v>#N/A</v>
      </c>
      <c r="G207" t="e">
        <f ca="1"/>
        <v>#N/A</v>
      </c>
      <c r="H207" t="e">
        <f ca="1"/>
        <v>#N/A</v>
      </c>
      <c r="I207" t="e">
        <f ca="1"/>
        <v>#N/A</v>
      </c>
      <c r="J207" t="e">
        <f ca="1"/>
        <v>#N/A</v>
      </c>
      <c r="K207" s="49" t="e">
        <f ca="1"/>
        <v>#N/A</v>
      </c>
    </row>
    <row r="208" spans="1:11" x14ac:dyDescent="0.25">
      <c r="A208" s="2" t="e">
        <f ca="1"/>
        <v>#N/A</v>
      </c>
      <c r="C208" t="e">
        <f ca="1"/>
        <v>#N/A</v>
      </c>
      <c r="D208" t="e">
        <f ca="1"/>
        <v>#N/A</v>
      </c>
      <c r="E208" t="e">
        <f ca="1"/>
        <v>#N/A</v>
      </c>
      <c r="F208" t="e">
        <f ca="1"/>
        <v>#N/A</v>
      </c>
      <c r="G208" t="e">
        <f ca="1"/>
        <v>#N/A</v>
      </c>
      <c r="H208" t="e">
        <f ca="1"/>
        <v>#N/A</v>
      </c>
      <c r="I208" t="e">
        <f ca="1"/>
        <v>#N/A</v>
      </c>
      <c r="J208" t="e">
        <f ca="1"/>
        <v>#N/A</v>
      </c>
      <c r="K208" s="49" t="e">
        <f ca="1"/>
        <v>#N/A</v>
      </c>
    </row>
    <row r="209" spans="1:11" x14ac:dyDescent="0.25">
      <c r="A209" s="2" t="e">
        <f ca="1"/>
        <v>#N/A</v>
      </c>
      <c r="C209" t="e">
        <f ca="1"/>
        <v>#N/A</v>
      </c>
      <c r="D209" t="e">
        <f ca="1"/>
        <v>#N/A</v>
      </c>
      <c r="E209" t="e">
        <f ca="1"/>
        <v>#N/A</v>
      </c>
      <c r="F209" t="e">
        <f ca="1"/>
        <v>#N/A</v>
      </c>
      <c r="G209" t="e">
        <f ca="1"/>
        <v>#N/A</v>
      </c>
      <c r="H209" t="e">
        <f ca="1"/>
        <v>#N/A</v>
      </c>
      <c r="I209" t="e">
        <f ca="1"/>
        <v>#N/A</v>
      </c>
      <c r="J209" t="e">
        <f ca="1"/>
        <v>#N/A</v>
      </c>
      <c r="K209" s="49" t="e">
        <f ca="1"/>
        <v>#N/A</v>
      </c>
    </row>
    <row r="210" spans="1:11" x14ac:dyDescent="0.25">
      <c r="A210" s="2" t="e">
        <f ca="1"/>
        <v>#N/A</v>
      </c>
      <c r="C210" t="e">
        <f ca="1"/>
        <v>#N/A</v>
      </c>
      <c r="D210" t="e">
        <f ca="1"/>
        <v>#N/A</v>
      </c>
      <c r="E210" t="e">
        <f ca="1"/>
        <v>#N/A</v>
      </c>
      <c r="F210" t="e">
        <f ca="1"/>
        <v>#N/A</v>
      </c>
      <c r="G210" t="e">
        <f ca="1"/>
        <v>#N/A</v>
      </c>
      <c r="H210" t="e">
        <f ca="1"/>
        <v>#N/A</v>
      </c>
      <c r="I210" t="e">
        <f ca="1"/>
        <v>#N/A</v>
      </c>
      <c r="J210" t="e">
        <f ca="1"/>
        <v>#N/A</v>
      </c>
      <c r="K210" s="49" t="e">
        <f ca="1"/>
        <v>#N/A</v>
      </c>
    </row>
    <row r="211" spans="1:11" x14ac:dyDescent="0.25">
      <c r="A211" s="2" t="e">
        <f ca="1"/>
        <v>#N/A</v>
      </c>
      <c r="C211" t="e">
        <f ca="1"/>
        <v>#N/A</v>
      </c>
      <c r="D211" t="e">
        <f ca="1"/>
        <v>#N/A</v>
      </c>
      <c r="E211" t="e">
        <f ca="1"/>
        <v>#N/A</v>
      </c>
      <c r="F211" t="e">
        <f ca="1"/>
        <v>#N/A</v>
      </c>
      <c r="G211" t="e">
        <f ca="1"/>
        <v>#N/A</v>
      </c>
      <c r="H211" t="e">
        <f ca="1"/>
        <v>#N/A</v>
      </c>
      <c r="I211" t="e">
        <f ca="1"/>
        <v>#N/A</v>
      </c>
      <c r="J211" t="e">
        <f ca="1"/>
        <v>#N/A</v>
      </c>
      <c r="K211" s="49" t="e">
        <f ca="1"/>
        <v>#N/A</v>
      </c>
    </row>
    <row r="212" spans="1:11" x14ac:dyDescent="0.25">
      <c r="A212" s="2" t="e">
        <f ca="1"/>
        <v>#N/A</v>
      </c>
      <c r="C212" t="e">
        <f ca="1"/>
        <v>#N/A</v>
      </c>
      <c r="D212" t="e">
        <f ca="1"/>
        <v>#N/A</v>
      </c>
      <c r="E212" t="e">
        <f ca="1"/>
        <v>#N/A</v>
      </c>
      <c r="F212" t="e">
        <f ca="1"/>
        <v>#N/A</v>
      </c>
      <c r="G212" t="e">
        <f ca="1"/>
        <v>#N/A</v>
      </c>
      <c r="H212" t="e">
        <f ca="1"/>
        <v>#N/A</v>
      </c>
      <c r="I212" t="e">
        <f ca="1"/>
        <v>#N/A</v>
      </c>
      <c r="J212" t="e">
        <f ca="1"/>
        <v>#N/A</v>
      </c>
      <c r="K212" s="49" t="e">
        <f ca="1"/>
        <v>#N/A</v>
      </c>
    </row>
    <row r="213" spans="1:11" x14ac:dyDescent="0.25">
      <c r="A213" s="2" t="e">
        <f ca="1"/>
        <v>#N/A</v>
      </c>
      <c r="C213" t="e">
        <f ca="1"/>
        <v>#N/A</v>
      </c>
      <c r="D213" t="e">
        <f ca="1"/>
        <v>#N/A</v>
      </c>
      <c r="E213" t="e">
        <f ca="1"/>
        <v>#N/A</v>
      </c>
      <c r="F213" t="e">
        <f ca="1"/>
        <v>#N/A</v>
      </c>
      <c r="G213" t="e">
        <f ca="1"/>
        <v>#N/A</v>
      </c>
      <c r="H213" t="e">
        <f ca="1"/>
        <v>#N/A</v>
      </c>
      <c r="I213" t="e">
        <f ca="1"/>
        <v>#N/A</v>
      </c>
      <c r="J213" t="e">
        <f ca="1"/>
        <v>#N/A</v>
      </c>
      <c r="K213" s="49" t="e">
        <f ca="1"/>
        <v>#N/A</v>
      </c>
    </row>
    <row r="214" spans="1:11" x14ac:dyDescent="0.25">
      <c r="A214" s="2" t="e">
        <f ca="1"/>
        <v>#N/A</v>
      </c>
      <c r="C214" t="e">
        <f ca="1"/>
        <v>#N/A</v>
      </c>
      <c r="D214" t="e">
        <f ca="1"/>
        <v>#N/A</v>
      </c>
      <c r="E214" t="e">
        <f ca="1"/>
        <v>#N/A</v>
      </c>
      <c r="F214" t="e">
        <f ca="1"/>
        <v>#N/A</v>
      </c>
      <c r="G214" t="e">
        <f ca="1"/>
        <v>#N/A</v>
      </c>
      <c r="H214" t="e">
        <f ca="1"/>
        <v>#N/A</v>
      </c>
      <c r="I214" t="e">
        <f ca="1"/>
        <v>#N/A</v>
      </c>
      <c r="J214" t="e">
        <f ca="1"/>
        <v>#N/A</v>
      </c>
      <c r="K214" s="49" t="e">
        <f ca="1"/>
        <v>#N/A</v>
      </c>
    </row>
    <row r="215" spans="1:11" x14ac:dyDescent="0.25">
      <c r="A215" s="2" t="e">
        <f ca="1"/>
        <v>#N/A</v>
      </c>
      <c r="C215" t="e">
        <f ca="1"/>
        <v>#N/A</v>
      </c>
      <c r="D215" t="e">
        <f ca="1"/>
        <v>#N/A</v>
      </c>
      <c r="E215" t="e">
        <f ca="1"/>
        <v>#N/A</v>
      </c>
      <c r="F215" t="e">
        <f ca="1"/>
        <v>#N/A</v>
      </c>
      <c r="G215" t="e">
        <f ca="1"/>
        <v>#N/A</v>
      </c>
      <c r="H215" t="e">
        <f ca="1"/>
        <v>#N/A</v>
      </c>
      <c r="I215" t="e">
        <f ca="1"/>
        <v>#N/A</v>
      </c>
      <c r="J215" t="e">
        <f ca="1"/>
        <v>#N/A</v>
      </c>
      <c r="K215" s="49" t="e">
        <f ca="1"/>
        <v>#N/A</v>
      </c>
    </row>
    <row r="216" spans="1:11" x14ac:dyDescent="0.25">
      <c r="A216" s="2" t="e">
        <f ca="1"/>
        <v>#N/A</v>
      </c>
      <c r="C216" t="e">
        <f ca="1"/>
        <v>#N/A</v>
      </c>
      <c r="D216" t="e">
        <f ca="1"/>
        <v>#N/A</v>
      </c>
      <c r="E216" t="e">
        <f ca="1"/>
        <v>#N/A</v>
      </c>
      <c r="F216" t="e">
        <f ca="1"/>
        <v>#N/A</v>
      </c>
      <c r="G216" t="e">
        <f ca="1"/>
        <v>#N/A</v>
      </c>
      <c r="H216" t="e">
        <f ca="1"/>
        <v>#N/A</v>
      </c>
      <c r="I216" t="e">
        <f ca="1"/>
        <v>#N/A</v>
      </c>
      <c r="J216" t="e">
        <f ca="1"/>
        <v>#N/A</v>
      </c>
      <c r="K216" s="49" t="e">
        <f ca="1"/>
        <v>#N/A</v>
      </c>
    </row>
    <row r="217" spans="1:11" x14ac:dyDescent="0.25">
      <c r="A217" s="2" t="e">
        <f ca="1"/>
        <v>#N/A</v>
      </c>
      <c r="C217" t="e">
        <f ca="1"/>
        <v>#N/A</v>
      </c>
      <c r="D217" t="e">
        <f ca="1"/>
        <v>#N/A</v>
      </c>
      <c r="E217" t="e">
        <f ca="1"/>
        <v>#N/A</v>
      </c>
      <c r="F217" t="e">
        <f ca="1"/>
        <v>#N/A</v>
      </c>
      <c r="G217" t="e">
        <f ca="1"/>
        <v>#N/A</v>
      </c>
      <c r="H217" t="e">
        <f ca="1"/>
        <v>#N/A</v>
      </c>
      <c r="I217" t="e">
        <f ca="1"/>
        <v>#N/A</v>
      </c>
      <c r="J217" t="e">
        <f ca="1"/>
        <v>#N/A</v>
      </c>
      <c r="K217" s="49" t="e">
        <f ca="1"/>
        <v>#N/A</v>
      </c>
    </row>
    <row r="218" spans="1:11" x14ac:dyDescent="0.25">
      <c r="A218" s="2" t="e">
        <f ca="1"/>
        <v>#N/A</v>
      </c>
      <c r="C218" t="e">
        <f ca="1"/>
        <v>#N/A</v>
      </c>
      <c r="D218" t="e">
        <f ca="1"/>
        <v>#N/A</v>
      </c>
      <c r="E218" t="e">
        <f ca="1"/>
        <v>#N/A</v>
      </c>
      <c r="F218" t="e">
        <f ca="1"/>
        <v>#N/A</v>
      </c>
      <c r="G218" t="e">
        <f ca="1"/>
        <v>#N/A</v>
      </c>
      <c r="H218" t="e">
        <f ca="1"/>
        <v>#N/A</v>
      </c>
      <c r="I218" t="e">
        <f ca="1"/>
        <v>#N/A</v>
      </c>
      <c r="J218" t="e">
        <f ca="1"/>
        <v>#N/A</v>
      </c>
      <c r="K218" s="49" t="e">
        <f ca="1"/>
        <v>#N/A</v>
      </c>
    </row>
    <row r="219" spans="1:11" x14ac:dyDescent="0.25">
      <c r="A219" s="2" t="e">
        <f ca="1"/>
        <v>#N/A</v>
      </c>
      <c r="C219" t="e">
        <f ca="1"/>
        <v>#N/A</v>
      </c>
      <c r="D219" t="e">
        <f ca="1"/>
        <v>#N/A</v>
      </c>
      <c r="E219" t="e">
        <f ca="1"/>
        <v>#N/A</v>
      </c>
      <c r="F219" t="e">
        <f ca="1"/>
        <v>#N/A</v>
      </c>
      <c r="G219" t="e">
        <f ca="1"/>
        <v>#N/A</v>
      </c>
      <c r="H219" t="e">
        <f ca="1"/>
        <v>#N/A</v>
      </c>
      <c r="I219" t="e">
        <f ca="1"/>
        <v>#N/A</v>
      </c>
      <c r="J219" t="e">
        <f ca="1"/>
        <v>#N/A</v>
      </c>
      <c r="K219" s="49" t="e">
        <f ca="1"/>
        <v>#N/A</v>
      </c>
    </row>
    <row r="220" spans="1:11" x14ac:dyDescent="0.25">
      <c r="A220" s="2" t="e">
        <f ca="1"/>
        <v>#N/A</v>
      </c>
      <c r="C220" t="e">
        <f ca="1"/>
        <v>#N/A</v>
      </c>
      <c r="D220" t="e">
        <f ca="1"/>
        <v>#N/A</v>
      </c>
      <c r="E220" t="e">
        <f ca="1"/>
        <v>#N/A</v>
      </c>
      <c r="F220" t="e">
        <f ca="1"/>
        <v>#N/A</v>
      </c>
      <c r="G220" t="e">
        <f ca="1"/>
        <v>#N/A</v>
      </c>
      <c r="H220" t="e">
        <f ca="1"/>
        <v>#N/A</v>
      </c>
      <c r="I220" t="e">
        <f ca="1"/>
        <v>#N/A</v>
      </c>
      <c r="J220" t="e">
        <f ca="1"/>
        <v>#N/A</v>
      </c>
      <c r="K220" s="49" t="e">
        <f ca="1"/>
        <v>#N/A</v>
      </c>
    </row>
    <row r="221" spans="1:11" x14ac:dyDescent="0.25">
      <c r="A221" s="2" t="e">
        <f ca="1"/>
        <v>#N/A</v>
      </c>
      <c r="C221" t="e">
        <f ca="1"/>
        <v>#N/A</v>
      </c>
      <c r="D221" t="e">
        <f ca="1"/>
        <v>#N/A</v>
      </c>
      <c r="E221" t="e">
        <f ca="1"/>
        <v>#N/A</v>
      </c>
      <c r="F221" t="e">
        <f ca="1"/>
        <v>#N/A</v>
      </c>
      <c r="G221" t="e">
        <f ca="1"/>
        <v>#N/A</v>
      </c>
      <c r="H221" t="e">
        <f ca="1"/>
        <v>#N/A</v>
      </c>
      <c r="I221" t="e">
        <f ca="1"/>
        <v>#N/A</v>
      </c>
      <c r="J221" t="e">
        <f ca="1"/>
        <v>#N/A</v>
      </c>
      <c r="K221" s="49" t="e">
        <f ca="1"/>
        <v>#N/A</v>
      </c>
    </row>
    <row r="222" spans="1:11" x14ac:dyDescent="0.25">
      <c r="A222" s="2" t="e">
        <f ca="1"/>
        <v>#N/A</v>
      </c>
      <c r="C222" t="e">
        <f ca="1"/>
        <v>#N/A</v>
      </c>
      <c r="D222" t="e">
        <f ca="1"/>
        <v>#N/A</v>
      </c>
      <c r="E222" t="e">
        <f ca="1"/>
        <v>#N/A</v>
      </c>
      <c r="F222" t="e">
        <f ca="1"/>
        <v>#N/A</v>
      </c>
      <c r="G222" t="e">
        <f ca="1"/>
        <v>#N/A</v>
      </c>
      <c r="H222" t="e">
        <f ca="1"/>
        <v>#N/A</v>
      </c>
      <c r="I222" t="e">
        <f ca="1"/>
        <v>#N/A</v>
      </c>
      <c r="J222" t="e">
        <f ca="1"/>
        <v>#N/A</v>
      </c>
      <c r="K222" s="49" t="e">
        <f ca="1"/>
        <v>#N/A</v>
      </c>
    </row>
    <row r="223" spans="1:11" x14ac:dyDescent="0.25">
      <c r="A223" s="2" t="e">
        <f ca="1"/>
        <v>#N/A</v>
      </c>
      <c r="C223" t="e">
        <f ca="1"/>
        <v>#N/A</v>
      </c>
      <c r="D223" t="e">
        <f ca="1"/>
        <v>#N/A</v>
      </c>
      <c r="E223" t="e">
        <f ca="1"/>
        <v>#N/A</v>
      </c>
      <c r="F223" t="e">
        <f ca="1"/>
        <v>#N/A</v>
      </c>
      <c r="G223" t="e">
        <f ca="1"/>
        <v>#N/A</v>
      </c>
      <c r="H223" t="e">
        <f ca="1"/>
        <v>#N/A</v>
      </c>
      <c r="I223" t="e">
        <f ca="1"/>
        <v>#N/A</v>
      </c>
      <c r="J223" t="e">
        <f ca="1"/>
        <v>#N/A</v>
      </c>
      <c r="K223" s="49" t="e">
        <f ca="1"/>
        <v>#N/A</v>
      </c>
    </row>
    <row r="224" spans="1:11" x14ac:dyDescent="0.25">
      <c r="A224" s="2" t="e">
        <f ca="1"/>
        <v>#N/A</v>
      </c>
      <c r="C224" t="e">
        <f ca="1"/>
        <v>#N/A</v>
      </c>
      <c r="D224" t="e">
        <f ca="1"/>
        <v>#N/A</v>
      </c>
      <c r="E224" t="e">
        <f ca="1"/>
        <v>#N/A</v>
      </c>
      <c r="F224" t="e">
        <f ca="1"/>
        <v>#N/A</v>
      </c>
      <c r="G224" t="e">
        <f ca="1"/>
        <v>#N/A</v>
      </c>
      <c r="H224" t="e">
        <f ca="1"/>
        <v>#N/A</v>
      </c>
      <c r="I224" t="e">
        <f ca="1"/>
        <v>#N/A</v>
      </c>
      <c r="J224" t="e">
        <f ca="1"/>
        <v>#N/A</v>
      </c>
      <c r="K224" s="49" t="e">
        <f ca="1"/>
        <v>#N/A</v>
      </c>
    </row>
    <row r="225" spans="1:11" x14ac:dyDescent="0.25">
      <c r="A225" s="2" t="e">
        <f ca="1"/>
        <v>#N/A</v>
      </c>
      <c r="C225" t="e">
        <f ca="1"/>
        <v>#N/A</v>
      </c>
      <c r="D225" t="e">
        <f ca="1"/>
        <v>#N/A</v>
      </c>
      <c r="E225" t="e">
        <f ca="1"/>
        <v>#N/A</v>
      </c>
      <c r="F225" t="e">
        <f ca="1"/>
        <v>#N/A</v>
      </c>
      <c r="G225" t="e">
        <f ca="1"/>
        <v>#N/A</v>
      </c>
      <c r="H225" t="e">
        <f ca="1"/>
        <v>#N/A</v>
      </c>
      <c r="I225" t="e">
        <f ca="1"/>
        <v>#N/A</v>
      </c>
      <c r="J225" t="e">
        <f ca="1"/>
        <v>#N/A</v>
      </c>
      <c r="K225" s="49" t="e">
        <f ca="1"/>
        <v>#N/A</v>
      </c>
    </row>
    <row r="226" spans="1:11" x14ac:dyDescent="0.25">
      <c r="A226" s="2" t="e">
        <f ca="1"/>
        <v>#N/A</v>
      </c>
      <c r="C226" t="e">
        <f ca="1"/>
        <v>#N/A</v>
      </c>
      <c r="D226" t="e">
        <f ca="1"/>
        <v>#N/A</v>
      </c>
      <c r="E226" t="e">
        <f ca="1"/>
        <v>#N/A</v>
      </c>
      <c r="F226" t="e">
        <f ca="1"/>
        <v>#N/A</v>
      </c>
      <c r="G226" t="e">
        <f ca="1"/>
        <v>#N/A</v>
      </c>
      <c r="H226" t="e">
        <f ca="1"/>
        <v>#N/A</v>
      </c>
      <c r="I226" t="e">
        <f ca="1"/>
        <v>#N/A</v>
      </c>
      <c r="J226" t="e">
        <f ca="1"/>
        <v>#N/A</v>
      </c>
      <c r="K226" s="49" t="e">
        <f ca="1"/>
        <v>#N/A</v>
      </c>
    </row>
    <row r="227" spans="1:11" x14ac:dyDescent="0.25">
      <c r="A227" s="2" t="e">
        <f ca="1"/>
        <v>#N/A</v>
      </c>
      <c r="C227" t="e">
        <f ca="1"/>
        <v>#N/A</v>
      </c>
      <c r="D227" t="e">
        <f ca="1"/>
        <v>#N/A</v>
      </c>
      <c r="E227" t="e">
        <f ca="1"/>
        <v>#N/A</v>
      </c>
      <c r="F227" t="e">
        <f ca="1"/>
        <v>#N/A</v>
      </c>
      <c r="G227" t="e">
        <f ca="1"/>
        <v>#N/A</v>
      </c>
      <c r="H227" t="e">
        <f ca="1"/>
        <v>#N/A</v>
      </c>
      <c r="I227" t="e">
        <f ca="1"/>
        <v>#N/A</v>
      </c>
      <c r="J227" t="e">
        <f ca="1"/>
        <v>#N/A</v>
      </c>
      <c r="K227" s="49" t="e">
        <f ca="1"/>
        <v>#N/A</v>
      </c>
    </row>
    <row r="228" spans="1:11" x14ac:dyDescent="0.25">
      <c r="A228" s="2" t="e">
        <f ca="1"/>
        <v>#N/A</v>
      </c>
      <c r="C228" t="e">
        <f ca="1"/>
        <v>#N/A</v>
      </c>
      <c r="D228" t="e">
        <f ca="1"/>
        <v>#N/A</v>
      </c>
      <c r="E228" t="e">
        <f ca="1"/>
        <v>#N/A</v>
      </c>
      <c r="F228" t="e">
        <f ca="1"/>
        <v>#N/A</v>
      </c>
      <c r="G228" t="e">
        <f ca="1"/>
        <v>#N/A</v>
      </c>
      <c r="H228" t="e">
        <f ca="1"/>
        <v>#N/A</v>
      </c>
      <c r="I228" t="e">
        <f ca="1"/>
        <v>#N/A</v>
      </c>
      <c r="J228" t="e">
        <f ca="1"/>
        <v>#N/A</v>
      </c>
      <c r="K228" s="49" t="e">
        <f ca="1"/>
        <v>#N/A</v>
      </c>
    </row>
    <row r="229" spans="1:11" x14ac:dyDescent="0.25">
      <c r="A229" s="2" t="e">
        <f ca="1"/>
        <v>#N/A</v>
      </c>
      <c r="C229" t="e">
        <f ca="1"/>
        <v>#N/A</v>
      </c>
      <c r="D229" t="e">
        <f ca="1"/>
        <v>#N/A</v>
      </c>
      <c r="E229" t="e">
        <f ca="1"/>
        <v>#N/A</v>
      </c>
      <c r="F229" t="e">
        <f ca="1"/>
        <v>#N/A</v>
      </c>
      <c r="G229" t="e">
        <f ca="1"/>
        <v>#N/A</v>
      </c>
      <c r="H229" t="e">
        <f ca="1"/>
        <v>#N/A</v>
      </c>
      <c r="I229" t="e">
        <f ca="1"/>
        <v>#N/A</v>
      </c>
      <c r="J229" t="e">
        <f ca="1"/>
        <v>#N/A</v>
      </c>
      <c r="K229" s="49" t="e">
        <f ca="1"/>
        <v>#N/A</v>
      </c>
    </row>
    <row r="230" spans="1:11" x14ac:dyDescent="0.25">
      <c r="A230" s="2" t="e">
        <f ca="1"/>
        <v>#N/A</v>
      </c>
      <c r="C230" t="e">
        <f ca="1"/>
        <v>#N/A</v>
      </c>
      <c r="D230" t="e">
        <f ca="1"/>
        <v>#N/A</v>
      </c>
      <c r="E230" t="e">
        <f ca="1"/>
        <v>#N/A</v>
      </c>
      <c r="F230" t="e">
        <f ca="1"/>
        <v>#N/A</v>
      </c>
      <c r="G230" t="e">
        <f ca="1"/>
        <v>#N/A</v>
      </c>
      <c r="H230" t="e">
        <f ca="1"/>
        <v>#N/A</v>
      </c>
      <c r="I230" t="e">
        <f ca="1"/>
        <v>#N/A</v>
      </c>
      <c r="J230" t="e">
        <f ca="1"/>
        <v>#N/A</v>
      </c>
      <c r="K230" s="49" t="e">
        <f ca="1"/>
        <v>#N/A</v>
      </c>
    </row>
    <row r="231" spans="1:11" x14ac:dyDescent="0.25">
      <c r="A231" s="2" t="e">
        <f ca="1"/>
        <v>#N/A</v>
      </c>
      <c r="C231" t="e">
        <f ca="1"/>
        <v>#N/A</v>
      </c>
      <c r="D231" t="e">
        <f ca="1"/>
        <v>#N/A</v>
      </c>
      <c r="E231" t="e">
        <f ca="1"/>
        <v>#N/A</v>
      </c>
      <c r="F231" t="e">
        <f ca="1"/>
        <v>#N/A</v>
      </c>
      <c r="G231" t="e">
        <f ca="1"/>
        <v>#N/A</v>
      </c>
      <c r="H231" t="e">
        <f ca="1"/>
        <v>#N/A</v>
      </c>
      <c r="I231" t="e">
        <f ca="1"/>
        <v>#N/A</v>
      </c>
      <c r="J231" t="e">
        <f ca="1"/>
        <v>#N/A</v>
      </c>
      <c r="K231" s="49" t="e">
        <f ca="1"/>
        <v>#N/A</v>
      </c>
    </row>
    <row r="232" spans="1:11" x14ac:dyDescent="0.25">
      <c r="A232" s="2" t="e">
        <f ca="1"/>
        <v>#N/A</v>
      </c>
      <c r="C232" t="e">
        <f ca="1"/>
        <v>#N/A</v>
      </c>
      <c r="D232" t="e">
        <f ca="1"/>
        <v>#N/A</v>
      </c>
      <c r="E232" t="e">
        <f ca="1"/>
        <v>#N/A</v>
      </c>
      <c r="F232" t="e">
        <f ca="1"/>
        <v>#N/A</v>
      </c>
      <c r="G232" t="e">
        <f ca="1"/>
        <v>#N/A</v>
      </c>
      <c r="H232" t="e">
        <f ca="1"/>
        <v>#N/A</v>
      </c>
      <c r="I232" t="e">
        <f ca="1"/>
        <v>#N/A</v>
      </c>
      <c r="J232" t="e">
        <f ca="1"/>
        <v>#N/A</v>
      </c>
      <c r="K232" s="49" t="e">
        <f ca="1"/>
        <v>#N/A</v>
      </c>
    </row>
    <row r="233" spans="1:11" x14ac:dyDescent="0.25">
      <c r="A233" s="2" t="e">
        <f ca="1"/>
        <v>#N/A</v>
      </c>
      <c r="C233" t="e">
        <f ca="1"/>
        <v>#N/A</v>
      </c>
      <c r="D233" t="e">
        <f ca="1"/>
        <v>#N/A</v>
      </c>
      <c r="E233" t="e">
        <f ca="1"/>
        <v>#N/A</v>
      </c>
      <c r="F233" t="e">
        <f ca="1"/>
        <v>#N/A</v>
      </c>
      <c r="G233" t="e">
        <f ca="1"/>
        <v>#N/A</v>
      </c>
      <c r="H233" t="e">
        <f ca="1"/>
        <v>#N/A</v>
      </c>
      <c r="I233" t="e">
        <f ca="1"/>
        <v>#N/A</v>
      </c>
      <c r="J233" t="e">
        <f ca="1"/>
        <v>#N/A</v>
      </c>
      <c r="K233" s="49" t="e">
        <f ca="1"/>
        <v>#N/A</v>
      </c>
    </row>
    <row r="234" spans="1:11" x14ac:dyDescent="0.25">
      <c r="A234" s="2" t="e">
        <f ca="1"/>
        <v>#N/A</v>
      </c>
      <c r="C234" t="e">
        <f ca="1"/>
        <v>#N/A</v>
      </c>
      <c r="D234" t="e">
        <f ca="1"/>
        <v>#N/A</v>
      </c>
      <c r="E234" t="e">
        <f ca="1"/>
        <v>#N/A</v>
      </c>
      <c r="F234" t="e">
        <f ca="1"/>
        <v>#N/A</v>
      </c>
      <c r="G234" t="e">
        <f ca="1"/>
        <v>#N/A</v>
      </c>
      <c r="H234" t="e">
        <f ca="1"/>
        <v>#N/A</v>
      </c>
      <c r="I234" t="e">
        <f ca="1"/>
        <v>#N/A</v>
      </c>
      <c r="J234" t="e">
        <f ca="1"/>
        <v>#N/A</v>
      </c>
      <c r="K234" s="49" t="e">
        <f ca="1"/>
        <v>#N/A</v>
      </c>
    </row>
    <row r="235" spans="1:11" x14ac:dyDescent="0.25">
      <c r="A235" s="2" t="e">
        <f ca="1"/>
        <v>#N/A</v>
      </c>
      <c r="C235" t="e">
        <f ca="1"/>
        <v>#N/A</v>
      </c>
      <c r="D235" t="e">
        <f ca="1"/>
        <v>#N/A</v>
      </c>
      <c r="E235" t="e">
        <f ca="1"/>
        <v>#N/A</v>
      </c>
      <c r="F235" t="e">
        <f ca="1"/>
        <v>#N/A</v>
      </c>
      <c r="G235" t="e">
        <f ca="1"/>
        <v>#N/A</v>
      </c>
      <c r="H235" t="e">
        <f ca="1"/>
        <v>#N/A</v>
      </c>
      <c r="I235" t="e">
        <f ca="1"/>
        <v>#N/A</v>
      </c>
      <c r="J235" t="e">
        <f ca="1"/>
        <v>#N/A</v>
      </c>
      <c r="K235" s="49" t="e">
        <f ca="1"/>
        <v>#N/A</v>
      </c>
    </row>
    <row r="236" spans="1:11" x14ac:dyDescent="0.25">
      <c r="A236" s="2" t="e">
        <f ca="1"/>
        <v>#N/A</v>
      </c>
      <c r="C236" t="e">
        <f ca="1"/>
        <v>#N/A</v>
      </c>
      <c r="D236" t="e">
        <f ca="1"/>
        <v>#N/A</v>
      </c>
      <c r="E236" t="e">
        <f ca="1"/>
        <v>#N/A</v>
      </c>
      <c r="F236" t="e">
        <f ca="1"/>
        <v>#N/A</v>
      </c>
      <c r="G236" t="e">
        <f ca="1"/>
        <v>#N/A</v>
      </c>
      <c r="H236" t="e">
        <f ca="1"/>
        <v>#N/A</v>
      </c>
      <c r="I236" t="e">
        <f ca="1"/>
        <v>#N/A</v>
      </c>
      <c r="J236" t="e">
        <f ca="1"/>
        <v>#N/A</v>
      </c>
      <c r="K236" s="49" t="e">
        <f ca="1"/>
        <v>#N/A</v>
      </c>
    </row>
    <row r="237" spans="1:11" x14ac:dyDescent="0.25">
      <c r="A237" s="2" t="e">
        <f ca="1"/>
        <v>#N/A</v>
      </c>
      <c r="C237" t="e">
        <f ca="1"/>
        <v>#N/A</v>
      </c>
      <c r="D237" t="e">
        <f ca="1"/>
        <v>#N/A</v>
      </c>
      <c r="E237" t="e">
        <f ca="1"/>
        <v>#N/A</v>
      </c>
      <c r="F237" t="e">
        <f ca="1"/>
        <v>#N/A</v>
      </c>
      <c r="G237" t="e">
        <f ca="1"/>
        <v>#N/A</v>
      </c>
      <c r="H237" t="e">
        <f ca="1"/>
        <v>#N/A</v>
      </c>
      <c r="I237" t="e">
        <f ca="1"/>
        <v>#N/A</v>
      </c>
      <c r="J237" t="e">
        <f ca="1"/>
        <v>#N/A</v>
      </c>
      <c r="K237" s="49" t="e">
        <f ca="1"/>
        <v>#N/A</v>
      </c>
    </row>
    <row r="238" spans="1:11" x14ac:dyDescent="0.25">
      <c r="A238" s="2" t="e">
        <f ca="1"/>
        <v>#N/A</v>
      </c>
      <c r="C238" t="e">
        <f ca="1"/>
        <v>#N/A</v>
      </c>
      <c r="D238" t="e">
        <f ca="1"/>
        <v>#N/A</v>
      </c>
      <c r="E238" t="e">
        <f ca="1"/>
        <v>#N/A</v>
      </c>
      <c r="F238" t="e">
        <f ca="1"/>
        <v>#N/A</v>
      </c>
      <c r="G238" t="e">
        <f ca="1"/>
        <v>#N/A</v>
      </c>
      <c r="H238" t="e">
        <f ca="1"/>
        <v>#N/A</v>
      </c>
      <c r="I238" t="e">
        <f ca="1"/>
        <v>#N/A</v>
      </c>
      <c r="J238" t="e">
        <f ca="1"/>
        <v>#N/A</v>
      </c>
      <c r="K238" s="49" t="e">
        <f ca="1"/>
        <v>#N/A</v>
      </c>
    </row>
    <row r="239" spans="1:11" x14ac:dyDescent="0.25">
      <c r="A239" s="2" t="e">
        <f ca="1"/>
        <v>#N/A</v>
      </c>
      <c r="C239" t="e">
        <f ca="1"/>
        <v>#N/A</v>
      </c>
      <c r="D239" t="e">
        <f ca="1"/>
        <v>#N/A</v>
      </c>
      <c r="E239" t="e">
        <f ca="1"/>
        <v>#N/A</v>
      </c>
      <c r="F239" t="e">
        <f ca="1"/>
        <v>#N/A</v>
      </c>
      <c r="G239" t="e">
        <f ca="1"/>
        <v>#N/A</v>
      </c>
      <c r="H239" t="e">
        <f ca="1"/>
        <v>#N/A</v>
      </c>
      <c r="I239" t="e">
        <f ca="1"/>
        <v>#N/A</v>
      </c>
      <c r="J239" t="e">
        <f ca="1"/>
        <v>#N/A</v>
      </c>
      <c r="K239" s="49" t="e">
        <f ca="1"/>
        <v>#N/A</v>
      </c>
    </row>
    <row r="240" spans="1:11" x14ac:dyDescent="0.25">
      <c r="A240" s="2" t="e">
        <f ca="1"/>
        <v>#N/A</v>
      </c>
      <c r="C240" t="e">
        <f ca="1"/>
        <v>#N/A</v>
      </c>
      <c r="D240" t="e">
        <f ca="1"/>
        <v>#N/A</v>
      </c>
      <c r="E240" t="e">
        <f ca="1"/>
        <v>#N/A</v>
      </c>
      <c r="F240" t="e">
        <f ca="1"/>
        <v>#N/A</v>
      </c>
      <c r="G240" t="e">
        <f ca="1"/>
        <v>#N/A</v>
      </c>
      <c r="H240" t="e">
        <f ca="1"/>
        <v>#N/A</v>
      </c>
      <c r="I240" t="e">
        <f ca="1"/>
        <v>#N/A</v>
      </c>
      <c r="J240" t="e">
        <f ca="1"/>
        <v>#N/A</v>
      </c>
      <c r="K240" s="49" t="e">
        <f ca="1"/>
        <v>#N/A</v>
      </c>
    </row>
    <row r="241" spans="1:11" x14ac:dyDescent="0.25">
      <c r="A241" s="2" t="e">
        <f ca="1"/>
        <v>#N/A</v>
      </c>
      <c r="C241" t="e">
        <f ca="1"/>
        <v>#N/A</v>
      </c>
      <c r="D241" t="e">
        <f ca="1"/>
        <v>#N/A</v>
      </c>
      <c r="E241" t="e">
        <f ca="1"/>
        <v>#N/A</v>
      </c>
      <c r="F241" t="e">
        <f ca="1"/>
        <v>#N/A</v>
      </c>
      <c r="G241" t="e">
        <f ca="1"/>
        <v>#N/A</v>
      </c>
      <c r="H241" t="e">
        <f ca="1"/>
        <v>#N/A</v>
      </c>
      <c r="I241" t="e">
        <f ca="1"/>
        <v>#N/A</v>
      </c>
      <c r="J241" t="e">
        <f ca="1"/>
        <v>#N/A</v>
      </c>
      <c r="K241" s="49" t="e">
        <f ca="1"/>
        <v>#N/A</v>
      </c>
    </row>
    <row r="242" spans="1:11" x14ac:dyDescent="0.25">
      <c r="A242" s="2" t="e">
        <f ca="1"/>
        <v>#N/A</v>
      </c>
      <c r="C242" t="e">
        <f ca="1"/>
        <v>#N/A</v>
      </c>
      <c r="D242" t="e">
        <f ca="1"/>
        <v>#N/A</v>
      </c>
      <c r="E242" t="e">
        <f ca="1"/>
        <v>#N/A</v>
      </c>
      <c r="F242" t="e">
        <f ca="1"/>
        <v>#N/A</v>
      </c>
      <c r="G242" t="e">
        <f ca="1"/>
        <v>#N/A</v>
      </c>
      <c r="H242" t="e">
        <f ca="1"/>
        <v>#N/A</v>
      </c>
      <c r="I242" t="e">
        <f ca="1"/>
        <v>#N/A</v>
      </c>
      <c r="J242" t="e">
        <f ca="1"/>
        <v>#N/A</v>
      </c>
      <c r="K242" s="49" t="e">
        <f ca="1"/>
        <v>#N/A</v>
      </c>
    </row>
    <row r="243" spans="1:11" x14ac:dyDescent="0.25">
      <c r="A243" s="2" t="e">
        <f ca="1"/>
        <v>#N/A</v>
      </c>
      <c r="C243" t="e">
        <f ca="1"/>
        <v>#N/A</v>
      </c>
      <c r="D243" t="e">
        <f ca="1"/>
        <v>#N/A</v>
      </c>
      <c r="E243" t="e">
        <f ca="1"/>
        <v>#N/A</v>
      </c>
      <c r="F243" t="e">
        <f ca="1"/>
        <v>#N/A</v>
      </c>
      <c r="G243" t="e">
        <f ca="1"/>
        <v>#N/A</v>
      </c>
      <c r="H243" t="e">
        <f ca="1"/>
        <v>#N/A</v>
      </c>
      <c r="I243" t="e">
        <f ca="1"/>
        <v>#N/A</v>
      </c>
      <c r="J243" t="e">
        <f ca="1"/>
        <v>#N/A</v>
      </c>
      <c r="K243" s="49" t="e">
        <f ca="1"/>
        <v>#N/A</v>
      </c>
    </row>
    <row r="244" spans="1:11" x14ac:dyDescent="0.25">
      <c r="A244" s="2" t="e">
        <f ca="1"/>
        <v>#N/A</v>
      </c>
      <c r="C244" t="e">
        <f ca="1"/>
        <v>#N/A</v>
      </c>
      <c r="D244" t="e">
        <f ca="1"/>
        <v>#N/A</v>
      </c>
      <c r="E244" t="e">
        <f ca="1"/>
        <v>#N/A</v>
      </c>
      <c r="F244" t="e">
        <f ca="1"/>
        <v>#N/A</v>
      </c>
      <c r="G244" t="e">
        <f ca="1"/>
        <v>#N/A</v>
      </c>
      <c r="H244" t="e">
        <f ca="1"/>
        <v>#N/A</v>
      </c>
      <c r="I244" t="e">
        <f ca="1"/>
        <v>#N/A</v>
      </c>
      <c r="J244" t="e">
        <f ca="1"/>
        <v>#N/A</v>
      </c>
      <c r="K244" s="49" t="e">
        <f ca="1"/>
        <v>#N/A</v>
      </c>
    </row>
    <row r="245" spans="1:11" x14ac:dyDescent="0.25">
      <c r="A245" s="2" t="e">
        <f ca="1"/>
        <v>#N/A</v>
      </c>
      <c r="C245" t="e">
        <f ca="1"/>
        <v>#N/A</v>
      </c>
      <c r="D245" t="e">
        <f ca="1"/>
        <v>#N/A</v>
      </c>
      <c r="E245" t="e">
        <f ca="1"/>
        <v>#N/A</v>
      </c>
      <c r="F245" t="e">
        <f ca="1"/>
        <v>#N/A</v>
      </c>
      <c r="G245" t="e">
        <f ca="1"/>
        <v>#N/A</v>
      </c>
      <c r="H245" t="e">
        <f ca="1"/>
        <v>#N/A</v>
      </c>
      <c r="I245" t="e">
        <f ca="1"/>
        <v>#N/A</v>
      </c>
      <c r="J245" t="e">
        <f ca="1"/>
        <v>#N/A</v>
      </c>
      <c r="K245" s="49" t="e">
        <f ca="1"/>
        <v>#N/A</v>
      </c>
    </row>
    <row r="246" spans="1:11" x14ac:dyDescent="0.25">
      <c r="A246" s="2" t="e">
        <f ca="1"/>
        <v>#N/A</v>
      </c>
      <c r="C246" t="e">
        <f ca="1"/>
        <v>#N/A</v>
      </c>
      <c r="D246" t="e">
        <f ca="1"/>
        <v>#N/A</v>
      </c>
      <c r="E246" t="e">
        <f ca="1"/>
        <v>#N/A</v>
      </c>
      <c r="F246" t="e">
        <f ca="1"/>
        <v>#N/A</v>
      </c>
      <c r="G246" t="e">
        <f ca="1"/>
        <v>#N/A</v>
      </c>
      <c r="H246" t="e">
        <f ca="1"/>
        <v>#N/A</v>
      </c>
      <c r="I246" t="e">
        <f ca="1"/>
        <v>#N/A</v>
      </c>
      <c r="J246" t="e">
        <f ca="1"/>
        <v>#N/A</v>
      </c>
      <c r="K246" s="49" t="e">
        <f ca="1"/>
        <v>#N/A</v>
      </c>
    </row>
    <row r="247" spans="1:11" x14ac:dyDescent="0.25">
      <c r="A247" s="2" t="e">
        <f ca="1"/>
        <v>#N/A</v>
      </c>
      <c r="C247" t="e">
        <f ca="1"/>
        <v>#N/A</v>
      </c>
      <c r="D247" t="e">
        <f ca="1"/>
        <v>#N/A</v>
      </c>
      <c r="E247" t="e">
        <f ca="1"/>
        <v>#N/A</v>
      </c>
      <c r="F247" t="e">
        <f ca="1"/>
        <v>#N/A</v>
      </c>
      <c r="G247" t="e">
        <f ca="1"/>
        <v>#N/A</v>
      </c>
      <c r="H247" t="e">
        <f ca="1"/>
        <v>#N/A</v>
      </c>
      <c r="I247" t="e">
        <f ca="1"/>
        <v>#N/A</v>
      </c>
      <c r="J247" t="e">
        <f ca="1"/>
        <v>#N/A</v>
      </c>
      <c r="K247" s="49" t="e">
        <f ca="1"/>
        <v>#N/A</v>
      </c>
    </row>
    <row r="248" spans="1:11" x14ac:dyDescent="0.25">
      <c r="A248" s="2" t="e">
        <f ca="1"/>
        <v>#N/A</v>
      </c>
      <c r="C248" t="e">
        <f ca="1"/>
        <v>#N/A</v>
      </c>
      <c r="D248" t="e">
        <f ca="1"/>
        <v>#N/A</v>
      </c>
      <c r="E248" t="e">
        <f ca="1"/>
        <v>#N/A</v>
      </c>
      <c r="F248" t="e">
        <f ca="1"/>
        <v>#N/A</v>
      </c>
      <c r="G248" t="e">
        <f ca="1"/>
        <v>#N/A</v>
      </c>
      <c r="H248" t="e">
        <f ca="1"/>
        <v>#N/A</v>
      </c>
      <c r="I248" t="e">
        <f ca="1"/>
        <v>#N/A</v>
      </c>
      <c r="J248" t="e">
        <f ca="1"/>
        <v>#N/A</v>
      </c>
      <c r="K248" s="49" t="e">
        <f ca="1"/>
        <v>#N/A</v>
      </c>
    </row>
    <row r="249" spans="1:11" x14ac:dyDescent="0.25">
      <c r="A249" s="2" t="e">
        <f ca="1"/>
        <v>#N/A</v>
      </c>
      <c r="C249" t="e">
        <f ca="1"/>
        <v>#N/A</v>
      </c>
      <c r="D249" t="e">
        <f ca="1"/>
        <v>#N/A</v>
      </c>
      <c r="E249" t="e">
        <f ca="1"/>
        <v>#N/A</v>
      </c>
      <c r="F249" t="e">
        <f ca="1"/>
        <v>#N/A</v>
      </c>
      <c r="G249" t="e">
        <f ca="1"/>
        <v>#N/A</v>
      </c>
      <c r="H249" t="e">
        <f ca="1"/>
        <v>#N/A</v>
      </c>
      <c r="I249" t="e">
        <f ca="1"/>
        <v>#N/A</v>
      </c>
      <c r="J249" t="e">
        <f ca="1"/>
        <v>#N/A</v>
      </c>
      <c r="K249" s="49" t="e">
        <f ca="1"/>
        <v>#N/A</v>
      </c>
    </row>
    <row r="250" spans="1:11" x14ac:dyDescent="0.25">
      <c r="A250" s="2" t="e">
        <f ca="1"/>
        <v>#N/A</v>
      </c>
      <c r="C250" t="e">
        <f ca="1"/>
        <v>#N/A</v>
      </c>
      <c r="D250" t="e">
        <f ca="1"/>
        <v>#N/A</v>
      </c>
      <c r="E250" t="e">
        <f ca="1"/>
        <v>#N/A</v>
      </c>
      <c r="F250" t="e">
        <f ca="1"/>
        <v>#N/A</v>
      </c>
      <c r="G250" t="e">
        <f ca="1"/>
        <v>#N/A</v>
      </c>
      <c r="H250" t="e">
        <f ca="1"/>
        <v>#N/A</v>
      </c>
      <c r="I250" t="e">
        <f ca="1"/>
        <v>#N/A</v>
      </c>
      <c r="J250" t="e">
        <f ca="1"/>
        <v>#N/A</v>
      </c>
      <c r="K250" s="49" t="e">
        <f ca="1"/>
        <v>#N/A</v>
      </c>
    </row>
    <row r="251" spans="1:11" x14ac:dyDescent="0.25">
      <c r="A251" s="2" t="e">
        <f ca="1"/>
        <v>#N/A</v>
      </c>
      <c r="C251" t="e">
        <f ca="1"/>
        <v>#N/A</v>
      </c>
      <c r="D251" t="e">
        <f ca="1"/>
        <v>#N/A</v>
      </c>
      <c r="E251" t="e">
        <f ca="1"/>
        <v>#N/A</v>
      </c>
      <c r="F251" t="e">
        <f ca="1"/>
        <v>#N/A</v>
      </c>
      <c r="G251" t="e">
        <f ca="1"/>
        <v>#N/A</v>
      </c>
      <c r="H251" t="e">
        <f ca="1"/>
        <v>#N/A</v>
      </c>
      <c r="I251" t="e">
        <f ca="1"/>
        <v>#N/A</v>
      </c>
      <c r="J251" t="e">
        <f ca="1"/>
        <v>#N/A</v>
      </c>
      <c r="K251" s="49" t="e">
        <f ca="1"/>
        <v>#N/A</v>
      </c>
    </row>
    <row r="252" spans="1:11" x14ac:dyDescent="0.25">
      <c r="A252" s="2" t="e">
        <f ca="1"/>
        <v>#N/A</v>
      </c>
      <c r="C252" t="e">
        <f ca="1"/>
        <v>#N/A</v>
      </c>
      <c r="D252" t="e">
        <f ca="1"/>
        <v>#N/A</v>
      </c>
      <c r="E252" t="e">
        <f ca="1"/>
        <v>#N/A</v>
      </c>
      <c r="F252" t="e">
        <f ca="1"/>
        <v>#N/A</v>
      </c>
      <c r="G252" t="e">
        <f ca="1"/>
        <v>#N/A</v>
      </c>
      <c r="H252" t="e">
        <f ca="1"/>
        <v>#N/A</v>
      </c>
      <c r="I252" t="e">
        <f ca="1"/>
        <v>#N/A</v>
      </c>
      <c r="J252" t="e">
        <f ca="1"/>
        <v>#N/A</v>
      </c>
      <c r="K252" s="49" t="e">
        <f ca="1"/>
        <v>#N/A</v>
      </c>
    </row>
    <row r="253" spans="1:11" x14ac:dyDescent="0.25">
      <c r="A253" s="2" t="e">
        <f ca="1"/>
        <v>#N/A</v>
      </c>
      <c r="C253" t="e">
        <f ca="1"/>
        <v>#N/A</v>
      </c>
      <c r="D253" t="e">
        <f ca="1"/>
        <v>#N/A</v>
      </c>
      <c r="E253" t="e">
        <f ca="1"/>
        <v>#N/A</v>
      </c>
      <c r="F253" t="e">
        <f ca="1"/>
        <v>#N/A</v>
      </c>
      <c r="G253" t="e">
        <f ca="1"/>
        <v>#N/A</v>
      </c>
      <c r="H253" t="e">
        <f ca="1"/>
        <v>#N/A</v>
      </c>
      <c r="I253" t="e">
        <f ca="1"/>
        <v>#N/A</v>
      </c>
      <c r="J253" t="e">
        <f ca="1"/>
        <v>#N/A</v>
      </c>
      <c r="K253" s="49" t="e">
        <f ca="1"/>
        <v>#N/A</v>
      </c>
    </row>
    <row r="254" spans="1:11" x14ac:dyDescent="0.25">
      <c r="A254" s="2" t="e">
        <f ca="1"/>
        <v>#N/A</v>
      </c>
      <c r="C254" t="e">
        <f ca="1"/>
        <v>#N/A</v>
      </c>
      <c r="D254" t="e">
        <f ca="1"/>
        <v>#N/A</v>
      </c>
      <c r="E254" t="e">
        <f ca="1"/>
        <v>#N/A</v>
      </c>
      <c r="F254" t="e">
        <f ca="1"/>
        <v>#N/A</v>
      </c>
      <c r="G254" t="e">
        <f ca="1"/>
        <v>#N/A</v>
      </c>
      <c r="H254" t="e">
        <f ca="1"/>
        <v>#N/A</v>
      </c>
      <c r="I254" t="e">
        <f ca="1"/>
        <v>#N/A</v>
      </c>
      <c r="J254" t="e">
        <f ca="1"/>
        <v>#N/A</v>
      </c>
      <c r="K254" s="49" t="e">
        <f ca="1"/>
        <v>#N/A</v>
      </c>
    </row>
    <row r="255" spans="1:11" x14ac:dyDescent="0.25">
      <c r="A255" s="2" t="e">
        <f ca="1"/>
        <v>#N/A</v>
      </c>
      <c r="C255" t="e">
        <f ca="1"/>
        <v>#N/A</v>
      </c>
      <c r="D255" t="e">
        <f ca="1"/>
        <v>#N/A</v>
      </c>
      <c r="E255" t="e">
        <f ca="1"/>
        <v>#N/A</v>
      </c>
      <c r="F255" t="e">
        <f ca="1"/>
        <v>#N/A</v>
      </c>
      <c r="G255" t="e">
        <f ca="1"/>
        <v>#N/A</v>
      </c>
      <c r="H255" t="e">
        <f ca="1"/>
        <v>#N/A</v>
      </c>
      <c r="I255" t="e">
        <f ca="1"/>
        <v>#N/A</v>
      </c>
      <c r="J255" t="e">
        <f ca="1"/>
        <v>#N/A</v>
      </c>
      <c r="K255" s="49" t="e">
        <f ca="1"/>
        <v>#N/A</v>
      </c>
    </row>
    <row r="256" spans="1:11" x14ac:dyDescent="0.25">
      <c r="A256" s="2" t="e">
        <f ca="1"/>
        <v>#N/A</v>
      </c>
      <c r="C256" t="e">
        <f ca="1"/>
        <v>#N/A</v>
      </c>
      <c r="D256" t="e">
        <f ca="1"/>
        <v>#N/A</v>
      </c>
      <c r="E256" t="e">
        <f ca="1"/>
        <v>#N/A</v>
      </c>
      <c r="F256" t="e">
        <f ca="1"/>
        <v>#N/A</v>
      </c>
      <c r="G256" t="e">
        <f ca="1"/>
        <v>#N/A</v>
      </c>
      <c r="H256" t="e">
        <f ca="1"/>
        <v>#N/A</v>
      </c>
      <c r="I256" t="e">
        <f ca="1"/>
        <v>#N/A</v>
      </c>
      <c r="J256" t="e">
        <f ca="1"/>
        <v>#N/A</v>
      </c>
      <c r="K256" s="49" t="e">
        <f ca="1"/>
        <v>#N/A</v>
      </c>
    </row>
    <row r="257" spans="1:11" x14ac:dyDescent="0.25">
      <c r="A257" s="2" t="e">
        <f ca="1"/>
        <v>#N/A</v>
      </c>
      <c r="C257" t="e">
        <f ca="1"/>
        <v>#N/A</v>
      </c>
      <c r="D257" t="e">
        <f ca="1"/>
        <v>#N/A</v>
      </c>
      <c r="E257" t="e">
        <f ca="1"/>
        <v>#N/A</v>
      </c>
      <c r="F257" t="e">
        <f ca="1"/>
        <v>#N/A</v>
      </c>
      <c r="G257" t="e">
        <f ca="1"/>
        <v>#N/A</v>
      </c>
      <c r="H257" t="e">
        <f ca="1"/>
        <v>#N/A</v>
      </c>
      <c r="I257" t="e">
        <f ca="1"/>
        <v>#N/A</v>
      </c>
      <c r="J257" t="e">
        <f ca="1"/>
        <v>#N/A</v>
      </c>
      <c r="K257" s="49" t="e">
        <f ca="1"/>
        <v>#N/A</v>
      </c>
    </row>
    <row r="258" spans="1:11" x14ac:dyDescent="0.25">
      <c r="A258" s="2" t="e">
        <f ca="1"/>
        <v>#N/A</v>
      </c>
      <c r="C258" t="e">
        <f ca="1"/>
        <v>#N/A</v>
      </c>
      <c r="D258" t="e">
        <f ca="1"/>
        <v>#N/A</v>
      </c>
      <c r="E258" t="e">
        <f ca="1"/>
        <v>#N/A</v>
      </c>
      <c r="F258" t="e">
        <f ca="1"/>
        <v>#N/A</v>
      </c>
      <c r="G258" t="e">
        <f ca="1"/>
        <v>#N/A</v>
      </c>
      <c r="H258" t="e">
        <f ca="1"/>
        <v>#N/A</v>
      </c>
      <c r="I258" t="e">
        <f ca="1"/>
        <v>#N/A</v>
      </c>
      <c r="J258" t="e">
        <f ca="1"/>
        <v>#N/A</v>
      </c>
      <c r="K258" s="49" t="e">
        <f ca="1"/>
        <v>#N/A</v>
      </c>
    </row>
    <row r="259" spans="1:11" x14ac:dyDescent="0.25">
      <c r="A259" s="2" t="e">
        <f ca="1"/>
        <v>#N/A</v>
      </c>
      <c r="C259" t="e">
        <f ca="1"/>
        <v>#N/A</v>
      </c>
      <c r="D259" t="e">
        <f ca="1"/>
        <v>#N/A</v>
      </c>
      <c r="E259" t="e">
        <f ca="1"/>
        <v>#N/A</v>
      </c>
      <c r="F259" t="e">
        <f ca="1"/>
        <v>#N/A</v>
      </c>
      <c r="G259" t="e">
        <f ca="1"/>
        <v>#N/A</v>
      </c>
      <c r="H259" t="e">
        <f ca="1"/>
        <v>#N/A</v>
      </c>
      <c r="I259" t="e">
        <f ca="1"/>
        <v>#N/A</v>
      </c>
      <c r="J259" t="e">
        <f ca="1"/>
        <v>#N/A</v>
      </c>
      <c r="K259" s="49" t="e">
        <f ca="1"/>
        <v>#N/A</v>
      </c>
    </row>
    <row r="260" spans="1:11" x14ac:dyDescent="0.25">
      <c r="A260" s="2" t="e">
        <f ca="1"/>
        <v>#N/A</v>
      </c>
      <c r="C260" t="e">
        <f ca="1"/>
        <v>#N/A</v>
      </c>
      <c r="D260" t="e">
        <f ca="1"/>
        <v>#N/A</v>
      </c>
      <c r="E260" t="e">
        <f ca="1"/>
        <v>#N/A</v>
      </c>
      <c r="F260" t="e">
        <f ca="1"/>
        <v>#N/A</v>
      </c>
      <c r="G260" t="e">
        <f ca="1"/>
        <v>#N/A</v>
      </c>
      <c r="H260" t="e">
        <f ca="1"/>
        <v>#N/A</v>
      </c>
      <c r="I260" t="e">
        <f ca="1"/>
        <v>#N/A</v>
      </c>
      <c r="J260" t="e">
        <f ca="1"/>
        <v>#N/A</v>
      </c>
      <c r="K260" s="49" t="e">
        <f ca="1"/>
        <v>#N/A</v>
      </c>
    </row>
    <row r="261" spans="1:11" x14ac:dyDescent="0.25">
      <c r="A261" s="2" t="e">
        <f ca="1"/>
        <v>#N/A</v>
      </c>
      <c r="C261" t="e">
        <f ca="1"/>
        <v>#N/A</v>
      </c>
      <c r="D261" t="e">
        <f ca="1"/>
        <v>#N/A</v>
      </c>
      <c r="E261" t="e">
        <f ca="1"/>
        <v>#N/A</v>
      </c>
      <c r="F261" t="e">
        <f ca="1"/>
        <v>#N/A</v>
      </c>
      <c r="G261" t="e">
        <f ca="1"/>
        <v>#N/A</v>
      </c>
      <c r="H261" t="e">
        <f ca="1"/>
        <v>#N/A</v>
      </c>
      <c r="I261" t="e">
        <f ca="1"/>
        <v>#N/A</v>
      </c>
      <c r="J261" t="e">
        <f ca="1"/>
        <v>#N/A</v>
      </c>
      <c r="K261" s="49" t="e">
        <f ca="1"/>
        <v>#N/A</v>
      </c>
    </row>
    <row r="262" spans="1:11" x14ac:dyDescent="0.25">
      <c r="A262" s="2" t="e">
        <f ca="1"/>
        <v>#N/A</v>
      </c>
      <c r="C262" t="e">
        <f ca="1"/>
        <v>#N/A</v>
      </c>
      <c r="D262" t="e">
        <f ca="1"/>
        <v>#N/A</v>
      </c>
      <c r="E262" t="e">
        <f ca="1"/>
        <v>#N/A</v>
      </c>
      <c r="F262" t="e">
        <f ca="1"/>
        <v>#N/A</v>
      </c>
      <c r="G262" t="e">
        <f ca="1"/>
        <v>#N/A</v>
      </c>
      <c r="H262" t="e">
        <f ca="1"/>
        <v>#N/A</v>
      </c>
      <c r="I262" t="e">
        <f ca="1"/>
        <v>#N/A</v>
      </c>
      <c r="J262" t="e">
        <f ca="1"/>
        <v>#N/A</v>
      </c>
      <c r="K262" s="49" t="e">
        <f ca="1"/>
        <v>#N/A</v>
      </c>
    </row>
    <row r="263" spans="1:11" x14ac:dyDescent="0.25">
      <c r="A263" s="2" t="e">
        <f ca="1"/>
        <v>#N/A</v>
      </c>
      <c r="C263" t="e">
        <f ca="1"/>
        <v>#N/A</v>
      </c>
      <c r="D263" t="e">
        <f ca="1"/>
        <v>#N/A</v>
      </c>
      <c r="E263" t="e">
        <f ca="1"/>
        <v>#N/A</v>
      </c>
      <c r="F263" t="e">
        <f ca="1"/>
        <v>#N/A</v>
      </c>
      <c r="G263" t="e">
        <f ca="1"/>
        <v>#N/A</v>
      </c>
      <c r="H263" t="e">
        <f ca="1"/>
        <v>#N/A</v>
      </c>
      <c r="I263" t="e">
        <f ca="1"/>
        <v>#N/A</v>
      </c>
      <c r="J263" t="e">
        <f ca="1"/>
        <v>#N/A</v>
      </c>
      <c r="K263" s="49" t="e">
        <f ca="1"/>
        <v>#N/A</v>
      </c>
    </row>
    <row r="264" spans="1:11" x14ac:dyDescent="0.25">
      <c r="A264" s="2" t="e">
        <f ca="1"/>
        <v>#N/A</v>
      </c>
      <c r="C264" t="e">
        <f ca="1"/>
        <v>#N/A</v>
      </c>
      <c r="D264" t="e">
        <f ca="1"/>
        <v>#N/A</v>
      </c>
      <c r="E264" t="e">
        <f ca="1"/>
        <v>#N/A</v>
      </c>
      <c r="F264" t="e">
        <f ca="1"/>
        <v>#N/A</v>
      </c>
      <c r="G264" t="e">
        <f ca="1"/>
        <v>#N/A</v>
      </c>
      <c r="H264" t="e">
        <f ca="1"/>
        <v>#N/A</v>
      </c>
      <c r="I264" t="e">
        <f ca="1"/>
        <v>#N/A</v>
      </c>
      <c r="J264" t="e">
        <f ca="1"/>
        <v>#N/A</v>
      </c>
      <c r="K264" s="49" t="e">
        <f ca="1"/>
        <v>#N/A</v>
      </c>
    </row>
    <row r="265" spans="1:11" x14ac:dyDescent="0.25">
      <c r="A265" s="2" t="e">
        <f ca="1"/>
        <v>#N/A</v>
      </c>
      <c r="C265" t="e">
        <f ca="1"/>
        <v>#N/A</v>
      </c>
      <c r="D265" t="e">
        <f ca="1"/>
        <v>#N/A</v>
      </c>
      <c r="E265" t="e">
        <f ca="1"/>
        <v>#N/A</v>
      </c>
      <c r="F265" t="e">
        <f ca="1"/>
        <v>#N/A</v>
      </c>
      <c r="G265" t="e">
        <f ca="1"/>
        <v>#N/A</v>
      </c>
      <c r="H265" t="e">
        <f ca="1"/>
        <v>#N/A</v>
      </c>
      <c r="I265" t="e">
        <f ca="1"/>
        <v>#N/A</v>
      </c>
      <c r="J265" t="e">
        <f ca="1"/>
        <v>#N/A</v>
      </c>
      <c r="K265" s="49" t="e">
        <f ca="1"/>
        <v>#N/A</v>
      </c>
    </row>
    <row r="266" spans="1:11" x14ac:dyDescent="0.25">
      <c r="A266" s="2" t="e">
        <f ca="1"/>
        <v>#N/A</v>
      </c>
      <c r="C266" t="e">
        <f ca="1"/>
        <v>#N/A</v>
      </c>
      <c r="D266" t="e">
        <f ca="1"/>
        <v>#N/A</v>
      </c>
      <c r="E266" t="e">
        <f ca="1"/>
        <v>#N/A</v>
      </c>
      <c r="F266" t="e">
        <f ca="1"/>
        <v>#N/A</v>
      </c>
      <c r="G266" t="e">
        <f ca="1"/>
        <v>#N/A</v>
      </c>
      <c r="H266" t="e">
        <f ca="1"/>
        <v>#N/A</v>
      </c>
      <c r="I266" t="e">
        <f ca="1"/>
        <v>#N/A</v>
      </c>
      <c r="J266" t="e">
        <f ca="1"/>
        <v>#N/A</v>
      </c>
      <c r="K266" s="49" t="e">
        <f ca="1"/>
        <v>#N/A</v>
      </c>
    </row>
    <row r="267" spans="1:11" x14ac:dyDescent="0.25">
      <c r="A267" s="2" t="e">
        <f ca="1"/>
        <v>#N/A</v>
      </c>
      <c r="C267" t="e">
        <f ca="1"/>
        <v>#N/A</v>
      </c>
      <c r="D267" t="e">
        <f ca="1"/>
        <v>#N/A</v>
      </c>
      <c r="E267" t="e">
        <f ca="1"/>
        <v>#N/A</v>
      </c>
      <c r="F267" t="e">
        <f ca="1"/>
        <v>#N/A</v>
      </c>
      <c r="G267" t="e">
        <f ca="1"/>
        <v>#N/A</v>
      </c>
      <c r="H267" t="e">
        <f ca="1"/>
        <v>#N/A</v>
      </c>
      <c r="I267" t="e">
        <f ca="1"/>
        <v>#N/A</v>
      </c>
      <c r="J267" t="e">
        <f ca="1"/>
        <v>#N/A</v>
      </c>
      <c r="K267" s="49" t="e">
        <f ca="1"/>
        <v>#N/A</v>
      </c>
    </row>
    <row r="268" spans="1:11" x14ac:dyDescent="0.25">
      <c r="A268" s="2" t="e">
        <f ca="1"/>
        <v>#N/A</v>
      </c>
      <c r="C268" t="e">
        <f ca="1"/>
        <v>#N/A</v>
      </c>
      <c r="D268" t="e">
        <f ca="1"/>
        <v>#N/A</v>
      </c>
      <c r="E268" t="e">
        <f ca="1"/>
        <v>#N/A</v>
      </c>
      <c r="F268" t="e">
        <f ca="1"/>
        <v>#N/A</v>
      </c>
      <c r="G268" t="e">
        <f ca="1"/>
        <v>#N/A</v>
      </c>
      <c r="H268" t="e">
        <f ca="1"/>
        <v>#N/A</v>
      </c>
      <c r="I268" t="e">
        <f ca="1"/>
        <v>#N/A</v>
      </c>
      <c r="J268" t="e">
        <f ca="1"/>
        <v>#N/A</v>
      </c>
      <c r="K268" s="49" t="e">
        <f ca="1"/>
        <v>#N/A</v>
      </c>
    </row>
    <row r="269" spans="1:11" x14ac:dyDescent="0.25">
      <c r="A269" s="2" t="e">
        <f ca="1"/>
        <v>#N/A</v>
      </c>
      <c r="C269" t="e">
        <f ca="1"/>
        <v>#N/A</v>
      </c>
      <c r="D269" t="e">
        <f ca="1"/>
        <v>#N/A</v>
      </c>
      <c r="E269" t="e">
        <f ca="1"/>
        <v>#N/A</v>
      </c>
      <c r="F269" t="e">
        <f ca="1"/>
        <v>#N/A</v>
      </c>
      <c r="G269" t="e">
        <f ca="1"/>
        <v>#N/A</v>
      </c>
      <c r="H269" t="e">
        <f ca="1"/>
        <v>#N/A</v>
      </c>
      <c r="I269" t="e">
        <f ca="1"/>
        <v>#N/A</v>
      </c>
      <c r="J269" t="e">
        <f ca="1"/>
        <v>#N/A</v>
      </c>
      <c r="K269" s="49" t="e">
        <f ca="1"/>
        <v>#N/A</v>
      </c>
    </row>
    <row r="270" spans="1:11" x14ac:dyDescent="0.25">
      <c r="A270" s="2" t="e">
        <f ca="1"/>
        <v>#N/A</v>
      </c>
      <c r="C270" t="e">
        <f ca="1"/>
        <v>#N/A</v>
      </c>
      <c r="D270" t="e">
        <f ca="1"/>
        <v>#N/A</v>
      </c>
      <c r="E270" t="e">
        <f ca="1"/>
        <v>#N/A</v>
      </c>
      <c r="F270" t="e">
        <f ca="1"/>
        <v>#N/A</v>
      </c>
      <c r="G270" t="e">
        <f ca="1"/>
        <v>#N/A</v>
      </c>
      <c r="H270" t="e">
        <f ca="1"/>
        <v>#N/A</v>
      </c>
      <c r="I270" t="e">
        <f ca="1"/>
        <v>#N/A</v>
      </c>
      <c r="J270" t="e">
        <f ca="1"/>
        <v>#N/A</v>
      </c>
      <c r="K270" s="49" t="e">
        <f ca="1"/>
        <v>#N/A</v>
      </c>
    </row>
    <row r="271" spans="1:11" x14ac:dyDescent="0.25">
      <c r="A271" s="2" t="e">
        <f ca="1"/>
        <v>#N/A</v>
      </c>
      <c r="C271" t="e">
        <f ca="1"/>
        <v>#N/A</v>
      </c>
      <c r="D271" t="e">
        <f ca="1"/>
        <v>#N/A</v>
      </c>
      <c r="E271" t="e">
        <f ca="1"/>
        <v>#N/A</v>
      </c>
      <c r="F271" t="e">
        <f ca="1"/>
        <v>#N/A</v>
      </c>
      <c r="G271" t="e">
        <f ca="1"/>
        <v>#N/A</v>
      </c>
      <c r="H271" t="e">
        <f ca="1"/>
        <v>#N/A</v>
      </c>
      <c r="I271" t="e">
        <f ca="1"/>
        <v>#N/A</v>
      </c>
      <c r="J271" t="e">
        <f ca="1"/>
        <v>#N/A</v>
      </c>
      <c r="K271" s="49" t="e">
        <f ca="1"/>
        <v>#N/A</v>
      </c>
    </row>
    <row r="272" spans="1:11" x14ac:dyDescent="0.25">
      <c r="A272" s="2" t="e">
        <f ca="1"/>
        <v>#N/A</v>
      </c>
      <c r="C272" t="e">
        <f ca="1"/>
        <v>#N/A</v>
      </c>
      <c r="D272" t="e">
        <f ca="1"/>
        <v>#N/A</v>
      </c>
      <c r="E272" t="e">
        <f ca="1"/>
        <v>#N/A</v>
      </c>
      <c r="F272" t="e">
        <f ca="1"/>
        <v>#N/A</v>
      </c>
      <c r="G272" t="e">
        <f ca="1"/>
        <v>#N/A</v>
      </c>
      <c r="H272" t="e">
        <f ca="1"/>
        <v>#N/A</v>
      </c>
      <c r="I272" t="e">
        <f ca="1"/>
        <v>#N/A</v>
      </c>
      <c r="J272" t="e">
        <f ca="1"/>
        <v>#N/A</v>
      </c>
      <c r="K272" s="49" t="e">
        <f ca="1"/>
        <v>#N/A</v>
      </c>
    </row>
    <row r="273" spans="1:11" x14ac:dyDescent="0.25">
      <c r="A273" s="2" t="e">
        <f ca="1"/>
        <v>#N/A</v>
      </c>
      <c r="C273" t="e">
        <f ca="1"/>
        <v>#N/A</v>
      </c>
      <c r="D273" t="e">
        <f ca="1"/>
        <v>#N/A</v>
      </c>
      <c r="E273" t="e">
        <f ca="1"/>
        <v>#N/A</v>
      </c>
      <c r="F273" t="e">
        <f ca="1"/>
        <v>#N/A</v>
      </c>
      <c r="G273" t="e">
        <f ca="1"/>
        <v>#N/A</v>
      </c>
      <c r="H273" t="e">
        <f ca="1"/>
        <v>#N/A</v>
      </c>
      <c r="I273" t="e">
        <f ca="1"/>
        <v>#N/A</v>
      </c>
      <c r="J273" t="e">
        <f ca="1"/>
        <v>#N/A</v>
      </c>
      <c r="K273" s="49" t="e">
        <f ca="1"/>
        <v>#N/A</v>
      </c>
    </row>
    <row r="274" spans="1:11" x14ac:dyDescent="0.25">
      <c r="A274" s="2" t="e">
        <f ca="1"/>
        <v>#N/A</v>
      </c>
      <c r="C274" t="e">
        <f ca="1"/>
        <v>#N/A</v>
      </c>
      <c r="D274" t="e">
        <f ca="1"/>
        <v>#N/A</v>
      </c>
      <c r="E274" t="e">
        <f ca="1"/>
        <v>#N/A</v>
      </c>
      <c r="F274" t="e">
        <f ca="1"/>
        <v>#N/A</v>
      </c>
      <c r="G274" t="e">
        <f ca="1"/>
        <v>#N/A</v>
      </c>
      <c r="H274" t="e">
        <f ca="1"/>
        <v>#N/A</v>
      </c>
      <c r="I274" t="e">
        <f ca="1"/>
        <v>#N/A</v>
      </c>
      <c r="J274" t="e">
        <f ca="1"/>
        <v>#N/A</v>
      </c>
      <c r="K274" s="49" t="e">
        <f ca="1"/>
        <v>#N/A</v>
      </c>
    </row>
    <row r="275" spans="1:11" x14ac:dyDescent="0.25">
      <c r="A275" s="2" t="e">
        <f ca="1"/>
        <v>#N/A</v>
      </c>
      <c r="C275" t="e">
        <f ca="1"/>
        <v>#N/A</v>
      </c>
      <c r="D275" t="e">
        <f ca="1"/>
        <v>#N/A</v>
      </c>
      <c r="E275" t="e">
        <f ca="1"/>
        <v>#N/A</v>
      </c>
      <c r="F275" t="e">
        <f ca="1"/>
        <v>#N/A</v>
      </c>
      <c r="G275" t="e">
        <f ca="1"/>
        <v>#N/A</v>
      </c>
      <c r="H275" t="e">
        <f ca="1"/>
        <v>#N/A</v>
      </c>
      <c r="I275" t="e">
        <f ca="1"/>
        <v>#N/A</v>
      </c>
      <c r="J275" t="e">
        <f ca="1"/>
        <v>#N/A</v>
      </c>
      <c r="K275" s="49" t="e">
        <f ca="1"/>
        <v>#N/A</v>
      </c>
    </row>
    <row r="276" spans="1:11" x14ac:dyDescent="0.25">
      <c r="A276" s="2" t="e">
        <f ca="1"/>
        <v>#N/A</v>
      </c>
      <c r="C276" t="e">
        <f ca="1"/>
        <v>#N/A</v>
      </c>
      <c r="D276" t="e">
        <f ca="1"/>
        <v>#N/A</v>
      </c>
      <c r="E276" t="e">
        <f ca="1"/>
        <v>#N/A</v>
      </c>
      <c r="F276" t="e">
        <f ca="1"/>
        <v>#N/A</v>
      </c>
      <c r="G276" t="e">
        <f ca="1"/>
        <v>#N/A</v>
      </c>
      <c r="H276" t="e">
        <f ca="1"/>
        <v>#N/A</v>
      </c>
      <c r="I276" t="e">
        <f ca="1"/>
        <v>#N/A</v>
      </c>
      <c r="J276" t="e">
        <f ca="1"/>
        <v>#N/A</v>
      </c>
      <c r="K276" s="49" t="e">
        <f ca="1"/>
        <v>#N/A</v>
      </c>
    </row>
    <row r="277" spans="1:11" x14ac:dyDescent="0.25">
      <c r="A277" s="2" t="e">
        <f ca="1"/>
        <v>#N/A</v>
      </c>
      <c r="C277" t="e">
        <f ca="1"/>
        <v>#N/A</v>
      </c>
      <c r="D277" t="e">
        <f ca="1"/>
        <v>#N/A</v>
      </c>
      <c r="E277" t="e">
        <f ca="1"/>
        <v>#N/A</v>
      </c>
      <c r="F277" t="e">
        <f ca="1"/>
        <v>#N/A</v>
      </c>
      <c r="G277" t="e">
        <f ca="1"/>
        <v>#N/A</v>
      </c>
      <c r="H277" t="e">
        <f ca="1"/>
        <v>#N/A</v>
      </c>
      <c r="I277" t="e">
        <f ca="1"/>
        <v>#N/A</v>
      </c>
      <c r="J277" t="e">
        <f ca="1"/>
        <v>#N/A</v>
      </c>
      <c r="K277" s="49" t="e">
        <f ca="1"/>
        <v>#N/A</v>
      </c>
    </row>
    <row r="278" spans="1:11" x14ac:dyDescent="0.25">
      <c r="A278" s="2" t="e">
        <f ca="1"/>
        <v>#N/A</v>
      </c>
      <c r="C278" t="e">
        <f ca="1"/>
        <v>#N/A</v>
      </c>
      <c r="D278" t="e">
        <f ca="1"/>
        <v>#N/A</v>
      </c>
      <c r="E278" t="e">
        <f ca="1"/>
        <v>#N/A</v>
      </c>
      <c r="F278" t="e">
        <f ca="1"/>
        <v>#N/A</v>
      </c>
      <c r="G278" t="e">
        <f ca="1"/>
        <v>#N/A</v>
      </c>
      <c r="H278" t="e">
        <f ca="1"/>
        <v>#N/A</v>
      </c>
      <c r="I278" t="e">
        <f ca="1"/>
        <v>#N/A</v>
      </c>
      <c r="J278" t="e">
        <f ca="1"/>
        <v>#N/A</v>
      </c>
      <c r="K278" s="49" t="e">
        <f ca="1"/>
        <v>#N/A</v>
      </c>
    </row>
    <row r="279" spans="1:11" x14ac:dyDescent="0.25">
      <c r="A279" s="2" t="e">
        <f ca="1"/>
        <v>#N/A</v>
      </c>
      <c r="C279" t="e">
        <f ca="1"/>
        <v>#N/A</v>
      </c>
      <c r="D279" t="e">
        <f ca="1"/>
        <v>#N/A</v>
      </c>
      <c r="E279" t="e">
        <f ca="1"/>
        <v>#N/A</v>
      </c>
      <c r="F279" t="e">
        <f ca="1"/>
        <v>#N/A</v>
      </c>
      <c r="G279" t="e">
        <f ca="1"/>
        <v>#N/A</v>
      </c>
      <c r="H279" t="e">
        <f ca="1"/>
        <v>#N/A</v>
      </c>
      <c r="I279" t="e">
        <f ca="1"/>
        <v>#N/A</v>
      </c>
      <c r="J279" t="e">
        <f ca="1"/>
        <v>#N/A</v>
      </c>
      <c r="K279" s="49" t="e">
        <f ca="1"/>
        <v>#N/A</v>
      </c>
    </row>
    <row r="280" spans="1:11" x14ac:dyDescent="0.25">
      <c r="A280" s="2" t="e">
        <f ca="1"/>
        <v>#N/A</v>
      </c>
      <c r="C280" t="e">
        <f ca="1"/>
        <v>#N/A</v>
      </c>
      <c r="D280" t="e">
        <f ca="1"/>
        <v>#N/A</v>
      </c>
      <c r="E280" t="e">
        <f ca="1"/>
        <v>#N/A</v>
      </c>
      <c r="F280" t="e">
        <f ca="1"/>
        <v>#N/A</v>
      </c>
      <c r="G280" t="e">
        <f ca="1"/>
        <v>#N/A</v>
      </c>
      <c r="H280" t="e">
        <f ca="1"/>
        <v>#N/A</v>
      </c>
      <c r="I280" t="e">
        <f ca="1"/>
        <v>#N/A</v>
      </c>
      <c r="J280" t="e">
        <f ca="1"/>
        <v>#N/A</v>
      </c>
      <c r="K280" s="49" t="e">
        <f ca="1"/>
        <v>#N/A</v>
      </c>
    </row>
    <row r="281" spans="1:11" x14ac:dyDescent="0.25">
      <c r="A281" s="2" t="e">
        <f ca="1"/>
        <v>#N/A</v>
      </c>
      <c r="C281" t="e">
        <f ca="1"/>
        <v>#N/A</v>
      </c>
      <c r="D281" t="e">
        <f ca="1"/>
        <v>#N/A</v>
      </c>
      <c r="E281" t="e">
        <f ca="1"/>
        <v>#N/A</v>
      </c>
      <c r="F281" t="e">
        <f ca="1"/>
        <v>#N/A</v>
      </c>
      <c r="G281" t="e">
        <f ca="1"/>
        <v>#N/A</v>
      </c>
      <c r="H281" t="e">
        <f ca="1"/>
        <v>#N/A</v>
      </c>
      <c r="I281" t="e">
        <f ca="1"/>
        <v>#N/A</v>
      </c>
      <c r="J281" t="e">
        <f ca="1"/>
        <v>#N/A</v>
      </c>
      <c r="K281" s="49" t="e">
        <f ca="1"/>
        <v>#N/A</v>
      </c>
    </row>
    <row r="282" spans="1:11" x14ac:dyDescent="0.25">
      <c r="A282" s="2" t="e">
        <f ca="1"/>
        <v>#N/A</v>
      </c>
      <c r="C282" t="e">
        <f ca="1"/>
        <v>#N/A</v>
      </c>
      <c r="D282" t="e">
        <f ca="1"/>
        <v>#N/A</v>
      </c>
      <c r="E282" t="e">
        <f ca="1"/>
        <v>#N/A</v>
      </c>
      <c r="F282" t="e">
        <f ca="1"/>
        <v>#N/A</v>
      </c>
      <c r="G282" t="e">
        <f ca="1"/>
        <v>#N/A</v>
      </c>
      <c r="H282" t="e">
        <f ca="1"/>
        <v>#N/A</v>
      </c>
      <c r="I282" t="e">
        <f ca="1"/>
        <v>#N/A</v>
      </c>
      <c r="J282" t="e">
        <f ca="1"/>
        <v>#N/A</v>
      </c>
      <c r="K282" s="49" t="e">
        <f ca="1"/>
        <v>#N/A</v>
      </c>
    </row>
    <row r="283" spans="1:11" x14ac:dyDescent="0.25">
      <c r="A283" s="2" t="e">
        <f ca="1"/>
        <v>#N/A</v>
      </c>
      <c r="C283" t="e">
        <f ca="1"/>
        <v>#N/A</v>
      </c>
      <c r="D283" t="e">
        <f ca="1"/>
        <v>#N/A</v>
      </c>
      <c r="E283" t="e">
        <f ca="1"/>
        <v>#N/A</v>
      </c>
      <c r="F283" t="e">
        <f ca="1"/>
        <v>#N/A</v>
      </c>
      <c r="G283" t="e">
        <f ca="1"/>
        <v>#N/A</v>
      </c>
      <c r="H283" t="e">
        <f ca="1"/>
        <v>#N/A</v>
      </c>
      <c r="I283" t="e">
        <f ca="1"/>
        <v>#N/A</v>
      </c>
      <c r="J283" t="e">
        <f ca="1"/>
        <v>#N/A</v>
      </c>
      <c r="K283" s="49" t="e">
        <f ca="1"/>
        <v>#N/A</v>
      </c>
    </row>
    <row r="284" spans="1:11" x14ac:dyDescent="0.25">
      <c r="A284" s="2" t="e">
        <f ca="1"/>
        <v>#N/A</v>
      </c>
      <c r="C284" t="e">
        <f ca="1"/>
        <v>#N/A</v>
      </c>
      <c r="D284" t="e">
        <f ca="1"/>
        <v>#N/A</v>
      </c>
      <c r="E284" t="e">
        <f ca="1"/>
        <v>#N/A</v>
      </c>
      <c r="F284" t="e">
        <f ca="1"/>
        <v>#N/A</v>
      </c>
      <c r="G284" t="e">
        <f ca="1"/>
        <v>#N/A</v>
      </c>
      <c r="H284" t="e">
        <f ca="1"/>
        <v>#N/A</v>
      </c>
      <c r="I284" t="e">
        <f ca="1"/>
        <v>#N/A</v>
      </c>
      <c r="J284" t="e">
        <f ca="1"/>
        <v>#N/A</v>
      </c>
      <c r="K284" s="49" t="e">
        <f ca="1"/>
        <v>#N/A</v>
      </c>
    </row>
    <row r="285" spans="1:11" x14ac:dyDescent="0.25">
      <c r="A285" s="2" t="e">
        <f ca="1"/>
        <v>#N/A</v>
      </c>
      <c r="C285" t="e">
        <f ca="1"/>
        <v>#N/A</v>
      </c>
      <c r="D285" t="e">
        <f ca="1"/>
        <v>#N/A</v>
      </c>
      <c r="E285" t="e">
        <f ca="1"/>
        <v>#N/A</v>
      </c>
      <c r="F285" t="e">
        <f ca="1"/>
        <v>#N/A</v>
      </c>
      <c r="G285" t="e">
        <f ca="1"/>
        <v>#N/A</v>
      </c>
      <c r="H285" t="e">
        <f ca="1"/>
        <v>#N/A</v>
      </c>
      <c r="I285" t="e">
        <f ca="1"/>
        <v>#N/A</v>
      </c>
      <c r="J285" t="e">
        <f ca="1"/>
        <v>#N/A</v>
      </c>
      <c r="K285" s="49" t="e">
        <f ca="1"/>
        <v>#N/A</v>
      </c>
    </row>
    <row r="286" spans="1:11" x14ac:dyDescent="0.25">
      <c r="A286" s="2" t="e">
        <f ca="1"/>
        <v>#N/A</v>
      </c>
      <c r="C286" t="e">
        <f ca="1"/>
        <v>#N/A</v>
      </c>
      <c r="D286" t="e">
        <f ca="1"/>
        <v>#N/A</v>
      </c>
      <c r="E286" t="e">
        <f ca="1"/>
        <v>#N/A</v>
      </c>
      <c r="F286" t="e">
        <f ca="1"/>
        <v>#N/A</v>
      </c>
      <c r="G286" t="e">
        <f ca="1"/>
        <v>#N/A</v>
      </c>
      <c r="H286" t="e">
        <f ca="1"/>
        <v>#N/A</v>
      </c>
      <c r="I286" t="e">
        <f ca="1"/>
        <v>#N/A</v>
      </c>
      <c r="J286" t="e">
        <f ca="1"/>
        <v>#N/A</v>
      </c>
      <c r="K286" s="49" t="e">
        <f ca="1"/>
        <v>#N/A</v>
      </c>
    </row>
    <row r="287" spans="1:11" x14ac:dyDescent="0.25">
      <c r="A287" s="2" t="e">
        <f ca="1"/>
        <v>#N/A</v>
      </c>
      <c r="C287" t="e">
        <f ca="1"/>
        <v>#N/A</v>
      </c>
      <c r="D287" t="e">
        <f ca="1"/>
        <v>#N/A</v>
      </c>
      <c r="E287" t="e">
        <f ca="1"/>
        <v>#N/A</v>
      </c>
      <c r="F287" t="e">
        <f ca="1"/>
        <v>#N/A</v>
      </c>
      <c r="G287" t="e">
        <f ca="1"/>
        <v>#N/A</v>
      </c>
      <c r="H287" t="e">
        <f ca="1"/>
        <v>#N/A</v>
      </c>
      <c r="I287" t="e">
        <f ca="1"/>
        <v>#N/A</v>
      </c>
      <c r="J287" t="e">
        <f ca="1"/>
        <v>#N/A</v>
      </c>
      <c r="K287" s="49" t="e">
        <f ca="1"/>
        <v>#N/A</v>
      </c>
    </row>
    <row r="288" spans="1:11" x14ac:dyDescent="0.25">
      <c r="A288" s="2" t="e">
        <f ca="1"/>
        <v>#N/A</v>
      </c>
      <c r="C288" t="e">
        <f ca="1"/>
        <v>#N/A</v>
      </c>
      <c r="D288" t="e">
        <f ca="1"/>
        <v>#N/A</v>
      </c>
      <c r="E288" t="e">
        <f ca="1"/>
        <v>#N/A</v>
      </c>
      <c r="F288" t="e">
        <f ca="1"/>
        <v>#N/A</v>
      </c>
      <c r="G288" t="e">
        <f ca="1"/>
        <v>#N/A</v>
      </c>
      <c r="H288" t="e">
        <f ca="1"/>
        <v>#N/A</v>
      </c>
      <c r="I288" t="e">
        <f ca="1"/>
        <v>#N/A</v>
      </c>
      <c r="J288" t="e">
        <f ca="1"/>
        <v>#N/A</v>
      </c>
      <c r="K288" s="49" t="e">
        <f ca="1"/>
        <v>#N/A</v>
      </c>
    </row>
    <row r="289" spans="1:11" x14ac:dyDescent="0.25">
      <c r="A289" s="2" t="e">
        <f ca="1"/>
        <v>#N/A</v>
      </c>
      <c r="C289" t="e">
        <f ca="1"/>
        <v>#N/A</v>
      </c>
      <c r="D289" t="e">
        <f ca="1"/>
        <v>#N/A</v>
      </c>
      <c r="E289" t="e">
        <f ca="1"/>
        <v>#N/A</v>
      </c>
      <c r="F289" t="e">
        <f ca="1"/>
        <v>#N/A</v>
      </c>
      <c r="G289" t="e">
        <f ca="1"/>
        <v>#N/A</v>
      </c>
      <c r="H289" t="e">
        <f ca="1"/>
        <v>#N/A</v>
      </c>
      <c r="I289" t="e">
        <f ca="1"/>
        <v>#N/A</v>
      </c>
      <c r="J289" t="e">
        <f ca="1"/>
        <v>#N/A</v>
      </c>
      <c r="K289" s="49" t="e">
        <f ca="1"/>
        <v>#N/A</v>
      </c>
    </row>
    <row r="290" spans="1:11" x14ac:dyDescent="0.25">
      <c r="A290" s="2" t="e">
        <f ca="1"/>
        <v>#N/A</v>
      </c>
      <c r="C290" t="e">
        <f ca="1"/>
        <v>#N/A</v>
      </c>
      <c r="D290" t="e">
        <f ca="1"/>
        <v>#N/A</v>
      </c>
      <c r="E290" t="e">
        <f ca="1"/>
        <v>#N/A</v>
      </c>
      <c r="F290" t="e">
        <f ca="1"/>
        <v>#N/A</v>
      </c>
      <c r="G290" t="e">
        <f ca="1"/>
        <v>#N/A</v>
      </c>
      <c r="H290" t="e">
        <f ca="1"/>
        <v>#N/A</v>
      </c>
      <c r="I290" t="e">
        <f ca="1"/>
        <v>#N/A</v>
      </c>
      <c r="J290" t="e">
        <f ca="1"/>
        <v>#N/A</v>
      </c>
      <c r="K290" s="49" t="e">
        <f ca="1"/>
        <v>#N/A</v>
      </c>
    </row>
    <row r="291" spans="1:11" x14ac:dyDescent="0.25">
      <c r="A291" s="2" t="e">
        <f ca="1"/>
        <v>#N/A</v>
      </c>
      <c r="C291" t="e">
        <f ca="1"/>
        <v>#N/A</v>
      </c>
      <c r="D291" t="e">
        <f ca="1"/>
        <v>#N/A</v>
      </c>
      <c r="E291" t="e">
        <f ca="1"/>
        <v>#N/A</v>
      </c>
      <c r="F291" t="e">
        <f ca="1"/>
        <v>#N/A</v>
      </c>
      <c r="G291" t="e">
        <f ca="1"/>
        <v>#N/A</v>
      </c>
      <c r="H291" t="e">
        <f ca="1"/>
        <v>#N/A</v>
      </c>
      <c r="I291" t="e">
        <f ca="1"/>
        <v>#N/A</v>
      </c>
      <c r="J291" t="e">
        <f ca="1"/>
        <v>#N/A</v>
      </c>
      <c r="K291" s="49" t="e">
        <f ca="1"/>
        <v>#N/A</v>
      </c>
    </row>
    <row r="292" spans="1:11" x14ac:dyDescent="0.25">
      <c r="A292" s="2" t="e">
        <f ca="1"/>
        <v>#N/A</v>
      </c>
      <c r="C292" t="e">
        <f ca="1"/>
        <v>#N/A</v>
      </c>
      <c r="D292" t="e">
        <f ca="1"/>
        <v>#N/A</v>
      </c>
      <c r="E292" t="e">
        <f ca="1"/>
        <v>#N/A</v>
      </c>
      <c r="F292" t="e">
        <f ca="1"/>
        <v>#N/A</v>
      </c>
      <c r="G292" t="e">
        <f ca="1"/>
        <v>#N/A</v>
      </c>
      <c r="H292" t="e">
        <f ca="1"/>
        <v>#N/A</v>
      </c>
      <c r="I292" t="e">
        <f ca="1"/>
        <v>#N/A</v>
      </c>
      <c r="J292" t="e">
        <f ca="1"/>
        <v>#N/A</v>
      </c>
      <c r="K292" s="49" t="e">
        <f ca="1"/>
        <v>#N/A</v>
      </c>
    </row>
    <row r="293" spans="1:11" x14ac:dyDescent="0.25">
      <c r="A293" s="2" t="e">
        <f ca="1"/>
        <v>#N/A</v>
      </c>
      <c r="C293" t="e">
        <f ca="1"/>
        <v>#N/A</v>
      </c>
      <c r="D293" t="e">
        <f ca="1"/>
        <v>#N/A</v>
      </c>
      <c r="E293" t="e">
        <f ca="1"/>
        <v>#N/A</v>
      </c>
      <c r="F293" t="e">
        <f ca="1"/>
        <v>#N/A</v>
      </c>
      <c r="G293" t="e">
        <f ca="1"/>
        <v>#N/A</v>
      </c>
      <c r="H293" t="e">
        <f ca="1"/>
        <v>#N/A</v>
      </c>
      <c r="I293" t="e">
        <f ca="1"/>
        <v>#N/A</v>
      </c>
      <c r="J293" t="e">
        <f ca="1"/>
        <v>#N/A</v>
      </c>
      <c r="K293" s="49" t="e">
        <f ca="1"/>
        <v>#N/A</v>
      </c>
    </row>
    <row r="294" spans="1:11" x14ac:dyDescent="0.25">
      <c r="A294" s="2" t="e">
        <f ca="1"/>
        <v>#N/A</v>
      </c>
      <c r="C294" t="e">
        <f ca="1"/>
        <v>#N/A</v>
      </c>
      <c r="D294" t="e">
        <f ca="1"/>
        <v>#N/A</v>
      </c>
      <c r="E294" t="e">
        <f ca="1"/>
        <v>#N/A</v>
      </c>
      <c r="F294" t="e">
        <f ca="1"/>
        <v>#N/A</v>
      </c>
      <c r="G294" t="e">
        <f ca="1"/>
        <v>#N/A</v>
      </c>
      <c r="H294" t="e">
        <f ca="1"/>
        <v>#N/A</v>
      </c>
      <c r="I294" t="e">
        <f ca="1"/>
        <v>#N/A</v>
      </c>
      <c r="J294" t="e">
        <f ca="1"/>
        <v>#N/A</v>
      </c>
      <c r="K294" s="49" t="e">
        <f ca="1"/>
        <v>#N/A</v>
      </c>
    </row>
    <row r="295" spans="1:11" x14ac:dyDescent="0.25">
      <c r="A295" s="2" t="e">
        <f ca="1"/>
        <v>#N/A</v>
      </c>
      <c r="C295" t="e">
        <f ca="1"/>
        <v>#N/A</v>
      </c>
      <c r="D295" t="e">
        <f ca="1"/>
        <v>#N/A</v>
      </c>
      <c r="E295" t="e">
        <f ca="1"/>
        <v>#N/A</v>
      </c>
      <c r="F295" t="e">
        <f ca="1"/>
        <v>#N/A</v>
      </c>
      <c r="G295" t="e">
        <f ca="1"/>
        <v>#N/A</v>
      </c>
      <c r="H295" t="e">
        <f ca="1"/>
        <v>#N/A</v>
      </c>
      <c r="I295" t="e">
        <f ca="1"/>
        <v>#N/A</v>
      </c>
      <c r="J295" t="e">
        <f ca="1"/>
        <v>#N/A</v>
      </c>
      <c r="K295" s="49" t="e">
        <f ca="1"/>
        <v>#N/A</v>
      </c>
    </row>
    <row r="296" spans="1:11" x14ac:dyDescent="0.25">
      <c r="A296" s="2" t="e">
        <f ca="1"/>
        <v>#N/A</v>
      </c>
      <c r="C296" t="e">
        <f ca="1"/>
        <v>#N/A</v>
      </c>
      <c r="D296" t="e">
        <f ca="1"/>
        <v>#N/A</v>
      </c>
      <c r="E296" t="e">
        <f ca="1"/>
        <v>#N/A</v>
      </c>
      <c r="F296" t="e">
        <f ca="1"/>
        <v>#N/A</v>
      </c>
      <c r="G296" t="e">
        <f ca="1"/>
        <v>#N/A</v>
      </c>
      <c r="H296" t="e">
        <f ca="1"/>
        <v>#N/A</v>
      </c>
      <c r="I296" t="e">
        <f ca="1"/>
        <v>#N/A</v>
      </c>
      <c r="J296" t="e">
        <f ca="1"/>
        <v>#N/A</v>
      </c>
      <c r="K296" s="49" t="e">
        <f ca="1"/>
        <v>#N/A</v>
      </c>
    </row>
    <row r="297" spans="1:11" x14ac:dyDescent="0.25">
      <c r="A297" s="2" t="e">
        <f ca="1"/>
        <v>#N/A</v>
      </c>
      <c r="C297" t="e">
        <f ca="1"/>
        <v>#N/A</v>
      </c>
      <c r="D297" t="e">
        <f ca="1"/>
        <v>#N/A</v>
      </c>
      <c r="E297" t="e">
        <f ca="1"/>
        <v>#N/A</v>
      </c>
      <c r="F297" t="e">
        <f ca="1"/>
        <v>#N/A</v>
      </c>
      <c r="G297" t="e">
        <f ca="1"/>
        <v>#N/A</v>
      </c>
      <c r="H297" t="e">
        <f ca="1"/>
        <v>#N/A</v>
      </c>
      <c r="I297" t="e">
        <f ca="1"/>
        <v>#N/A</v>
      </c>
      <c r="J297" t="e">
        <f ca="1"/>
        <v>#N/A</v>
      </c>
      <c r="K297" s="49" t="e">
        <f ca="1"/>
        <v>#N/A</v>
      </c>
    </row>
    <row r="298" spans="1:11" x14ac:dyDescent="0.25">
      <c r="A298" s="2" t="e">
        <f ca="1"/>
        <v>#N/A</v>
      </c>
      <c r="C298" t="e">
        <f ca="1"/>
        <v>#N/A</v>
      </c>
      <c r="D298" t="e">
        <f ca="1"/>
        <v>#N/A</v>
      </c>
      <c r="E298" t="e">
        <f ca="1"/>
        <v>#N/A</v>
      </c>
      <c r="F298" t="e">
        <f ca="1"/>
        <v>#N/A</v>
      </c>
      <c r="G298" t="e">
        <f ca="1"/>
        <v>#N/A</v>
      </c>
      <c r="H298" t="e">
        <f ca="1"/>
        <v>#N/A</v>
      </c>
      <c r="I298" t="e">
        <f ca="1"/>
        <v>#N/A</v>
      </c>
      <c r="J298" t="e">
        <f ca="1"/>
        <v>#N/A</v>
      </c>
      <c r="K298" s="49" t="e">
        <f ca="1"/>
        <v>#N/A</v>
      </c>
    </row>
    <row r="299" spans="1:11" x14ac:dyDescent="0.25">
      <c r="A299" s="2" t="e">
        <f ca="1"/>
        <v>#N/A</v>
      </c>
      <c r="C299" t="e">
        <f ca="1"/>
        <v>#N/A</v>
      </c>
      <c r="D299" t="e">
        <f ca="1"/>
        <v>#N/A</v>
      </c>
      <c r="E299" t="e">
        <f ca="1"/>
        <v>#N/A</v>
      </c>
      <c r="F299" t="e">
        <f ca="1"/>
        <v>#N/A</v>
      </c>
      <c r="G299" t="e">
        <f ca="1"/>
        <v>#N/A</v>
      </c>
      <c r="H299" t="e">
        <f ca="1"/>
        <v>#N/A</v>
      </c>
      <c r="I299" t="e">
        <f ca="1"/>
        <v>#N/A</v>
      </c>
      <c r="J299" t="e">
        <f ca="1"/>
        <v>#N/A</v>
      </c>
      <c r="K299" s="49" t="e">
        <f ca="1"/>
        <v>#N/A</v>
      </c>
    </row>
    <row r="300" spans="1:11" x14ac:dyDescent="0.25">
      <c r="A300" s="2" t="e">
        <f ca="1"/>
        <v>#N/A</v>
      </c>
      <c r="C300" t="e">
        <f ca="1"/>
        <v>#N/A</v>
      </c>
      <c r="D300" t="e">
        <f ca="1"/>
        <v>#N/A</v>
      </c>
      <c r="E300" t="e">
        <f ca="1"/>
        <v>#N/A</v>
      </c>
      <c r="F300" t="e">
        <f ca="1"/>
        <v>#N/A</v>
      </c>
      <c r="G300" t="e">
        <f ca="1"/>
        <v>#N/A</v>
      </c>
      <c r="H300" t="e">
        <f ca="1"/>
        <v>#N/A</v>
      </c>
      <c r="I300" t="e">
        <f ca="1"/>
        <v>#N/A</v>
      </c>
      <c r="J300" t="e">
        <f ca="1"/>
        <v>#N/A</v>
      </c>
      <c r="K300" s="49" t="e">
        <f ca="1"/>
        <v>#N/A</v>
      </c>
    </row>
    <row r="301" spans="1:11" x14ac:dyDescent="0.25">
      <c r="A301" s="2" t="e">
        <f ca="1"/>
        <v>#N/A</v>
      </c>
      <c r="C301" t="e">
        <f ca="1"/>
        <v>#N/A</v>
      </c>
      <c r="D301" t="e">
        <f ca="1"/>
        <v>#N/A</v>
      </c>
      <c r="E301" t="e">
        <f ca="1"/>
        <v>#N/A</v>
      </c>
      <c r="F301" t="e">
        <f ca="1"/>
        <v>#N/A</v>
      </c>
      <c r="G301" t="e">
        <f ca="1"/>
        <v>#N/A</v>
      </c>
      <c r="H301" t="e">
        <f ca="1"/>
        <v>#N/A</v>
      </c>
      <c r="I301" t="e">
        <f ca="1"/>
        <v>#N/A</v>
      </c>
      <c r="J301" t="e">
        <f ca="1"/>
        <v>#N/A</v>
      </c>
      <c r="K301" s="49" t="e">
        <f ca="1"/>
        <v>#N/A</v>
      </c>
    </row>
    <row r="302" spans="1:11" x14ac:dyDescent="0.25">
      <c r="A302" s="2" t="e">
        <f ca="1"/>
        <v>#N/A</v>
      </c>
      <c r="C302" t="e">
        <f ca="1"/>
        <v>#N/A</v>
      </c>
      <c r="D302" t="e">
        <f ca="1"/>
        <v>#N/A</v>
      </c>
      <c r="E302" t="e">
        <f ca="1"/>
        <v>#N/A</v>
      </c>
      <c r="F302" t="e">
        <f ca="1"/>
        <v>#N/A</v>
      </c>
      <c r="G302" t="e">
        <f ca="1"/>
        <v>#N/A</v>
      </c>
      <c r="H302" t="e">
        <f ca="1"/>
        <v>#N/A</v>
      </c>
      <c r="I302" t="e">
        <f ca="1"/>
        <v>#N/A</v>
      </c>
      <c r="J302" t="e">
        <f ca="1"/>
        <v>#N/A</v>
      </c>
      <c r="K302" s="49" t="e">
        <f ca="1"/>
        <v>#N/A</v>
      </c>
    </row>
    <row r="303" spans="1:11" x14ac:dyDescent="0.25">
      <c r="A303" s="2" t="e">
        <f ca="1"/>
        <v>#N/A</v>
      </c>
      <c r="C303" t="e">
        <f ca="1"/>
        <v>#N/A</v>
      </c>
      <c r="D303" t="e">
        <f ca="1"/>
        <v>#N/A</v>
      </c>
      <c r="E303" t="e">
        <f ca="1"/>
        <v>#N/A</v>
      </c>
      <c r="F303" t="e">
        <f ca="1"/>
        <v>#N/A</v>
      </c>
      <c r="G303" t="e">
        <f ca="1"/>
        <v>#N/A</v>
      </c>
      <c r="H303" t="e">
        <f ca="1"/>
        <v>#N/A</v>
      </c>
      <c r="I303" t="e">
        <f ca="1"/>
        <v>#N/A</v>
      </c>
      <c r="J303" t="e">
        <f ca="1"/>
        <v>#N/A</v>
      </c>
      <c r="K303" s="49" t="e">
        <f ca="1"/>
        <v>#N/A</v>
      </c>
    </row>
    <row r="304" spans="1:11" x14ac:dyDescent="0.25">
      <c r="A304" s="2" t="e">
        <f ca="1"/>
        <v>#N/A</v>
      </c>
      <c r="C304" t="e">
        <f ca="1"/>
        <v>#N/A</v>
      </c>
      <c r="D304" t="e">
        <f ca="1"/>
        <v>#N/A</v>
      </c>
      <c r="E304" t="e">
        <f ca="1"/>
        <v>#N/A</v>
      </c>
      <c r="F304" t="e">
        <f ca="1"/>
        <v>#N/A</v>
      </c>
      <c r="G304" t="e">
        <f ca="1"/>
        <v>#N/A</v>
      </c>
      <c r="H304" t="e">
        <f ca="1"/>
        <v>#N/A</v>
      </c>
      <c r="I304" t="e">
        <f ca="1"/>
        <v>#N/A</v>
      </c>
      <c r="J304" t="e">
        <f ca="1"/>
        <v>#N/A</v>
      </c>
      <c r="K304" s="49" t="e">
        <f ca="1"/>
        <v>#N/A</v>
      </c>
    </row>
    <row r="305" spans="1:11" x14ac:dyDescent="0.25">
      <c r="A305" s="2" t="e">
        <f ca="1"/>
        <v>#N/A</v>
      </c>
      <c r="C305" t="e">
        <f ca="1"/>
        <v>#N/A</v>
      </c>
      <c r="D305" t="e">
        <f ca="1"/>
        <v>#N/A</v>
      </c>
      <c r="E305" t="e">
        <f ca="1"/>
        <v>#N/A</v>
      </c>
      <c r="F305" t="e">
        <f ca="1"/>
        <v>#N/A</v>
      </c>
      <c r="G305" t="e">
        <f ca="1"/>
        <v>#N/A</v>
      </c>
      <c r="H305" t="e">
        <f ca="1"/>
        <v>#N/A</v>
      </c>
      <c r="I305" t="e">
        <f ca="1"/>
        <v>#N/A</v>
      </c>
      <c r="J305" t="e">
        <f ca="1"/>
        <v>#N/A</v>
      </c>
      <c r="K305" s="49" t="e">
        <f ca="1"/>
        <v>#N/A</v>
      </c>
    </row>
    <row r="306" spans="1:11" x14ac:dyDescent="0.25">
      <c r="A306" s="2" t="e">
        <f ca="1"/>
        <v>#N/A</v>
      </c>
      <c r="C306" t="e">
        <f ca="1"/>
        <v>#N/A</v>
      </c>
      <c r="D306" t="e">
        <f ca="1"/>
        <v>#N/A</v>
      </c>
      <c r="E306" t="e">
        <f ca="1"/>
        <v>#N/A</v>
      </c>
      <c r="F306" t="e">
        <f ca="1"/>
        <v>#N/A</v>
      </c>
      <c r="G306" t="e">
        <f ca="1"/>
        <v>#N/A</v>
      </c>
      <c r="H306" t="e">
        <f ca="1"/>
        <v>#N/A</v>
      </c>
      <c r="I306" t="e">
        <f ca="1"/>
        <v>#N/A</v>
      </c>
      <c r="J306" t="e">
        <f ca="1"/>
        <v>#N/A</v>
      </c>
      <c r="K306" s="49" t="e">
        <f ca="1"/>
        <v>#N/A</v>
      </c>
    </row>
    <row r="307" spans="1:11" x14ac:dyDescent="0.25">
      <c r="A307" s="2" t="e">
        <f ca="1"/>
        <v>#N/A</v>
      </c>
      <c r="C307" t="e">
        <f ca="1"/>
        <v>#N/A</v>
      </c>
      <c r="D307" t="e">
        <f ca="1"/>
        <v>#N/A</v>
      </c>
      <c r="E307" t="e">
        <f ca="1"/>
        <v>#N/A</v>
      </c>
      <c r="F307" t="e">
        <f ca="1"/>
        <v>#N/A</v>
      </c>
      <c r="G307" t="e">
        <f ca="1"/>
        <v>#N/A</v>
      </c>
      <c r="H307" t="e">
        <f ca="1"/>
        <v>#N/A</v>
      </c>
      <c r="I307" t="e">
        <f ca="1"/>
        <v>#N/A</v>
      </c>
      <c r="J307" t="e">
        <f ca="1"/>
        <v>#N/A</v>
      </c>
      <c r="K307" s="49" t="e">
        <f ca="1"/>
        <v>#N/A</v>
      </c>
    </row>
    <row r="308" spans="1:11" x14ac:dyDescent="0.25">
      <c r="A308" s="2" t="e">
        <f ca="1"/>
        <v>#N/A</v>
      </c>
      <c r="C308" t="e">
        <f ca="1"/>
        <v>#N/A</v>
      </c>
      <c r="D308" t="e">
        <f ca="1"/>
        <v>#N/A</v>
      </c>
      <c r="E308" t="e">
        <f ca="1"/>
        <v>#N/A</v>
      </c>
      <c r="F308" t="e">
        <f ca="1"/>
        <v>#N/A</v>
      </c>
      <c r="G308" t="e">
        <f ca="1"/>
        <v>#N/A</v>
      </c>
      <c r="H308" t="e">
        <f ca="1"/>
        <v>#N/A</v>
      </c>
      <c r="I308" t="e">
        <f ca="1"/>
        <v>#N/A</v>
      </c>
      <c r="J308" t="e">
        <f ca="1"/>
        <v>#N/A</v>
      </c>
      <c r="K308" s="49" t="e">
        <f ca="1"/>
        <v>#N/A</v>
      </c>
    </row>
    <row r="309" spans="1:11" x14ac:dyDescent="0.25">
      <c r="A309" s="2" t="e">
        <f ca="1"/>
        <v>#N/A</v>
      </c>
      <c r="C309" t="e">
        <f ca="1"/>
        <v>#N/A</v>
      </c>
      <c r="D309" t="e">
        <f ca="1"/>
        <v>#N/A</v>
      </c>
      <c r="E309" t="e">
        <f ca="1"/>
        <v>#N/A</v>
      </c>
      <c r="F309" t="e">
        <f ca="1"/>
        <v>#N/A</v>
      </c>
      <c r="G309" t="e">
        <f ca="1"/>
        <v>#N/A</v>
      </c>
      <c r="H309" t="e">
        <f ca="1"/>
        <v>#N/A</v>
      </c>
      <c r="I309" t="e">
        <f ca="1"/>
        <v>#N/A</v>
      </c>
      <c r="J309" t="e">
        <f ca="1"/>
        <v>#N/A</v>
      </c>
      <c r="K309" s="49" t="e">
        <f ca="1"/>
        <v>#N/A</v>
      </c>
    </row>
    <row r="310" spans="1:11" x14ac:dyDescent="0.25">
      <c r="A310" s="2" t="e">
        <f ca="1"/>
        <v>#N/A</v>
      </c>
      <c r="C310" t="e">
        <f ca="1"/>
        <v>#N/A</v>
      </c>
      <c r="D310" t="e">
        <f ca="1"/>
        <v>#N/A</v>
      </c>
      <c r="E310" t="e">
        <f ca="1"/>
        <v>#N/A</v>
      </c>
      <c r="F310" t="e">
        <f ca="1"/>
        <v>#N/A</v>
      </c>
      <c r="G310" t="e">
        <f ca="1"/>
        <v>#N/A</v>
      </c>
      <c r="H310" t="e">
        <f ca="1"/>
        <v>#N/A</v>
      </c>
      <c r="I310" t="e">
        <f ca="1"/>
        <v>#N/A</v>
      </c>
      <c r="J310" t="e">
        <f ca="1"/>
        <v>#N/A</v>
      </c>
      <c r="K310" s="49" t="e">
        <f ca="1"/>
        <v>#N/A</v>
      </c>
    </row>
    <row r="311" spans="1:11" x14ac:dyDescent="0.25">
      <c r="A311" s="2" t="e">
        <f ca="1"/>
        <v>#N/A</v>
      </c>
      <c r="C311" t="e">
        <f ca="1"/>
        <v>#N/A</v>
      </c>
      <c r="D311" t="e">
        <f ca="1"/>
        <v>#N/A</v>
      </c>
      <c r="E311" t="e">
        <f ca="1"/>
        <v>#N/A</v>
      </c>
      <c r="F311" t="e">
        <f ca="1"/>
        <v>#N/A</v>
      </c>
      <c r="G311" t="e">
        <f ca="1"/>
        <v>#N/A</v>
      </c>
      <c r="H311" t="e">
        <f ca="1"/>
        <v>#N/A</v>
      </c>
      <c r="I311" t="e">
        <f ca="1"/>
        <v>#N/A</v>
      </c>
      <c r="J311" t="e">
        <f ca="1"/>
        <v>#N/A</v>
      </c>
      <c r="K311" s="49" t="e">
        <f ca="1"/>
        <v>#N/A</v>
      </c>
    </row>
    <row r="312" spans="1:11" x14ac:dyDescent="0.25">
      <c r="A312" s="2" t="e">
        <f ca="1"/>
        <v>#N/A</v>
      </c>
      <c r="C312" t="e">
        <f ca="1"/>
        <v>#N/A</v>
      </c>
      <c r="D312" t="e">
        <f ca="1"/>
        <v>#N/A</v>
      </c>
      <c r="E312" t="e">
        <f ca="1"/>
        <v>#N/A</v>
      </c>
      <c r="F312" t="e">
        <f ca="1"/>
        <v>#N/A</v>
      </c>
      <c r="G312" t="e">
        <f ca="1"/>
        <v>#N/A</v>
      </c>
      <c r="H312" t="e">
        <f ca="1"/>
        <v>#N/A</v>
      </c>
      <c r="I312" t="e">
        <f ca="1"/>
        <v>#N/A</v>
      </c>
      <c r="J312" t="e">
        <f ca="1"/>
        <v>#N/A</v>
      </c>
      <c r="K312" s="49" t="e">
        <f ca="1"/>
        <v>#N/A</v>
      </c>
    </row>
    <row r="313" spans="1:11" x14ac:dyDescent="0.25">
      <c r="A313" s="2" t="e">
        <f ca="1"/>
        <v>#N/A</v>
      </c>
      <c r="C313" t="e">
        <f ca="1"/>
        <v>#N/A</v>
      </c>
      <c r="D313" t="e">
        <f ca="1"/>
        <v>#N/A</v>
      </c>
      <c r="E313" t="e">
        <f ca="1"/>
        <v>#N/A</v>
      </c>
      <c r="F313" t="e">
        <f ca="1"/>
        <v>#N/A</v>
      </c>
      <c r="G313" t="e">
        <f ca="1"/>
        <v>#N/A</v>
      </c>
      <c r="H313" t="e">
        <f ca="1"/>
        <v>#N/A</v>
      </c>
      <c r="I313" t="e">
        <f ca="1"/>
        <v>#N/A</v>
      </c>
      <c r="J313" t="e">
        <f ca="1"/>
        <v>#N/A</v>
      </c>
      <c r="K313" s="49" t="e">
        <f ca="1"/>
        <v>#N/A</v>
      </c>
    </row>
    <row r="314" spans="1:11" x14ac:dyDescent="0.25">
      <c r="A314" s="2" t="e">
        <f ca="1"/>
        <v>#N/A</v>
      </c>
      <c r="C314" t="e">
        <f ca="1"/>
        <v>#N/A</v>
      </c>
      <c r="D314" t="e">
        <f ca="1"/>
        <v>#N/A</v>
      </c>
      <c r="E314" t="e">
        <f ca="1"/>
        <v>#N/A</v>
      </c>
      <c r="F314" t="e">
        <f ca="1"/>
        <v>#N/A</v>
      </c>
      <c r="G314" t="e">
        <f ca="1"/>
        <v>#N/A</v>
      </c>
      <c r="H314" t="e">
        <f ca="1"/>
        <v>#N/A</v>
      </c>
      <c r="I314" t="e">
        <f ca="1"/>
        <v>#N/A</v>
      </c>
      <c r="J314" t="e">
        <f ca="1"/>
        <v>#N/A</v>
      </c>
      <c r="K314" s="49" t="e">
        <f ca="1"/>
        <v>#N/A</v>
      </c>
    </row>
    <row r="315" spans="1:11" x14ac:dyDescent="0.25">
      <c r="A315" s="2" t="e">
        <f ca="1"/>
        <v>#N/A</v>
      </c>
      <c r="C315" t="e">
        <f ca="1"/>
        <v>#N/A</v>
      </c>
      <c r="D315" t="e">
        <f ca="1"/>
        <v>#N/A</v>
      </c>
      <c r="E315" t="e">
        <f ca="1"/>
        <v>#N/A</v>
      </c>
      <c r="F315" t="e">
        <f ca="1"/>
        <v>#N/A</v>
      </c>
      <c r="G315" t="e">
        <f ca="1"/>
        <v>#N/A</v>
      </c>
      <c r="H315" t="e">
        <f ca="1"/>
        <v>#N/A</v>
      </c>
      <c r="I315" t="e">
        <f ca="1"/>
        <v>#N/A</v>
      </c>
      <c r="J315" t="e">
        <f ca="1"/>
        <v>#N/A</v>
      </c>
      <c r="K315" s="49" t="e">
        <f ca="1"/>
        <v>#N/A</v>
      </c>
    </row>
    <row r="316" spans="1:11" x14ac:dyDescent="0.25">
      <c r="A316" s="2" t="e">
        <f ca="1"/>
        <v>#N/A</v>
      </c>
      <c r="C316" t="e">
        <f ca="1"/>
        <v>#N/A</v>
      </c>
      <c r="D316" t="e">
        <f ca="1"/>
        <v>#N/A</v>
      </c>
      <c r="E316" t="e">
        <f ca="1"/>
        <v>#N/A</v>
      </c>
      <c r="F316" t="e">
        <f ca="1"/>
        <v>#N/A</v>
      </c>
      <c r="G316" t="e">
        <f ca="1"/>
        <v>#N/A</v>
      </c>
      <c r="H316" t="e">
        <f ca="1"/>
        <v>#N/A</v>
      </c>
      <c r="I316" t="e">
        <f ca="1"/>
        <v>#N/A</v>
      </c>
      <c r="J316" t="e">
        <f ca="1"/>
        <v>#N/A</v>
      </c>
      <c r="K316" s="49" t="e">
        <f ca="1"/>
        <v>#N/A</v>
      </c>
    </row>
    <row r="317" spans="1:11" x14ac:dyDescent="0.25">
      <c r="A317" s="2" t="e">
        <f ca="1"/>
        <v>#N/A</v>
      </c>
      <c r="C317" t="e">
        <f ca="1"/>
        <v>#N/A</v>
      </c>
      <c r="D317" t="e">
        <f ca="1"/>
        <v>#N/A</v>
      </c>
      <c r="E317" t="e">
        <f ca="1"/>
        <v>#N/A</v>
      </c>
      <c r="F317" t="e">
        <f ca="1"/>
        <v>#N/A</v>
      </c>
      <c r="G317" t="e">
        <f ca="1"/>
        <v>#N/A</v>
      </c>
      <c r="H317" t="e">
        <f ca="1"/>
        <v>#N/A</v>
      </c>
      <c r="I317" t="e">
        <f ca="1"/>
        <v>#N/A</v>
      </c>
      <c r="J317" t="e">
        <f ca="1"/>
        <v>#N/A</v>
      </c>
      <c r="K317" s="49" t="e">
        <f ca="1"/>
        <v>#N/A</v>
      </c>
    </row>
    <row r="318" spans="1:11" x14ac:dyDescent="0.25">
      <c r="A318" s="2" t="e">
        <f ca="1"/>
        <v>#N/A</v>
      </c>
      <c r="C318" t="e">
        <f ca="1"/>
        <v>#N/A</v>
      </c>
      <c r="D318" t="e">
        <f ca="1"/>
        <v>#N/A</v>
      </c>
      <c r="E318" t="e">
        <f ca="1"/>
        <v>#N/A</v>
      </c>
      <c r="F318" t="e">
        <f ca="1"/>
        <v>#N/A</v>
      </c>
      <c r="G318" t="e">
        <f ca="1"/>
        <v>#N/A</v>
      </c>
      <c r="H318" t="e">
        <f ca="1"/>
        <v>#N/A</v>
      </c>
      <c r="I318" t="e">
        <f ca="1"/>
        <v>#N/A</v>
      </c>
      <c r="J318" t="e">
        <f ca="1"/>
        <v>#N/A</v>
      </c>
      <c r="K318" s="49" t="e">
        <f ca="1"/>
        <v>#N/A</v>
      </c>
    </row>
    <row r="319" spans="1:11" x14ac:dyDescent="0.25">
      <c r="A319" s="2" t="e">
        <f ca="1"/>
        <v>#N/A</v>
      </c>
      <c r="C319" t="e">
        <f ca="1"/>
        <v>#N/A</v>
      </c>
      <c r="D319" t="e">
        <f ca="1"/>
        <v>#N/A</v>
      </c>
      <c r="E319" t="e">
        <f ca="1"/>
        <v>#N/A</v>
      </c>
      <c r="F319" t="e">
        <f ca="1"/>
        <v>#N/A</v>
      </c>
      <c r="G319" t="e">
        <f ca="1"/>
        <v>#N/A</v>
      </c>
      <c r="H319" t="e">
        <f ca="1"/>
        <v>#N/A</v>
      </c>
      <c r="I319" t="e">
        <f ca="1"/>
        <v>#N/A</v>
      </c>
      <c r="J319" t="e">
        <f ca="1"/>
        <v>#N/A</v>
      </c>
      <c r="K319" s="49" t="e">
        <f ca="1"/>
        <v>#N/A</v>
      </c>
    </row>
    <row r="320" spans="1:11" x14ac:dyDescent="0.25">
      <c r="A320" s="2" t="e">
        <f ca="1"/>
        <v>#N/A</v>
      </c>
      <c r="C320" t="e">
        <f ca="1"/>
        <v>#N/A</v>
      </c>
      <c r="D320" t="e">
        <f ca="1"/>
        <v>#N/A</v>
      </c>
      <c r="E320" t="e">
        <f ca="1"/>
        <v>#N/A</v>
      </c>
      <c r="F320" t="e">
        <f ca="1"/>
        <v>#N/A</v>
      </c>
      <c r="G320" t="e">
        <f ca="1"/>
        <v>#N/A</v>
      </c>
      <c r="H320" t="e">
        <f ca="1"/>
        <v>#N/A</v>
      </c>
      <c r="I320" t="e">
        <f ca="1"/>
        <v>#N/A</v>
      </c>
      <c r="J320" t="e">
        <f ca="1"/>
        <v>#N/A</v>
      </c>
      <c r="K320" s="49" t="e">
        <f ca="1"/>
        <v>#N/A</v>
      </c>
    </row>
    <row r="321" spans="1:11" x14ac:dyDescent="0.25">
      <c r="A321" s="2" t="e">
        <f ca="1"/>
        <v>#N/A</v>
      </c>
      <c r="C321" t="e">
        <f ca="1"/>
        <v>#N/A</v>
      </c>
      <c r="D321" t="e">
        <f ca="1"/>
        <v>#N/A</v>
      </c>
      <c r="E321" t="e">
        <f ca="1"/>
        <v>#N/A</v>
      </c>
      <c r="F321" t="e">
        <f ca="1"/>
        <v>#N/A</v>
      </c>
      <c r="G321" t="e">
        <f ca="1"/>
        <v>#N/A</v>
      </c>
      <c r="H321" t="e">
        <f ca="1"/>
        <v>#N/A</v>
      </c>
      <c r="I321" t="e">
        <f ca="1"/>
        <v>#N/A</v>
      </c>
      <c r="J321" t="e">
        <f ca="1"/>
        <v>#N/A</v>
      </c>
      <c r="K321" s="49" t="e">
        <f ca="1"/>
        <v>#N/A</v>
      </c>
    </row>
    <row r="322" spans="1:11" x14ac:dyDescent="0.25">
      <c r="A322" s="2" t="e">
        <f ca="1"/>
        <v>#N/A</v>
      </c>
      <c r="C322" t="e">
        <f ca="1"/>
        <v>#N/A</v>
      </c>
      <c r="D322" t="e">
        <f ca="1"/>
        <v>#N/A</v>
      </c>
      <c r="E322" t="e">
        <f ca="1"/>
        <v>#N/A</v>
      </c>
      <c r="F322" t="e">
        <f ca="1"/>
        <v>#N/A</v>
      </c>
      <c r="G322" t="e">
        <f ca="1"/>
        <v>#N/A</v>
      </c>
      <c r="H322" t="e">
        <f ca="1"/>
        <v>#N/A</v>
      </c>
      <c r="I322" t="e">
        <f ca="1"/>
        <v>#N/A</v>
      </c>
      <c r="J322" t="e">
        <f ca="1"/>
        <v>#N/A</v>
      </c>
      <c r="K322" s="49" t="e">
        <f ca="1"/>
        <v>#N/A</v>
      </c>
    </row>
    <row r="323" spans="1:11" x14ac:dyDescent="0.25">
      <c r="A323" s="2" t="e">
        <f ca="1"/>
        <v>#N/A</v>
      </c>
      <c r="C323" t="e">
        <f ca="1"/>
        <v>#N/A</v>
      </c>
      <c r="D323" t="e">
        <f ca="1"/>
        <v>#N/A</v>
      </c>
      <c r="E323" t="e">
        <f ca="1"/>
        <v>#N/A</v>
      </c>
      <c r="F323" t="e">
        <f ca="1"/>
        <v>#N/A</v>
      </c>
      <c r="G323" t="e">
        <f ca="1"/>
        <v>#N/A</v>
      </c>
      <c r="H323" t="e">
        <f ca="1"/>
        <v>#N/A</v>
      </c>
      <c r="I323" t="e">
        <f ca="1"/>
        <v>#N/A</v>
      </c>
      <c r="J323" t="e">
        <f ca="1"/>
        <v>#N/A</v>
      </c>
      <c r="K323" s="49" t="e">
        <f ca="1"/>
        <v>#N/A</v>
      </c>
    </row>
    <row r="324" spans="1:11" x14ac:dyDescent="0.25">
      <c r="A324" s="2" t="e">
        <f ca="1"/>
        <v>#N/A</v>
      </c>
      <c r="C324" t="e">
        <f ca="1"/>
        <v>#N/A</v>
      </c>
      <c r="D324" t="e">
        <f ca="1"/>
        <v>#N/A</v>
      </c>
      <c r="E324" t="e">
        <f ca="1"/>
        <v>#N/A</v>
      </c>
      <c r="F324" t="e">
        <f ca="1"/>
        <v>#N/A</v>
      </c>
      <c r="G324" t="e">
        <f ca="1"/>
        <v>#N/A</v>
      </c>
      <c r="H324" t="e">
        <f ca="1"/>
        <v>#N/A</v>
      </c>
      <c r="I324" t="e">
        <f ca="1"/>
        <v>#N/A</v>
      </c>
      <c r="J324" t="e">
        <f ca="1"/>
        <v>#N/A</v>
      </c>
      <c r="K324" s="49" t="e">
        <f ca="1"/>
        <v>#N/A</v>
      </c>
    </row>
    <row r="325" spans="1:11" x14ac:dyDescent="0.25">
      <c r="A325" s="2" t="e">
        <f ca="1"/>
        <v>#N/A</v>
      </c>
      <c r="C325" t="e">
        <f ca="1"/>
        <v>#N/A</v>
      </c>
      <c r="D325" t="e">
        <f ca="1"/>
        <v>#N/A</v>
      </c>
      <c r="E325" t="e">
        <f ca="1"/>
        <v>#N/A</v>
      </c>
      <c r="F325" t="e">
        <f ca="1"/>
        <v>#N/A</v>
      </c>
      <c r="G325" t="e">
        <f ca="1"/>
        <v>#N/A</v>
      </c>
      <c r="H325" t="e">
        <f ca="1"/>
        <v>#N/A</v>
      </c>
      <c r="I325" t="e">
        <f ca="1"/>
        <v>#N/A</v>
      </c>
      <c r="J325" t="e">
        <f ca="1"/>
        <v>#N/A</v>
      </c>
      <c r="K325" s="49" t="e">
        <f ca="1"/>
        <v>#N/A</v>
      </c>
    </row>
    <row r="326" spans="1:11" x14ac:dyDescent="0.25">
      <c r="A326" s="2" t="e">
        <f ca="1"/>
        <v>#N/A</v>
      </c>
      <c r="C326" t="e">
        <f ca="1"/>
        <v>#N/A</v>
      </c>
      <c r="D326" t="e">
        <f ca="1"/>
        <v>#N/A</v>
      </c>
      <c r="E326" t="e">
        <f ca="1"/>
        <v>#N/A</v>
      </c>
      <c r="F326" t="e">
        <f ca="1"/>
        <v>#N/A</v>
      </c>
      <c r="G326" t="e">
        <f ca="1"/>
        <v>#N/A</v>
      </c>
      <c r="H326" t="e">
        <f ca="1"/>
        <v>#N/A</v>
      </c>
      <c r="I326" t="e">
        <f ca="1"/>
        <v>#N/A</v>
      </c>
      <c r="J326" t="e">
        <f ca="1"/>
        <v>#N/A</v>
      </c>
      <c r="K326" s="49" t="e">
        <f ca="1"/>
        <v>#N/A</v>
      </c>
    </row>
    <row r="327" spans="1:11" x14ac:dyDescent="0.25">
      <c r="A327" s="2" t="e">
        <f ca="1"/>
        <v>#N/A</v>
      </c>
      <c r="C327" t="e">
        <f ca="1"/>
        <v>#N/A</v>
      </c>
      <c r="D327" t="e">
        <f ca="1"/>
        <v>#N/A</v>
      </c>
      <c r="E327" t="e">
        <f ca="1"/>
        <v>#N/A</v>
      </c>
      <c r="F327" t="e">
        <f ca="1"/>
        <v>#N/A</v>
      </c>
      <c r="G327" t="e">
        <f ca="1"/>
        <v>#N/A</v>
      </c>
      <c r="H327" t="e">
        <f ca="1"/>
        <v>#N/A</v>
      </c>
      <c r="I327" t="e">
        <f ca="1"/>
        <v>#N/A</v>
      </c>
      <c r="J327" t="e">
        <f ca="1"/>
        <v>#N/A</v>
      </c>
      <c r="K327" s="49" t="e">
        <f ca="1"/>
        <v>#N/A</v>
      </c>
    </row>
    <row r="328" spans="1:11" x14ac:dyDescent="0.25">
      <c r="A328" s="2" t="e">
        <f ca="1"/>
        <v>#N/A</v>
      </c>
      <c r="C328" t="e">
        <f ca="1"/>
        <v>#N/A</v>
      </c>
      <c r="D328" t="e">
        <f ca="1"/>
        <v>#N/A</v>
      </c>
      <c r="E328" t="e">
        <f ca="1"/>
        <v>#N/A</v>
      </c>
      <c r="F328" t="e">
        <f ca="1"/>
        <v>#N/A</v>
      </c>
      <c r="G328" t="e">
        <f ca="1"/>
        <v>#N/A</v>
      </c>
      <c r="H328" t="e">
        <f ca="1"/>
        <v>#N/A</v>
      </c>
      <c r="I328" t="e">
        <f ca="1"/>
        <v>#N/A</v>
      </c>
      <c r="J328" t="e">
        <f ca="1"/>
        <v>#N/A</v>
      </c>
      <c r="K328" s="49" t="e">
        <f ca="1"/>
        <v>#N/A</v>
      </c>
    </row>
    <row r="329" spans="1:11" x14ac:dyDescent="0.25">
      <c r="A329" s="2" t="e">
        <f ca="1"/>
        <v>#N/A</v>
      </c>
      <c r="C329" t="e">
        <f ca="1"/>
        <v>#N/A</v>
      </c>
      <c r="D329" t="e">
        <f ca="1"/>
        <v>#N/A</v>
      </c>
      <c r="E329" t="e">
        <f ca="1"/>
        <v>#N/A</v>
      </c>
      <c r="F329" t="e">
        <f ca="1"/>
        <v>#N/A</v>
      </c>
      <c r="G329" t="e">
        <f ca="1"/>
        <v>#N/A</v>
      </c>
      <c r="H329" t="e">
        <f ca="1"/>
        <v>#N/A</v>
      </c>
      <c r="I329" t="e">
        <f ca="1"/>
        <v>#N/A</v>
      </c>
      <c r="J329" t="e">
        <f ca="1"/>
        <v>#N/A</v>
      </c>
      <c r="K329" s="49" t="e">
        <f ca="1"/>
        <v>#N/A</v>
      </c>
    </row>
    <row r="330" spans="1:11" x14ac:dyDescent="0.25">
      <c r="A330" s="2" t="e">
        <f ca="1"/>
        <v>#N/A</v>
      </c>
      <c r="C330" t="e">
        <f ca="1"/>
        <v>#N/A</v>
      </c>
      <c r="D330" t="e">
        <f ca="1"/>
        <v>#N/A</v>
      </c>
      <c r="E330" t="e">
        <f ca="1"/>
        <v>#N/A</v>
      </c>
      <c r="F330" t="e">
        <f ca="1"/>
        <v>#N/A</v>
      </c>
      <c r="G330" t="e">
        <f ca="1"/>
        <v>#N/A</v>
      </c>
      <c r="H330" t="e">
        <f ca="1"/>
        <v>#N/A</v>
      </c>
      <c r="I330" t="e">
        <f ca="1"/>
        <v>#N/A</v>
      </c>
      <c r="J330" t="e">
        <f ca="1"/>
        <v>#N/A</v>
      </c>
      <c r="K330" s="49" t="e">
        <f ca="1"/>
        <v>#N/A</v>
      </c>
    </row>
    <row r="331" spans="1:11" x14ac:dyDescent="0.25">
      <c r="A331" s="2" t="e">
        <f ca="1"/>
        <v>#N/A</v>
      </c>
      <c r="C331" t="e">
        <f ca="1"/>
        <v>#N/A</v>
      </c>
      <c r="D331" t="e">
        <f ca="1"/>
        <v>#N/A</v>
      </c>
      <c r="E331" t="e">
        <f ca="1"/>
        <v>#N/A</v>
      </c>
      <c r="F331" t="e">
        <f ca="1"/>
        <v>#N/A</v>
      </c>
      <c r="G331" t="e">
        <f ca="1"/>
        <v>#N/A</v>
      </c>
      <c r="H331" t="e">
        <f ca="1"/>
        <v>#N/A</v>
      </c>
      <c r="I331" t="e">
        <f ca="1"/>
        <v>#N/A</v>
      </c>
      <c r="J331" t="e">
        <f ca="1"/>
        <v>#N/A</v>
      </c>
      <c r="K331" s="49" t="e">
        <f ca="1"/>
        <v>#N/A</v>
      </c>
    </row>
    <row r="332" spans="1:11" x14ac:dyDescent="0.25">
      <c r="A332" s="2" t="e">
        <f ca="1"/>
        <v>#N/A</v>
      </c>
      <c r="C332" t="e">
        <f ca="1"/>
        <v>#N/A</v>
      </c>
      <c r="D332" t="e">
        <f ca="1"/>
        <v>#N/A</v>
      </c>
      <c r="E332" t="e">
        <f ca="1"/>
        <v>#N/A</v>
      </c>
      <c r="F332" t="e">
        <f ca="1"/>
        <v>#N/A</v>
      </c>
      <c r="G332" t="e">
        <f ca="1"/>
        <v>#N/A</v>
      </c>
      <c r="H332" t="e">
        <f ca="1"/>
        <v>#N/A</v>
      </c>
      <c r="I332" t="e">
        <f ca="1"/>
        <v>#N/A</v>
      </c>
      <c r="J332" t="e">
        <f ca="1"/>
        <v>#N/A</v>
      </c>
      <c r="K332" s="49" t="e">
        <f ca="1"/>
        <v>#N/A</v>
      </c>
    </row>
    <row r="333" spans="1:11" x14ac:dyDescent="0.25">
      <c r="A333" s="2" t="e">
        <f ca="1"/>
        <v>#N/A</v>
      </c>
      <c r="C333" t="e">
        <f ca="1"/>
        <v>#N/A</v>
      </c>
      <c r="D333" t="e">
        <f ca="1"/>
        <v>#N/A</v>
      </c>
      <c r="E333" t="e">
        <f ca="1"/>
        <v>#N/A</v>
      </c>
      <c r="F333" t="e">
        <f ca="1"/>
        <v>#N/A</v>
      </c>
      <c r="G333" t="e">
        <f ca="1"/>
        <v>#N/A</v>
      </c>
      <c r="H333" t="e">
        <f ca="1"/>
        <v>#N/A</v>
      </c>
      <c r="I333" t="e">
        <f ca="1"/>
        <v>#N/A</v>
      </c>
      <c r="J333" t="e">
        <f ca="1"/>
        <v>#N/A</v>
      </c>
      <c r="K333" s="49" t="e">
        <f ca="1"/>
        <v>#N/A</v>
      </c>
    </row>
    <row r="334" spans="1:11" x14ac:dyDescent="0.25">
      <c r="A334" s="2" t="e">
        <f ca="1"/>
        <v>#N/A</v>
      </c>
      <c r="C334" t="e">
        <f ca="1"/>
        <v>#N/A</v>
      </c>
      <c r="D334" t="e">
        <f ca="1"/>
        <v>#N/A</v>
      </c>
      <c r="E334" t="e">
        <f ca="1"/>
        <v>#N/A</v>
      </c>
      <c r="F334" t="e">
        <f ca="1"/>
        <v>#N/A</v>
      </c>
      <c r="G334" t="e">
        <f ca="1"/>
        <v>#N/A</v>
      </c>
      <c r="H334" t="e">
        <f ca="1"/>
        <v>#N/A</v>
      </c>
      <c r="I334" t="e">
        <f ca="1"/>
        <v>#N/A</v>
      </c>
      <c r="J334" t="e">
        <f ca="1"/>
        <v>#N/A</v>
      </c>
      <c r="K334" s="49" t="e">
        <f ca="1"/>
        <v>#N/A</v>
      </c>
    </row>
    <row r="335" spans="1:11" x14ac:dyDescent="0.25">
      <c r="A335" s="2" t="e">
        <f ca="1"/>
        <v>#N/A</v>
      </c>
      <c r="C335" t="e">
        <f ca="1"/>
        <v>#N/A</v>
      </c>
      <c r="D335" t="e">
        <f ca="1"/>
        <v>#N/A</v>
      </c>
      <c r="E335" t="e">
        <f ca="1"/>
        <v>#N/A</v>
      </c>
      <c r="F335" t="e">
        <f ca="1"/>
        <v>#N/A</v>
      </c>
      <c r="G335" t="e">
        <f ca="1"/>
        <v>#N/A</v>
      </c>
      <c r="H335" t="e">
        <f ca="1"/>
        <v>#N/A</v>
      </c>
      <c r="I335" t="e">
        <f ca="1"/>
        <v>#N/A</v>
      </c>
      <c r="J335" t="e">
        <f ca="1"/>
        <v>#N/A</v>
      </c>
      <c r="K335" s="49" t="e">
        <f ca="1"/>
        <v>#N/A</v>
      </c>
    </row>
    <row r="336" spans="1:11" x14ac:dyDescent="0.25">
      <c r="A336" s="2" t="e">
        <f ca="1"/>
        <v>#N/A</v>
      </c>
      <c r="C336" t="e">
        <f ca="1"/>
        <v>#N/A</v>
      </c>
      <c r="D336" t="e">
        <f ca="1"/>
        <v>#N/A</v>
      </c>
      <c r="E336" t="e">
        <f ca="1"/>
        <v>#N/A</v>
      </c>
      <c r="F336" t="e">
        <f ca="1"/>
        <v>#N/A</v>
      </c>
      <c r="G336" t="e">
        <f ca="1"/>
        <v>#N/A</v>
      </c>
      <c r="H336" t="e">
        <f ca="1"/>
        <v>#N/A</v>
      </c>
      <c r="I336" t="e">
        <f ca="1"/>
        <v>#N/A</v>
      </c>
      <c r="J336" t="e">
        <f ca="1"/>
        <v>#N/A</v>
      </c>
      <c r="K336" s="49" t="e">
        <f ca="1"/>
        <v>#N/A</v>
      </c>
    </row>
    <row r="337" spans="1:11" x14ac:dyDescent="0.25">
      <c r="A337" s="2" t="e">
        <f ca="1"/>
        <v>#N/A</v>
      </c>
      <c r="C337" t="e">
        <f ca="1"/>
        <v>#N/A</v>
      </c>
      <c r="D337" t="e">
        <f ca="1"/>
        <v>#N/A</v>
      </c>
      <c r="E337" t="e">
        <f ca="1"/>
        <v>#N/A</v>
      </c>
      <c r="F337" t="e">
        <f ca="1"/>
        <v>#N/A</v>
      </c>
      <c r="G337" t="e">
        <f ca="1"/>
        <v>#N/A</v>
      </c>
      <c r="H337" t="e">
        <f ca="1"/>
        <v>#N/A</v>
      </c>
      <c r="I337" t="e">
        <f ca="1"/>
        <v>#N/A</v>
      </c>
      <c r="J337" t="e">
        <f ca="1"/>
        <v>#N/A</v>
      </c>
      <c r="K337" s="49" t="e">
        <f ca="1"/>
        <v>#N/A</v>
      </c>
    </row>
    <row r="338" spans="1:11" x14ac:dyDescent="0.25">
      <c r="A338" s="2" t="e">
        <f ca="1"/>
        <v>#N/A</v>
      </c>
      <c r="C338" t="e">
        <f ca="1"/>
        <v>#N/A</v>
      </c>
      <c r="D338" t="e">
        <f ca="1"/>
        <v>#N/A</v>
      </c>
      <c r="E338" t="e">
        <f ca="1"/>
        <v>#N/A</v>
      </c>
      <c r="F338" t="e">
        <f ca="1"/>
        <v>#N/A</v>
      </c>
      <c r="G338" t="e">
        <f ca="1"/>
        <v>#N/A</v>
      </c>
      <c r="H338" t="e">
        <f ca="1"/>
        <v>#N/A</v>
      </c>
      <c r="I338" t="e">
        <f ca="1"/>
        <v>#N/A</v>
      </c>
      <c r="J338" t="e">
        <f ca="1"/>
        <v>#N/A</v>
      </c>
      <c r="K338" s="49" t="e">
        <f ca="1"/>
        <v>#N/A</v>
      </c>
    </row>
    <row r="339" spans="1:11" x14ac:dyDescent="0.25">
      <c r="A339" s="2" t="e">
        <f ca="1"/>
        <v>#N/A</v>
      </c>
      <c r="C339" t="e">
        <f ca="1"/>
        <v>#N/A</v>
      </c>
      <c r="D339" t="e">
        <f ca="1"/>
        <v>#N/A</v>
      </c>
      <c r="E339" t="e">
        <f ca="1"/>
        <v>#N/A</v>
      </c>
      <c r="F339" t="e">
        <f ca="1"/>
        <v>#N/A</v>
      </c>
      <c r="G339" t="e">
        <f ca="1"/>
        <v>#N/A</v>
      </c>
      <c r="H339" t="e">
        <f ca="1"/>
        <v>#N/A</v>
      </c>
      <c r="I339" t="e">
        <f ca="1"/>
        <v>#N/A</v>
      </c>
      <c r="J339" t="e">
        <f ca="1"/>
        <v>#N/A</v>
      </c>
      <c r="K339" s="49" t="e">
        <f ca="1"/>
        <v>#N/A</v>
      </c>
    </row>
    <row r="340" spans="1:11" x14ac:dyDescent="0.25">
      <c r="A340" s="2" t="e">
        <f ca="1"/>
        <v>#N/A</v>
      </c>
      <c r="C340" t="e">
        <f ca="1"/>
        <v>#N/A</v>
      </c>
      <c r="D340" t="e">
        <f ca="1"/>
        <v>#N/A</v>
      </c>
      <c r="E340" t="e">
        <f ca="1"/>
        <v>#N/A</v>
      </c>
      <c r="F340" t="e">
        <f ca="1"/>
        <v>#N/A</v>
      </c>
      <c r="G340" t="e">
        <f ca="1"/>
        <v>#N/A</v>
      </c>
      <c r="H340" t="e">
        <f ca="1"/>
        <v>#N/A</v>
      </c>
      <c r="I340" t="e">
        <f ca="1"/>
        <v>#N/A</v>
      </c>
      <c r="J340" t="e">
        <f ca="1"/>
        <v>#N/A</v>
      </c>
      <c r="K340" s="49" t="e">
        <f ca="1"/>
        <v>#N/A</v>
      </c>
    </row>
    <row r="341" spans="1:11" x14ac:dyDescent="0.25">
      <c r="A341" s="2" t="e">
        <f ca="1"/>
        <v>#N/A</v>
      </c>
      <c r="C341" t="e">
        <f ca="1"/>
        <v>#N/A</v>
      </c>
      <c r="D341" t="e">
        <f ca="1"/>
        <v>#N/A</v>
      </c>
      <c r="E341" t="e">
        <f ca="1"/>
        <v>#N/A</v>
      </c>
      <c r="F341" t="e">
        <f ca="1"/>
        <v>#N/A</v>
      </c>
      <c r="G341" t="e">
        <f ca="1"/>
        <v>#N/A</v>
      </c>
      <c r="H341" t="e">
        <f ca="1"/>
        <v>#N/A</v>
      </c>
      <c r="I341" t="e">
        <f ca="1"/>
        <v>#N/A</v>
      </c>
      <c r="J341" t="e">
        <f ca="1"/>
        <v>#N/A</v>
      </c>
      <c r="K341" s="49" t="e">
        <f ca="1"/>
        <v>#N/A</v>
      </c>
    </row>
    <row r="342" spans="1:11" x14ac:dyDescent="0.25">
      <c r="A342" s="2" t="e">
        <f ca="1"/>
        <v>#N/A</v>
      </c>
      <c r="C342" t="e">
        <f ca="1"/>
        <v>#N/A</v>
      </c>
      <c r="D342" t="e">
        <f ca="1"/>
        <v>#N/A</v>
      </c>
      <c r="E342" t="e">
        <f ca="1"/>
        <v>#N/A</v>
      </c>
      <c r="F342" t="e">
        <f ca="1"/>
        <v>#N/A</v>
      </c>
      <c r="G342" t="e">
        <f ca="1"/>
        <v>#N/A</v>
      </c>
      <c r="H342" t="e">
        <f ca="1"/>
        <v>#N/A</v>
      </c>
      <c r="I342" t="e">
        <f ca="1"/>
        <v>#N/A</v>
      </c>
      <c r="J342" t="e">
        <f ca="1"/>
        <v>#N/A</v>
      </c>
      <c r="K342" s="49" t="e">
        <f ca="1"/>
        <v>#N/A</v>
      </c>
    </row>
    <row r="343" spans="1:11" x14ac:dyDescent="0.25">
      <c r="A343" s="2" t="e">
        <f ca="1"/>
        <v>#N/A</v>
      </c>
      <c r="C343" t="e">
        <f ca="1"/>
        <v>#N/A</v>
      </c>
      <c r="D343" t="e">
        <f ca="1"/>
        <v>#N/A</v>
      </c>
      <c r="E343" t="e">
        <f ca="1"/>
        <v>#N/A</v>
      </c>
      <c r="F343" t="e">
        <f ca="1"/>
        <v>#N/A</v>
      </c>
      <c r="G343" t="e">
        <f ca="1"/>
        <v>#N/A</v>
      </c>
      <c r="H343" t="e">
        <f ca="1"/>
        <v>#N/A</v>
      </c>
      <c r="I343" t="e">
        <f ca="1"/>
        <v>#N/A</v>
      </c>
      <c r="J343" t="e">
        <f ca="1"/>
        <v>#N/A</v>
      </c>
      <c r="K343" s="49" t="e">
        <f ca="1"/>
        <v>#N/A</v>
      </c>
    </row>
    <row r="344" spans="1:11" x14ac:dyDescent="0.25">
      <c r="A344" s="2" t="e">
        <f ca="1"/>
        <v>#N/A</v>
      </c>
      <c r="C344" t="e">
        <f ca="1"/>
        <v>#N/A</v>
      </c>
      <c r="D344" t="e">
        <f ca="1"/>
        <v>#N/A</v>
      </c>
      <c r="E344" t="e">
        <f ca="1"/>
        <v>#N/A</v>
      </c>
      <c r="F344" t="e">
        <f ca="1"/>
        <v>#N/A</v>
      </c>
      <c r="G344" t="e">
        <f ca="1"/>
        <v>#N/A</v>
      </c>
      <c r="H344" t="e">
        <f ca="1"/>
        <v>#N/A</v>
      </c>
      <c r="I344" t="e">
        <f ca="1"/>
        <v>#N/A</v>
      </c>
      <c r="J344" t="e">
        <f ca="1"/>
        <v>#N/A</v>
      </c>
      <c r="K344" s="49" t="e">
        <f ca="1"/>
        <v>#N/A</v>
      </c>
    </row>
    <row r="345" spans="1:11" x14ac:dyDescent="0.25">
      <c r="A345" s="2" t="e">
        <f ca="1"/>
        <v>#N/A</v>
      </c>
      <c r="C345" t="e">
        <f ca="1"/>
        <v>#N/A</v>
      </c>
      <c r="D345" t="e">
        <f ca="1"/>
        <v>#N/A</v>
      </c>
      <c r="E345" t="e">
        <f ca="1"/>
        <v>#N/A</v>
      </c>
      <c r="F345" t="e">
        <f ca="1"/>
        <v>#N/A</v>
      </c>
      <c r="G345" t="e">
        <f ca="1"/>
        <v>#N/A</v>
      </c>
      <c r="H345" t="e">
        <f ca="1"/>
        <v>#N/A</v>
      </c>
      <c r="I345" t="e">
        <f ca="1"/>
        <v>#N/A</v>
      </c>
      <c r="J345" t="e">
        <f ca="1"/>
        <v>#N/A</v>
      </c>
      <c r="K345" s="49" t="e">
        <f ca="1"/>
        <v>#N/A</v>
      </c>
    </row>
    <row r="346" spans="1:11" x14ac:dyDescent="0.25">
      <c r="A346" s="2" t="e">
        <f ca="1"/>
        <v>#N/A</v>
      </c>
      <c r="C346" t="e">
        <f ca="1"/>
        <v>#N/A</v>
      </c>
      <c r="D346" t="e">
        <f ca="1"/>
        <v>#N/A</v>
      </c>
      <c r="E346" t="e">
        <f ca="1"/>
        <v>#N/A</v>
      </c>
      <c r="F346" t="e">
        <f ca="1"/>
        <v>#N/A</v>
      </c>
      <c r="G346" t="e">
        <f ca="1"/>
        <v>#N/A</v>
      </c>
      <c r="H346" t="e">
        <f ca="1"/>
        <v>#N/A</v>
      </c>
      <c r="I346" t="e">
        <f ca="1"/>
        <v>#N/A</v>
      </c>
      <c r="J346" t="e">
        <f ca="1"/>
        <v>#N/A</v>
      </c>
      <c r="K346" s="49" t="e">
        <f ca="1"/>
        <v>#N/A</v>
      </c>
    </row>
    <row r="347" spans="1:11" x14ac:dyDescent="0.25">
      <c r="A347" s="2" t="e">
        <f ca="1"/>
        <v>#N/A</v>
      </c>
      <c r="C347" t="e">
        <f ca="1"/>
        <v>#N/A</v>
      </c>
      <c r="D347" t="e">
        <f ca="1"/>
        <v>#N/A</v>
      </c>
      <c r="E347" t="e">
        <f ca="1"/>
        <v>#N/A</v>
      </c>
      <c r="F347" t="e">
        <f ca="1"/>
        <v>#N/A</v>
      </c>
      <c r="G347" t="e">
        <f ca="1"/>
        <v>#N/A</v>
      </c>
      <c r="H347" t="e">
        <f ca="1"/>
        <v>#N/A</v>
      </c>
      <c r="I347" t="e">
        <f ca="1"/>
        <v>#N/A</v>
      </c>
      <c r="J347" t="e">
        <f ca="1"/>
        <v>#N/A</v>
      </c>
      <c r="K347" s="49" t="e">
        <f ca="1"/>
        <v>#N/A</v>
      </c>
    </row>
    <row r="348" spans="1:11" x14ac:dyDescent="0.25">
      <c r="A348" s="2" t="e">
        <f ca="1"/>
        <v>#N/A</v>
      </c>
      <c r="C348" t="e">
        <f ca="1"/>
        <v>#N/A</v>
      </c>
      <c r="D348" t="e">
        <f ca="1"/>
        <v>#N/A</v>
      </c>
      <c r="E348" t="e">
        <f ca="1"/>
        <v>#N/A</v>
      </c>
      <c r="F348" t="e">
        <f ca="1"/>
        <v>#N/A</v>
      </c>
      <c r="G348" t="e">
        <f ca="1"/>
        <v>#N/A</v>
      </c>
      <c r="H348" t="e">
        <f ca="1"/>
        <v>#N/A</v>
      </c>
      <c r="I348" t="e">
        <f ca="1"/>
        <v>#N/A</v>
      </c>
      <c r="J348" t="e">
        <f ca="1"/>
        <v>#N/A</v>
      </c>
      <c r="K348" s="49" t="e">
        <f ca="1"/>
        <v>#N/A</v>
      </c>
    </row>
    <row r="349" spans="1:11" x14ac:dyDescent="0.25">
      <c r="A349" s="2" t="e">
        <f ca="1"/>
        <v>#N/A</v>
      </c>
      <c r="C349" t="e">
        <f ca="1"/>
        <v>#N/A</v>
      </c>
      <c r="D349" t="e">
        <f ca="1"/>
        <v>#N/A</v>
      </c>
      <c r="E349" t="e">
        <f ca="1"/>
        <v>#N/A</v>
      </c>
      <c r="F349" t="e">
        <f ca="1"/>
        <v>#N/A</v>
      </c>
      <c r="G349" t="e">
        <f ca="1"/>
        <v>#N/A</v>
      </c>
      <c r="H349" t="e">
        <f ca="1"/>
        <v>#N/A</v>
      </c>
      <c r="I349" t="e">
        <f ca="1"/>
        <v>#N/A</v>
      </c>
      <c r="J349" t="e">
        <f ca="1"/>
        <v>#N/A</v>
      </c>
      <c r="K349" s="49" t="e">
        <f ca="1"/>
        <v>#N/A</v>
      </c>
    </row>
    <row r="350" spans="1:11" x14ac:dyDescent="0.25">
      <c r="A350" s="2" t="e">
        <f ca="1"/>
        <v>#N/A</v>
      </c>
      <c r="C350" t="e">
        <f ca="1"/>
        <v>#N/A</v>
      </c>
      <c r="D350" t="e">
        <f ca="1"/>
        <v>#N/A</v>
      </c>
      <c r="E350" t="e">
        <f ca="1"/>
        <v>#N/A</v>
      </c>
      <c r="F350" t="e">
        <f ca="1"/>
        <v>#N/A</v>
      </c>
      <c r="G350" t="e">
        <f ca="1"/>
        <v>#N/A</v>
      </c>
      <c r="H350" t="e">
        <f ca="1"/>
        <v>#N/A</v>
      </c>
      <c r="I350" t="e">
        <f ca="1"/>
        <v>#N/A</v>
      </c>
      <c r="J350" t="e">
        <f ca="1"/>
        <v>#N/A</v>
      </c>
      <c r="K350" s="49" t="e">
        <f ca="1"/>
        <v>#N/A</v>
      </c>
    </row>
    <row r="351" spans="1:11" x14ac:dyDescent="0.25">
      <c r="A351" s="2" t="e">
        <f ca="1"/>
        <v>#N/A</v>
      </c>
      <c r="C351" t="e">
        <f ca="1"/>
        <v>#N/A</v>
      </c>
      <c r="D351" t="e">
        <f ca="1"/>
        <v>#N/A</v>
      </c>
      <c r="E351" t="e">
        <f ca="1"/>
        <v>#N/A</v>
      </c>
      <c r="F351" t="e">
        <f ca="1"/>
        <v>#N/A</v>
      </c>
      <c r="G351" t="e">
        <f ca="1"/>
        <v>#N/A</v>
      </c>
      <c r="H351" t="e">
        <f ca="1"/>
        <v>#N/A</v>
      </c>
      <c r="I351" t="e">
        <f ca="1"/>
        <v>#N/A</v>
      </c>
      <c r="J351" t="e">
        <f ca="1"/>
        <v>#N/A</v>
      </c>
      <c r="K351" s="49" t="e">
        <f ca="1"/>
        <v>#N/A</v>
      </c>
    </row>
    <row r="352" spans="1:11" x14ac:dyDescent="0.25">
      <c r="A352" s="2" t="e">
        <f ca="1"/>
        <v>#N/A</v>
      </c>
      <c r="C352" t="e">
        <f ca="1"/>
        <v>#N/A</v>
      </c>
      <c r="D352" t="e">
        <f ca="1"/>
        <v>#N/A</v>
      </c>
      <c r="E352" t="e">
        <f ca="1"/>
        <v>#N/A</v>
      </c>
      <c r="F352" t="e">
        <f ca="1"/>
        <v>#N/A</v>
      </c>
      <c r="G352" t="e">
        <f ca="1"/>
        <v>#N/A</v>
      </c>
      <c r="H352" t="e">
        <f ca="1"/>
        <v>#N/A</v>
      </c>
      <c r="I352" t="e">
        <f ca="1"/>
        <v>#N/A</v>
      </c>
      <c r="J352" t="e">
        <f ca="1"/>
        <v>#N/A</v>
      </c>
      <c r="K352" s="49" t="e">
        <f ca="1"/>
        <v>#N/A</v>
      </c>
    </row>
    <row r="353" spans="1:11" x14ac:dyDescent="0.25">
      <c r="A353" s="2" t="e">
        <f ca="1"/>
        <v>#N/A</v>
      </c>
      <c r="C353" t="e">
        <f ca="1"/>
        <v>#N/A</v>
      </c>
      <c r="D353" t="e">
        <f ca="1"/>
        <v>#N/A</v>
      </c>
      <c r="E353" t="e">
        <f ca="1"/>
        <v>#N/A</v>
      </c>
      <c r="F353" t="e">
        <f ca="1"/>
        <v>#N/A</v>
      </c>
      <c r="G353" t="e">
        <f ca="1"/>
        <v>#N/A</v>
      </c>
      <c r="H353" t="e">
        <f ca="1"/>
        <v>#N/A</v>
      </c>
      <c r="I353" t="e">
        <f ca="1"/>
        <v>#N/A</v>
      </c>
      <c r="J353" t="e">
        <f ca="1"/>
        <v>#N/A</v>
      </c>
      <c r="K353" s="49" t="e">
        <f ca="1"/>
        <v>#N/A</v>
      </c>
    </row>
    <row r="354" spans="1:11" x14ac:dyDescent="0.25">
      <c r="A354" s="2" t="e">
        <f ca="1"/>
        <v>#N/A</v>
      </c>
      <c r="C354" t="e">
        <f ca="1"/>
        <v>#N/A</v>
      </c>
      <c r="D354" t="e">
        <f ca="1"/>
        <v>#N/A</v>
      </c>
      <c r="E354" t="e">
        <f ca="1"/>
        <v>#N/A</v>
      </c>
      <c r="F354" t="e">
        <f ca="1"/>
        <v>#N/A</v>
      </c>
      <c r="G354" t="e">
        <f ca="1"/>
        <v>#N/A</v>
      </c>
      <c r="H354" t="e">
        <f ca="1"/>
        <v>#N/A</v>
      </c>
      <c r="I354" t="e">
        <f ca="1"/>
        <v>#N/A</v>
      </c>
      <c r="J354" t="e">
        <f ca="1"/>
        <v>#N/A</v>
      </c>
      <c r="K354" s="49" t="e">
        <f ca="1"/>
        <v>#N/A</v>
      </c>
    </row>
    <row r="355" spans="1:11" x14ac:dyDescent="0.25">
      <c r="A355" s="2" t="e">
        <f ca="1"/>
        <v>#N/A</v>
      </c>
      <c r="C355" t="e">
        <f ca="1"/>
        <v>#N/A</v>
      </c>
      <c r="D355" t="e">
        <f ca="1"/>
        <v>#N/A</v>
      </c>
      <c r="E355" t="e">
        <f ca="1"/>
        <v>#N/A</v>
      </c>
      <c r="F355" t="e">
        <f ca="1"/>
        <v>#N/A</v>
      </c>
      <c r="G355" t="e">
        <f ca="1"/>
        <v>#N/A</v>
      </c>
      <c r="H355" t="e">
        <f ca="1"/>
        <v>#N/A</v>
      </c>
      <c r="I355" t="e">
        <f ca="1"/>
        <v>#N/A</v>
      </c>
      <c r="J355" t="e">
        <f ca="1"/>
        <v>#N/A</v>
      </c>
      <c r="K355" s="49" t="e">
        <f ca="1"/>
        <v>#N/A</v>
      </c>
    </row>
    <row r="356" spans="1:11" x14ac:dyDescent="0.25">
      <c r="A356" s="2" t="e">
        <f ca="1"/>
        <v>#N/A</v>
      </c>
      <c r="C356" t="e">
        <f ca="1"/>
        <v>#N/A</v>
      </c>
      <c r="D356" t="e">
        <f ca="1"/>
        <v>#N/A</v>
      </c>
      <c r="E356" t="e">
        <f ca="1"/>
        <v>#N/A</v>
      </c>
      <c r="F356" t="e">
        <f ca="1"/>
        <v>#N/A</v>
      </c>
      <c r="G356" t="e">
        <f ca="1"/>
        <v>#N/A</v>
      </c>
      <c r="H356" t="e">
        <f ca="1"/>
        <v>#N/A</v>
      </c>
      <c r="I356" t="e">
        <f ca="1"/>
        <v>#N/A</v>
      </c>
      <c r="J356" t="e">
        <f ca="1"/>
        <v>#N/A</v>
      </c>
      <c r="K356" s="49" t="e">
        <f ca="1"/>
        <v>#N/A</v>
      </c>
    </row>
    <row r="357" spans="1:11" x14ac:dyDescent="0.25">
      <c r="A357" s="2" t="e">
        <f ca="1"/>
        <v>#N/A</v>
      </c>
      <c r="C357" t="e">
        <f ca="1"/>
        <v>#N/A</v>
      </c>
      <c r="D357" t="e">
        <f ca="1"/>
        <v>#N/A</v>
      </c>
      <c r="E357" t="e">
        <f ca="1"/>
        <v>#N/A</v>
      </c>
      <c r="F357" t="e">
        <f ca="1"/>
        <v>#N/A</v>
      </c>
      <c r="G357" t="e">
        <f ca="1"/>
        <v>#N/A</v>
      </c>
      <c r="H357" t="e">
        <f ca="1"/>
        <v>#N/A</v>
      </c>
      <c r="I357" t="e">
        <f ca="1"/>
        <v>#N/A</v>
      </c>
      <c r="J357" t="e">
        <f ca="1"/>
        <v>#N/A</v>
      </c>
      <c r="K357" s="49" t="e">
        <f ca="1"/>
        <v>#N/A</v>
      </c>
    </row>
    <row r="358" spans="1:11" x14ac:dyDescent="0.25">
      <c r="A358" s="2" t="e">
        <f ca="1"/>
        <v>#N/A</v>
      </c>
      <c r="C358" t="e">
        <f ca="1"/>
        <v>#N/A</v>
      </c>
      <c r="D358" t="e">
        <f ca="1"/>
        <v>#N/A</v>
      </c>
      <c r="E358" t="e">
        <f ca="1"/>
        <v>#N/A</v>
      </c>
      <c r="F358" t="e">
        <f ca="1"/>
        <v>#N/A</v>
      </c>
      <c r="G358" t="e">
        <f ca="1"/>
        <v>#N/A</v>
      </c>
      <c r="H358" t="e">
        <f ca="1"/>
        <v>#N/A</v>
      </c>
      <c r="I358" t="e">
        <f ca="1"/>
        <v>#N/A</v>
      </c>
      <c r="J358" t="e">
        <f ca="1"/>
        <v>#N/A</v>
      </c>
      <c r="K358" s="49" t="e">
        <f ca="1"/>
        <v>#N/A</v>
      </c>
    </row>
    <row r="359" spans="1:11" x14ac:dyDescent="0.25">
      <c r="A359" s="2" t="e">
        <f ca="1"/>
        <v>#N/A</v>
      </c>
      <c r="C359" t="e">
        <f ca="1"/>
        <v>#N/A</v>
      </c>
      <c r="D359" t="e">
        <f ca="1"/>
        <v>#N/A</v>
      </c>
      <c r="E359" t="e">
        <f ca="1"/>
        <v>#N/A</v>
      </c>
      <c r="F359" t="e">
        <f ca="1"/>
        <v>#N/A</v>
      </c>
      <c r="G359" t="e">
        <f ca="1"/>
        <v>#N/A</v>
      </c>
      <c r="H359" t="e">
        <f ca="1"/>
        <v>#N/A</v>
      </c>
      <c r="I359" t="e">
        <f ca="1"/>
        <v>#N/A</v>
      </c>
      <c r="J359" t="e">
        <f ca="1"/>
        <v>#N/A</v>
      </c>
      <c r="K359" s="49" t="e">
        <f ca="1"/>
        <v>#N/A</v>
      </c>
    </row>
    <row r="360" spans="1:11" x14ac:dyDescent="0.25">
      <c r="A360" s="2" t="e">
        <f ca="1"/>
        <v>#N/A</v>
      </c>
      <c r="C360" t="e">
        <f ca="1"/>
        <v>#N/A</v>
      </c>
      <c r="D360" t="e">
        <f ca="1"/>
        <v>#N/A</v>
      </c>
      <c r="E360" t="e">
        <f ca="1"/>
        <v>#N/A</v>
      </c>
      <c r="F360" t="e">
        <f ca="1"/>
        <v>#N/A</v>
      </c>
      <c r="G360" t="e">
        <f ca="1"/>
        <v>#N/A</v>
      </c>
      <c r="H360" t="e">
        <f ca="1"/>
        <v>#N/A</v>
      </c>
      <c r="I360" t="e">
        <f ca="1"/>
        <v>#N/A</v>
      </c>
      <c r="J360" t="e">
        <f ca="1"/>
        <v>#N/A</v>
      </c>
      <c r="K360" s="49" t="e">
        <f ca="1"/>
        <v>#N/A</v>
      </c>
    </row>
    <row r="361" spans="1:11" x14ac:dyDescent="0.25">
      <c r="A361" s="2" t="e">
        <f ca="1"/>
        <v>#N/A</v>
      </c>
      <c r="C361" t="e">
        <f ca="1"/>
        <v>#N/A</v>
      </c>
      <c r="D361" t="e">
        <f ca="1"/>
        <v>#N/A</v>
      </c>
      <c r="E361" t="e">
        <f ca="1"/>
        <v>#N/A</v>
      </c>
      <c r="F361" t="e">
        <f ca="1"/>
        <v>#N/A</v>
      </c>
      <c r="G361" t="e">
        <f ca="1"/>
        <v>#N/A</v>
      </c>
      <c r="H361" t="e">
        <f ca="1"/>
        <v>#N/A</v>
      </c>
      <c r="I361" t="e">
        <f ca="1"/>
        <v>#N/A</v>
      </c>
      <c r="J361" t="e">
        <f ca="1"/>
        <v>#N/A</v>
      </c>
      <c r="K361" s="49" t="e">
        <f ca="1"/>
        <v>#N/A</v>
      </c>
    </row>
    <row r="362" spans="1:11" x14ac:dyDescent="0.25">
      <c r="A362" s="2" t="e">
        <f ca="1"/>
        <v>#N/A</v>
      </c>
      <c r="C362" t="e">
        <f ca="1"/>
        <v>#N/A</v>
      </c>
      <c r="D362" t="e">
        <f ca="1"/>
        <v>#N/A</v>
      </c>
      <c r="E362" t="e">
        <f ca="1"/>
        <v>#N/A</v>
      </c>
      <c r="F362" t="e">
        <f ca="1"/>
        <v>#N/A</v>
      </c>
      <c r="G362" t="e">
        <f ca="1"/>
        <v>#N/A</v>
      </c>
      <c r="H362" t="e">
        <f ca="1"/>
        <v>#N/A</v>
      </c>
      <c r="I362" t="e">
        <f ca="1"/>
        <v>#N/A</v>
      </c>
      <c r="J362" t="e">
        <f ca="1"/>
        <v>#N/A</v>
      </c>
      <c r="K362" s="49" t="e">
        <f ca="1"/>
        <v>#N/A</v>
      </c>
    </row>
    <row r="363" spans="1:11" x14ac:dyDescent="0.25">
      <c r="A363" s="2" t="e">
        <f ca="1"/>
        <v>#N/A</v>
      </c>
      <c r="C363" t="e">
        <f ca="1"/>
        <v>#N/A</v>
      </c>
      <c r="D363" t="e">
        <f ca="1"/>
        <v>#N/A</v>
      </c>
      <c r="E363" t="e">
        <f ca="1"/>
        <v>#N/A</v>
      </c>
      <c r="F363" t="e">
        <f ca="1"/>
        <v>#N/A</v>
      </c>
      <c r="G363" t="e">
        <f ca="1"/>
        <v>#N/A</v>
      </c>
      <c r="H363" t="e">
        <f ca="1"/>
        <v>#N/A</v>
      </c>
      <c r="I363" t="e">
        <f ca="1"/>
        <v>#N/A</v>
      </c>
      <c r="J363" t="e">
        <f ca="1"/>
        <v>#N/A</v>
      </c>
      <c r="K363" s="49" t="e">
        <f ca="1"/>
        <v>#N/A</v>
      </c>
    </row>
    <row r="364" spans="1:11" x14ac:dyDescent="0.25">
      <c r="A364" s="2" t="e">
        <f ca="1"/>
        <v>#N/A</v>
      </c>
      <c r="C364" t="e">
        <f ca="1"/>
        <v>#N/A</v>
      </c>
      <c r="D364" t="e">
        <f ca="1"/>
        <v>#N/A</v>
      </c>
      <c r="E364" t="e">
        <f ca="1"/>
        <v>#N/A</v>
      </c>
      <c r="F364" t="e">
        <f ca="1"/>
        <v>#N/A</v>
      </c>
      <c r="G364" t="e">
        <f ca="1"/>
        <v>#N/A</v>
      </c>
      <c r="H364" t="e">
        <f ca="1"/>
        <v>#N/A</v>
      </c>
      <c r="I364" t="e">
        <f ca="1"/>
        <v>#N/A</v>
      </c>
      <c r="J364" t="e">
        <f ca="1"/>
        <v>#N/A</v>
      </c>
      <c r="K364" s="49" t="e">
        <f ca="1"/>
        <v>#N/A</v>
      </c>
    </row>
    <row r="365" spans="1:11" x14ac:dyDescent="0.25">
      <c r="A365" s="2" t="e">
        <f ca="1"/>
        <v>#N/A</v>
      </c>
      <c r="C365" t="e">
        <f ca="1"/>
        <v>#N/A</v>
      </c>
      <c r="D365" t="e">
        <f ca="1"/>
        <v>#N/A</v>
      </c>
      <c r="E365" t="e">
        <f ca="1"/>
        <v>#N/A</v>
      </c>
      <c r="F365" t="e">
        <f ca="1"/>
        <v>#N/A</v>
      </c>
      <c r="G365" t="e">
        <f ca="1"/>
        <v>#N/A</v>
      </c>
      <c r="H365" t="e">
        <f ca="1"/>
        <v>#N/A</v>
      </c>
      <c r="I365" t="e">
        <f ca="1"/>
        <v>#N/A</v>
      </c>
      <c r="J365" t="e">
        <f ca="1"/>
        <v>#N/A</v>
      </c>
      <c r="K365" s="49" t="e">
        <f ca="1"/>
        <v>#N/A</v>
      </c>
    </row>
    <row r="366" spans="1:11" x14ac:dyDescent="0.25">
      <c r="A366" s="2" t="e">
        <f ca="1"/>
        <v>#N/A</v>
      </c>
      <c r="C366" t="e">
        <f ca="1"/>
        <v>#N/A</v>
      </c>
      <c r="D366" t="e">
        <f ca="1"/>
        <v>#N/A</v>
      </c>
      <c r="E366" t="e">
        <f ca="1"/>
        <v>#N/A</v>
      </c>
      <c r="F366" t="e">
        <f ca="1"/>
        <v>#N/A</v>
      </c>
      <c r="G366" t="e">
        <f ca="1"/>
        <v>#N/A</v>
      </c>
      <c r="H366" t="e">
        <f ca="1"/>
        <v>#N/A</v>
      </c>
      <c r="I366" t="e">
        <f ca="1"/>
        <v>#N/A</v>
      </c>
      <c r="J366" t="e">
        <f ca="1"/>
        <v>#N/A</v>
      </c>
      <c r="K366" s="49" t="e">
        <f ca="1"/>
        <v>#N/A</v>
      </c>
    </row>
    <row r="367" spans="1:11" x14ac:dyDescent="0.25">
      <c r="A367" s="2" t="e">
        <f ca="1"/>
        <v>#N/A</v>
      </c>
      <c r="C367" t="e">
        <f ca="1"/>
        <v>#N/A</v>
      </c>
      <c r="D367" t="e">
        <f ca="1"/>
        <v>#N/A</v>
      </c>
      <c r="E367" t="e">
        <f ca="1"/>
        <v>#N/A</v>
      </c>
      <c r="F367" t="e">
        <f ca="1"/>
        <v>#N/A</v>
      </c>
      <c r="G367" t="e">
        <f ca="1"/>
        <v>#N/A</v>
      </c>
      <c r="H367" t="e">
        <f ca="1"/>
        <v>#N/A</v>
      </c>
      <c r="I367" t="e">
        <f ca="1"/>
        <v>#N/A</v>
      </c>
      <c r="J367" t="e">
        <f ca="1"/>
        <v>#N/A</v>
      </c>
      <c r="K367" s="49" t="e">
        <f ca="1"/>
        <v>#N/A</v>
      </c>
    </row>
    <row r="368" spans="1:11" x14ac:dyDescent="0.25">
      <c r="A368" s="2" t="e">
        <f ca="1"/>
        <v>#N/A</v>
      </c>
      <c r="C368" t="e">
        <f ca="1"/>
        <v>#N/A</v>
      </c>
      <c r="D368" t="e">
        <f ca="1"/>
        <v>#N/A</v>
      </c>
      <c r="E368" t="e">
        <f ca="1"/>
        <v>#N/A</v>
      </c>
      <c r="F368" t="e">
        <f ca="1"/>
        <v>#N/A</v>
      </c>
      <c r="G368" t="e">
        <f ca="1"/>
        <v>#N/A</v>
      </c>
      <c r="H368" t="e">
        <f ca="1"/>
        <v>#N/A</v>
      </c>
      <c r="I368" t="e">
        <f ca="1"/>
        <v>#N/A</v>
      </c>
      <c r="J368" t="e">
        <f ca="1"/>
        <v>#N/A</v>
      </c>
      <c r="K368" s="49" t="e">
        <f ca="1"/>
        <v>#N/A</v>
      </c>
    </row>
    <row r="369" spans="1:11" x14ac:dyDescent="0.25">
      <c r="A369" s="2" t="e">
        <f ca="1"/>
        <v>#N/A</v>
      </c>
      <c r="C369" t="e">
        <f ca="1"/>
        <v>#N/A</v>
      </c>
      <c r="D369" t="e">
        <f ca="1"/>
        <v>#N/A</v>
      </c>
      <c r="E369" t="e">
        <f ca="1"/>
        <v>#N/A</v>
      </c>
      <c r="F369" t="e">
        <f ca="1"/>
        <v>#N/A</v>
      </c>
      <c r="G369" t="e">
        <f ca="1"/>
        <v>#N/A</v>
      </c>
      <c r="H369" t="e">
        <f ca="1"/>
        <v>#N/A</v>
      </c>
      <c r="I369" t="e">
        <f ca="1"/>
        <v>#N/A</v>
      </c>
      <c r="J369" t="e">
        <f ca="1"/>
        <v>#N/A</v>
      </c>
      <c r="K369" s="49" t="e">
        <f ca="1"/>
        <v>#N/A</v>
      </c>
    </row>
    <row r="370" spans="1:11" x14ac:dyDescent="0.25">
      <c r="A370" s="2" t="e">
        <f ca="1"/>
        <v>#N/A</v>
      </c>
      <c r="C370" t="e">
        <f ca="1"/>
        <v>#N/A</v>
      </c>
      <c r="D370" t="e">
        <f ca="1"/>
        <v>#N/A</v>
      </c>
      <c r="E370" t="e">
        <f ca="1"/>
        <v>#N/A</v>
      </c>
      <c r="F370" t="e">
        <f ca="1"/>
        <v>#N/A</v>
      </c>
      <c r="G370" t="e">
        <f ca="1"/>
        <v>#N/A</v>
      </c>
      <c r="H370" t="e">
        <f ca="1"/>
        <v>#N/A</v>
      </c>
      <c r="I370" t="e">
        <f ca="1"/>
        <v>#N/A</v>
      </c>
      <c r="J370" t="e">
        <f ca="1"/>
        <v>#N/A</v>
      </c>
      <c r="K370" s="49" t="e">
        <f ca="1"/>
        <v>#N/A</v>
      </c>
    </row>
    <row r="371" spans="1:11" x14ac:dyDescent="0.25">
      <c r="A371" s="2" t="e">
        <f ca="1"/>
        <v>#N/A</v>
      </c>
      <c r="C371" t="e">
        <f ca="1"/>
        <v>#N/A</v>
      </c>
      <c r="D371" t="e">
        <f ca="1"/>
        <v>#N/A</v>
      </c>
      <c r="E371" t="e">
        <f ca="1"/>
        <v>#N/A</v>
      </c>
      <c r="F371" t="e">
        <f ca="1"/>
        <v>#N/A</v>
      </c>
      <c r="G371" t="e">
        <f ca="1"/>
        <v>#N/A</v>
      </c>
      <c r="H371" t="e">
        <f ca="1"/>
        <v>#N/A</v>
      </c>
      <c r="I371" t="e">
        <f ca="1"/>
        <v>#N/A</v>
      </c>
      <c r="J371" t="e">
        <f ca="1"/>
        <v>#N/A</v>
      </c>
      <c r="K371" s="49" t="e">
        <f ca="1"/>
        <v>#N/A</v>
      </c>
    </row>
    <row r="372" spans="1:11" x14ac:dyDescent="0.25">
      <c r="A372" s="2" t="e">
        <f ca="1"/>
        <v>#N/A</v>
      </c>
      <c r="C372" t="e">
        <f ca="1"/>
        <v>#N/A</v>
      </c>
      <c r="D372" t="e">
        <f ca="1"/>
        <v>#N/A</v>
      </c>
      <c r="E372" t="e">
        <f ca="1"/>
        <v>#N/A</v>
      </c>
      <c r="F372" t="e">
        <f ca="1"/>
        <v>#N/A</v>
      </c>
      <c r="G372" t="e">
        <f ca="1"/>
        <v>#N/A</v>
      </c>
      <c r="H372" t="e">
        <f ca="1"/>
        <v>#N/A</v>
      </c>
      <c r="I372" t="e">
        <f ca="1"/>
        <v>#N/A</v>
      </c>
      <c r="J372" t="e">
        <f ca="1"/>
        <v>#N/A</v>
      </c>
      <c r="K372" s="49" t="e">
        <f ca="1"/>
        <v>#N/A</v>
      </c>
    </row>
    <row r="373" spans="1:11" x14ac:dyDescent="0.25">
      <c r="A373" s="2" t="e">
        <f ca="1"/>
        <v>#N/A</v>
      </c>
      <c r="C373" t="e">
        <f ca="1"/>
        <v>#N/A</v>
      </c>
      <c r="D373" t="e">
        <f ca="1"/>
        <v>#N/A</v>
      </c>
      <c r="E373" t="e">
        <f ca="1"/>
        <v>#N/A</v>
      </c>
      <c r="F373" t="e">
        <f ca="1"/>
        <v>#N/A</v>
      </c>
      <c r="G373" t="e">
        <f ca="1"/>
        <v>#N/A</v>
      </c>
      <c r="H373" t="e">
        <f ca="1"/>
        <v>#N/A</v>
      </c>
      <c r="I373" t="e">
        <f ca="1"/>
        <v>#N/A</v>
      </c>
      <c r="J373" t="e">
        <f ca="1"/>
        <v>#N/A</v>
      </c>
      <c r="K373" s="49" t="e">
        <f ca="1"/>
        <v>#N/A</v>
      </c>
    </row>
    <row r="374" spans="1:11" x14ac:dyDescent="0.25">
      <c r="A374" s="2" t="e">
        <f ca="1"/>
        <v>#N/A</v>
      </c>
      <c r="C374" t="e">
        <f ca="1"/>
        <v>#N/A</v>
      </c>
      <c r="D374" t="e">
        <f ca="1"/>
        <v>#N/A</v>
      </c>
      <c r="E374" t="e">
        <f ca="1"/>
        <v>#N/A</v>
      </c>
      <c r="F374" t="e">
        <f ca="1"/>
        <v>#N/A</v>
      </c>
      <c r="G374" t="e">
        <f ca="1"/>
        <v>#N/A</v>
      </c>
      <c r="H374" t="e">
        <f ca="1"/>
        <v>#N/A</v>
      </c>
      <c r="I374" t="e">
        <f ca="1"/>
        <v>#N/A</v>
      </c>
      <c r="J374" t="e">
        <f ca="1"/>
        <v>#N/A</v>
      </c>
      <c r="K374" s="49" t="e">
        <f ca="1"/>
        <v>#N/A</v>
      </c>
    </row>
    <row r="375" spans="1:11" x14ac:dyDescent="0.25">
      <c r="A375" s="2" t="e">
        <f ca="1"/>
        <v>#N/A</v>
      </c>
      <c r="C375" t="e">
        <f ca="1"/>
        <v>#N/A</v>
      </c>
      <c r="D375" t="e">
        <f ca="1"/>
        <v>#N/A</v>
      </c>
      <c r="E375" t="e">
        <f ca="1"/>
        <v>#N/A</v>
      </c>
      <c r="F375" t="e">
        <f ca="1"/>
        <v>#N/A</v>
      </c>
      <c r="G375" t="e">
        <f ca="1"/>
        <v>#N/A</v>
      </c>
      <c r="H375" t="e">
        <f ca="1"/>
        <v>#N/A</v>
      </c>
      <c r="I375" t="e">
        <f ca="1"/>
        <v>#N/A</v>
      </c>
      <c r="J375" t="e">
        <f ca="1"/>
        <v>#N/A</v>
      </c>
      <c r="K375" s="49" t="e">
        <f ca="1"/>
        <v>#N/A</v>
      </c>
    </row>
    <row r="376" spans="1:11" x14ac:dyDescent="0.25">
      <c r="A376" s="2" t="e">
        <f ca="1"/>
        <v>#N/A</v>
      </c>
      <c r="C376" t="e">
        <f ca="1"/>
        <v>#N/A</v>
      </c>
      <c r="D376" t="e">
        <f ca="1"/>
        <v>#N/A</v>
      </c>
      <c r="E376" t="e">
        <f ca="1"/>
        <v>#N/A</v>
      </c>
      <c r="F376" t="e">
        <f ca="1"/>
        <v>#N/A</v>
      </c>
      <c r="G376" t="e">
        <f ca="1"/>
        <v>#N/A</v>
      </c>
      <c r="H376" t="e">
        <f ca="1"/>
        <v>#N/A</v>
      </c>
      <c r="I376" t="e">
        <f ca="1"/>
        <v>#N/A</v>
      </c>
      <c r="J376" t="e">
        <f ca="1"/>
        <v>#N/A</v>
      </c>
      <c r="K376" s="49" t="e">
        <f ca="1"/>
        <v>#N/A</v>
      </c>
    </row>
    <row r="377" spans="1:11" x14ac:dyDescent="0.25">
      <c r="A377" s="2" t="e">
        <f ca="1"/>
        <v>#N/A</v>
      </c>
      <c r="C377" t="e">
        <f ca="1"/>
        <v>#N/A</v>
      </c>
      <c r="D377" t="e">
        <f ca="1"/>
        <v>#N/A</v>
      </c>
      <c r="E377" t="e">
        <f ca="1"/>
        <v>#N/A</v>
      </c>
      <c r="F377" t="e">
        <f ca="1"/>
        <v>#N/A</v>
      </c>
      <c r="G377" t="e">
        <f ca="1"/>
        <v>#N/A</v>
      </c>
      <c r="H377" t="e">
        <f ca="1"/>
        <v>#N/A</v>
      </c>
      <c r="I377" t="e">
        <f ca="1"/>
        <v>#N/A</v>
      </c>
      <c r="J377" t="e">
        <f ca="1"/>
        <v>#N/A</v>
      </c>
      <c r="K377" s="49" t="e">
        <f ca="1"/>
        <v>#N/A</v>
      </c>
    </row>
    <row r="378" spans="1:11" x14ac:dyDescent="0.25">
      <c r="A378" s="2" t="e">
        <f ca="1"/>
        <v>#N/A</v>
      </c>
      <c r="C378" t="e">
        <f ca="1"/>
        <v>#N/A</v>
      </c>
      <c r="D378" t="e">
        <f ca="1"/>
        <v>#N/A</v>
      </c>
      <c r="E378" t="e">
        <f ca="1"/>
        <v>#N/A</v>
      </c>
      <c r="F378" t="e">
        <f ca="1"/>
        <v>#N/A</v>
      </c>
      <c r="G378" t="e">
        <f ca="1"/>
        <v>#N/A</v>
      </c>
      <c r="H378" t="e">
        <f ca="1"/>
        <v>#N/A</v>
      </c>
      <c r="I378" t="e">
        <f ca="1"/>
        <v>#N/A</v>
      </c>
      <c r="J378" t="e">
        <f ca="1"/>
        <v>#N/A</v>
      </c>
      <c r="K378" s="49" t="e">
        <f ca="1"/>
        <v>#N/A</v>
      </c>
    </row>
    <row r="379" spans="1:11" x14ac:dyDescent="0.25">
      <c r="A379" s="2" t="e">
        <f ca="1"/>
        <v>#N/A</v>
      </c>
      <c r="C379" t="e">
        <f ca="1"/>
        <v>#N/A</v>
      </c>
      <c r="D379" t="e">
        <f ca="1"/>
        <v>#N/A</v>
      </c>
      <c r="E379" t="e">
        <f ca="1"/>
        <v>#N/A</v>
      </c>
      <c r="F379" t="e">
        <f ca="1"/>
        <v>#N/A</v>
      </c>
      <c r="G379" t="e">
        <f ca="1"/>
        <v>#N/A</v>
      </c>
      <c r="H379" t="e">
        <f ca="1"/>
        <v>#N/A</v>
      </c>
      <c r="I379" t="e">
        <f ca="1"/>
        <v>#N/A</v>
      </c>
      <c r="J379" t="e">
        <f ca="1"/>
        <v>#N/A</v>
      </c>
      <c r="K379" s="49" t="e">
        <f ca="1"/>
        <v>#N/A</v>
      </c>
    </row>
    <row r="380" spans="1:11" x14ac:dyDescent="0.25">
      <c r="A380" s="2" t="e">
        <f ca="1"/>
        <v>#N/A</v>
      </c>
      <c r="C380" t="e">
        <f ca="1"/>
        <v>#N/A</v>
      </c>
      <c r="D380" t="e">
        <f ca="1"/>
        <v>#N/A</v>
      </c>
      <c r="E380" t="e">
        <f ca="1"/>
        <v>#N/A</v>
      </c>
      <c r="F380" t="e">
        <f ca="1"/>
        <v>#N/A</v>
      </c>
      <c r="G380" t="e">
        <f ca="1"/>
        <v>#N/A</v>
      </c>
      <c r="H380" t="e">
        <f ca="1"/>
        <v>#N/A</v>
      </c>
      <c r="I380" t="e">
        <f ca="1"/>
        <v>#N/A</v>
      </c>
      <c r="J380" t="e">
        <f ca="1"/>
        <v>#N/A</v>
      </c>
      <c r="K380" s="49" t="e">
        <f ca="1"/>
        <v>#N/A</v>
      </c>
    </row>
    <row r="381" spans="1:11" x14ac:dyDescent="0.25">
      <c r="A381" s="2" t="e">
        <f ca="1"/>
        <v>#N/A</v>
      </c>
      <c r="C381" t="e">
        <f ca="1"/>
        <v>#N/A</v>
      </c>
      <c r="D381" t="e">
        <f ca="1"/>
        <v>#N/A</v>
      </c>
      <c r="E381" t="e">
        <f ca="1"/>
        <v>#N/A</v>
      </c>
      <c r="F381" t="e">
        <f ca="1"/>
        <v>#N/A</v>
      </c>
      <c r="G381" t="e">
        <f ca="1"/>
        <v>#N/A</v>
      </c>
      <c r="H381" t="e">
        <f ca="1"/>
        <v>#N/A</v>
      </c>
      <c r="I381" t="e">
        <f ca="1"/>
        <v>#N/A</v>
      </c>
      <c r="J381" t="e">
        <f ca="1"/>
        <v>#N/A</v>
      </c>
      <c r="K381" s="49" t="e">
        <f ca="1"/>
        <v>#N/A</v>
      </c>
    </row>
    <row r="382" spans="1:11" x14ac:dyDescent="0.25">
      <c r="A382" s="2" t="e">
        <f ca="1"/>
        <v>#N/A</v>
      </c>
      <c r="C382" t="e">
        <f ca="1"/>
        <v>#N/A</v>
      </c>
      <c r="D382" t="e">
        <f ca="1"/>
        <v>#N/A</v>
      </c>
      <c r="E382" t="e">
        <f ca="1"/>
        <v>#N/A</v>
      </c>
      <c r="F382" t="e">
        <f ca="1"/>
        <v>#N/A</v>
      </c>
      <c r="G382" t="e">
        <f ca="1"/>
        <v>#N/A</v>
      </c>
      <c r="H382" t="e">
        <f ca="1"/>
        <v>#N/A</v>
      </c>
      <c r="I382" t="e">
        <f ca="1"/>
        <v>#N/A</v>
      </c>
      <c r="J382" t="e">
        <f ca="1"/>
        <v>#N/A</v>
      </c>
      <c r="K382" s="49" t="e">
        <f ca="1"/>
        <v>#N/A</v>
      </c>
    </row>
    <row r="383" spans="1:11" x14ac:dyDescent="0.25">
      <c r="A383" s="2" t="e">
        <f ca="1"/>
        <v>#N/A</v>
      </c>
      <c r="C383" t="e">
        <f ca="1"/>
        <v>#N/A</v>
      </c>
      <c r="D383" t="e">
        <f ca="1"/>
        <v>#N/A</v>
      </c>
      <c r="E383" t="e">
        <f ca="1"/>
        <v>#N/A</v>
      </c>
      <c r="F383" t="e">
        <f ca="1"/>
        <v>#N/A</v>
      </c>
      <c r="G383" t="e">
        <f ca="1"/>
        <v>#N/A</v>
      </c>
      <c r="H383" t="e">
        <f ca="1"/>
        <v>#N/A</v>
      </c>
      <c r="I383" t="e">
        <f ca="1"/>
        <v>#N/A</v>
      </c>
      <c r="J383" t="e">
        <f ca="1"/>
        <v>#N/A</v>
      </c>
      <c r="K383" s="49" t="e">
        <f ca="1"/>
        <v>#N/A</v>
      </c>
    </row>
    <row r="384" spans="1:11" x14ac:dyDescent="0.25">
      <c r="A384" s="2" t="e">
        <f ca="1"/>
        <v>#N/A</v>
      </c>
      <c r="C384" t="e">
        <f ca="1"/>
        <v>#N/A</v>
      </c>
      <c r="D384" t="e">
        <f ca="1"/>
        <v>#N/A</v>
      </c>
      <c r="E384" t="e">
        <f ca="1"/>
        <v>#N/A</v>
      </c>
      <c r="F384" t="e">
        <f ca="1"/>
        <v>#N/A</v>
      </c>
      <c r="G384" t="e">
        <f ca="1"/>
        <v>#N/A</v>
      </c>
      <c r="H384" t="e">
        <f ca="1"/>
        <v>#N/A</v>
      </c>
      <c r="I384" t="e">
        <f ca="1"/>
        <v>#N/A</v>
      </c>
      <c r="J384" t="e">
        <f ca="1"/>
        <v>#N/A</v>
      </c>
      <c r="K384" s="49" t="e">
        <f ca="1"/>
        <v>#N/A</v>
      </c>
    </row>
    <row r="385" spans="1:11" x14ac:dyDescent="0.25">
      <c r="A385" s="2" t="e">
        <f ca="1"/>
        <v>#N/A</v>
      </c>
      <c r="C385" t="e">
        <f ca="1"/>
        <v>#N/A</v>
      </c>
      <c r="D385" t="e">
        <f ca="1"/>
        <v>#N/A</v>
      </c>
      <c r="E385" t="e">
        <f ca="1"/>
        <v>#N/A</v>
      </c>
      <c r="F385" t="e">
        <f ca="1"/>
        <v>#N/A</v>
      </c>
      <c r="G385" t="e">
        <f ca="1"/>
        <v>#N/A</v>
      </c>
      <c r="H385" t="e">
        <f ca="1"/>
        <v>#N/A</v>
      </c>
      <c r="I385" t="e">
        <f ca="1"/>
        <v>#N/A</v>
      </c>
      <c r="J385" t="e">
        <f ca="1"/>
        <v>#N/A</v>
      </c>
      <c r="K385" s="49" t="e">
        <f ca="1"/>
        <v>#N/A</v>
      </c>
    </row>
    <row r="386" spans="1:11" x14ac:dyDescent="0.25">
      <c r="A386" s="2" t="e">
        <f ca="1"/>
        <v>#N/A</v>
      </c>
      <c r="C386" t="e">
        <f ca="1"/>
        <v>#N/A</v>
      </c>
      <c r="D386" t="e">
        <f ca="1"/>
        <v>#N/A</v>
      </c>
      <c r="E386" t="e">
        <f ca="1"/>
        <v>#N/A</v>
      </c>
      <c r="F386" t="e">
        <f ca="1"/>
        <v>#N/A</v>
      </c>
      <c r="G386" t="e">
        <f ca="1"/>
        <v>#N/A</v>
      </c>
      <c r="H386" t="e">
        <f ca="1"/>
        <v>#N/A</v>
      </c>
      <c r="I386" t="e">
        <f ca="1"/>
        <v>#N/A</v>
      </c>
      <c r="J386" t="e">
        <f ca="1"/>
        <v>#N/A</v>
      </c>
      <c r="K386" s="49" t="e">
        <f ca="1"/>
        <v>#N/A</v>
      </c>
    </row>
    <row r="387" spans="1:11" x14ac:dyDescent="0.25">
      <c r="A387" s="2" t="e">
        <f ca="1"/>
        <v>#N/A</v>
      </c>
      <c r="C387" t="e">
        <f ca="1"/>
        <v>#N/A</v>
      </c>
      <c r="D387" t="e">
        <f ca="1"/>
        <v>#N/A</v>
      </c>
      <c r="E387" t="e">
        <f ca="1"/>
        <v>#N/A</v>
      </c>
      <c r="F387" t="e">
        <f ca="1"/>
        <v>#N/A</v>
      </c>
      <c r="G387" t="e">
        <f ca="1"/>
        <v>#N/A</v>
      </c>
      <c r="H387" t="e">
        <f ca="1"/>
        <v>#N/A</v>
      </c>
      <c r="I387" t="e">
        <f ca="1"/>
        <v>#N/A</v>
      </c>
      <c r="J387" t="e">
        <f ca="1"/>
        <v>#N/A</v>
      </c>
      <c r="K387" s="49" t="e">
        <f ca="1"/>
        <v>#N/A</v>
      </c>
    </row>
    <row r="388" spans="1:11" x14ac:dyDescent="0.25">
      <c r="A388" s="2" t="e">
        <f ca="1"/>
        <v>#N/A</v>
      </c>
      <c r="C388" t="e">
        <f ca="1"/>
        <v>#N/A</v>
      </c>
      <c r="D388" t="e">
        <f ca="1"/>
        <v>#N/A</v>
      </c>
      <c r="E388" t="e">
        <f ca="1"/>
        <v>#N/A</v>
      </c>
      <c r="F388" t="e">
        <f ca="1"/>
        <v>#N/A</v>
      </c>
      <c r="G388" t="e">
        <f ca="1"/>
        <v>#N/A</v>
      </c>
      <c r="H388" t="e">
        <f ca="1"/>
        <v>#N/A</v>
      </c>
      <c r="I388" t="e">
        <f ca="1"/>
        <v>#N/A</v>
      </c>
      <c r="J388" t="e">
        <f ca="1"/>
        <v>#N/A</v>
      </c>
      <c r="K388" s="49" t="e">
        <f ca="1"/>
        <v>#N/A</v>
      </c>
    </row>
    <row r="389" spans="1:11" x14ac:dyDescent="0.25">
      <c r="A389" s="2" t="e">
        <f ca="1"/>
        <v>#N/A</v>
      </c>
      <c r="C389" t="e">
        <f ca="1"/>
        <v>#N/A</v>
      </c>
      <c r="D389" t="e">
        <f ca="1"/>
        <v>#N/A</v>
      </c>
      <c r="E389" t="e">
        <f ca="1"/>
        <v>#N/A</v>
      </c>
      <c r="F389" t="e">
        <f ca="1"/>
        <v>#N/A</v>
      </c>
      <c r="G389" t="e">
        <f ca="1"/>
        <v>#N/A</v>
      </c>
      <c r="H389" t="e">
        <f ca="1"/>
        <v>#N/A</v>
      </c>
      <c r="I389" t="e">
        <f ca="1"/>
        <v>#N/A</v>
      </c>
      <c r="J389" t="e">
        <f ca="1"/>
        <v>#N/A</v>
      </c>
      <c r="K389" s="49" t="e">
        <f ca="1"/>
        <v>#N/A</v>
      </c>
    </row>
    <row r="390" spans="1:11" x14ac:dyDescent="0.25">
      <c r="A390" s="2" t="e">
        <f ca="1"/>
        <v>#N/A</v>
      </c>
      <c r="C390" t="e">
        <f ca="1"/>
        <v>#N/A</v>
      </c>
      <c r="D390" t="e">
        <f ca="1"/>
        <v>#N/A</v>
      </c>
      <c r="E390" t="e">
        <f ca="1"/>
        <v>#N/A</v>
      </c>
      <c r="F390" t="e">
        <f ca="1"/>
        <v>#N/A</v>
      </c>
      <c r="G390" t="e">
        <f ca="1"/>
        <v>#N/A</v>
      </c>
      <c r="H390" t="e">
        <f ca="1"/>
        <v>#N/A</v>
      </c>
      <c r="I390" t="e">
        <f ca="1"/>
        <v>#N/A</v>
      </c>
      <c r="J390" t="e">
        <f ca="1"/>
        <v>#N/A</v>
      </c>
      <c r="K390" s="49" t="e">
        <f ca="1"/>
        <v>#N/A</v>
      </c>
    </row>
    <row r="391" spans="1:11" x14ac:dyDescent="0.25">
      <c r="A391" s="2" t="e">
        <f ca="1"/>
        <v>#N/A</v>
      </c>
      <c r="C391" t="e">
        <f ca="1"/>
        <v>#N/A</v>
      </c>
      <c r="D391" t="e">
        <f ca="1"/>
        <v>#N/A</v>
      </c>
      <c r="E391" t="e">
        <f ca="1"/>
        <v>#N/A</v>
      </c>
      <c r="F391" t="e">
        <f ca="1"/>
        <v>#N/A</v>
      </c>
      <c r="G391" t="e">
        <f ca="1"/>
        <v>#N/A</v>
      </c>
      <c r="H391" t="e">
        <f ca="1"/>
        <v>#N/A</v>
      </c>
      <c r="I391" t="e">
        <f ca="1"/>
        <v>#N/A</v>
      </c>
      <c r="J391" t="e">
        <f ca="1"/>
        <v>#N/A</v>
      </c>
      <c r="K391" s="49" t="e">
        <f ca="1"/>
        <v>#N/A</v>
      </c>
    </row>
    <row r="392" spans="1:11" x14ac:dyDescent="0.25">
      <c r="A392" s="2" t="e">
        <f ca="1"/>
        <v>#N/A</v>
      </c>
      <c r="C392" t="e">
        <f ca="1"/>
        <v>#N/A</v>
      </c>
      <c r="D392" t="e">
        <f ca="1"/>
        <v>#N/A</v>
      </c>
      <c r="E392" t="e">
        <f ca="1"/>
        <v>#N/A</v>
      </c>
      <c r="F392" t="e">
        <f ca="1"/>
        <v>#N/A</v>
      </c>
      <c r="G392" t="e">
        <f ca="1"/>
        <v>#N/A</v>
      </c>
      <c r="H392" t="e">
        <f ca="1"/>
        <v>#N/A</v>
      </c>
      <c r="I392" t="e">
        <f ca="1"/>
        <v>#N/A</v>
      </c>
      <c r="J392" t="e">
        <f ca="1"/>
        <v>#N/A</v>
      </c>
      <c r="K392" s="49" t="e">
        <f ca="1"/>
        <v>#N/A</v>
      </c>
    </row>
    <row r="393" spans="1:11" x14ac:dyDescent="0.25">
      <c r="A393" s="2" t="e">
        <f ca="1"/>
        <v>#N/A</v>
      </c>
      <c r="C393" t="e">
        <f ca="1"/>
        <v>#N/A</v>
      </c>
      <c r="D393" t="e">
        <f ca="1"/>
        <v>#N/A</v>
      </c>
      <c r="E393" t="e">
        <f ca="1"/>
        <v>#N/A</v>
      </c>
      <c r="F393" t="e">
        <f ca="1"/>
        <v>#N/A</v>
      </c>
      <c r="G393" t="e">
        <f ca="1"/>
        <v>#N/A</v>
      </c>
      <c r="H393" t="e">
        <f ca="1"/>
        <v>#N/A</v>
      </c>
      <c r="I393" t="e">
        <f ca="1"/>
        <v>#N/A</v>
      </c>
      <c r="J393" t="e">
        <f ca="1"/>
        <v>#N/A</v>
      </c>
      <c r="K393" s="49" t="e">
        <f ca="1"/>
        <v>#N/A</v>
      </c>
    </row>
    <row r="394" spans="1:11" x14ac:dyDescent="0.25">
      <c r="A394" s="2" t="e">
        <f ca="1"/>
        <v>#N/A</v>
      </c>
      <c r="C394" t="e">
        <f ca="1"/>
        <v>#N/A</v>
      </c>
      <c r="D394" t="e">
        <f ca="1"/>
        <v>#N/A</v>
      </c>
      <c r="E394" t="e">
        <f ca="1"/>
        <v>#N/A</v>
      </c>
      <c r="F394" t="e">
        <f ca="1"/>
        <v>#N/A</v>
      </c>
      <c r="G394" t="e">
        <f ca="1"/>
        <v>#N/A</v>
      </c>
      <c r="H394" t="e">
        <f ca="1"/>
        <v>#N/A</v>
      </c>
      <c r="I394" t="e">
        <f ca="1"/>
        <v>#N/A</v>
      </c>
      <c r="J394" t="e">
        <f ca="1"/>
        <v>#N/A</v>
      </c>
      <c r="K394" s="49" t="e">
        <f ca="1"/>
        <v>#N/A</v>
      </c>
    </row>
    <row r="395" spans="1:11" x14ac:dyDescent="0.25">
      <c r="A395" s="2" t="e">
        <f ca="1"/>
        <v>#N/A</v>
      </c>
      <c r="C395" t="e">
        <f ca="1"/>
        <v>#N/A</v>
      </c>
      <c r="D395" t="e">
        <f ca="1"/>
        <v>#N/A</v>
      </c>
      <c r="E395" t="e">
        <f ca="1"/>
        <v>#N/A</v>
      </c>
      <c r="F395" t="e">
        <f ca="1"/>
        <v>#N/A</v>
      </c>
      <c r="G395" t="e">
        <f ca="1"/>
        <v>#N/A</v>
      </c>
      <c r="H395" t="e">
        <f ca="1"/>
        <v>#N/A</v>
      </c>
      <c r="I395" t="e">
        <f ca="1"/>
        <v>#N/A</v>
      </c>
      <c r="J395" t="e">
        <f ca="1"/>
        <v>#N/A</v>
      </c>
      <c r="K395" s="49" t="e">
        <f ca="1"/>
        <v>#N/A</v>
      </c>
    </row>
    <row r="396" spans="1:11" x14ac:dyDescent="0.25">
      <c r="A396" s="2" t="e">
        <f ca="1"/>
        <v>#N/A</v>
      </c>
      <c r="C396" t="e">
        <f ca="1"/>
        <v>#N/A</v>
      </c>
      <c r="D396" t="e">
        <f ca="1"/>
        <v>#N/A</v>
      </c>
      <c r="E396" t="e">
        <f ca="1"/>
        <v>#N/A</v>
      </c>
      <c r="F396" t="e">
        <f ca="1"/>
        <v>#N/A</v>
      </c>
      <c r="G396" t="e">
        <f ca="1"/>
        <v>#N/A</v>
      </c>
      <c r="H396" t="e">
        <f ca="1"/>
        <v>#N/A</v>
      </c>
      <c r="I396" t="e">
        <f ca="1"/>
        <v>#N/A</v>
      </c>
      <c r="J396" t="e">
        <f ca="1"/>
        <v>#N/A</v>
      </c>
      <c r="K396" s="49" t="e">
        <f ca="1"/>
        <v>#N/A</v>
      </c>
    </row>
    <row r="397" spans="1:11" x14ac:dyDescent="0.25">
      <c r="A397" s="2" t="e">
        <f ca="1"/>
        <v>#N/A</v>
      </c>
      <c r="C397" t="e">
        <f ca="1"/>
        <v>#N/A</v>
      </c>
      <c r="D397" t="e">
        <f ca="1"/>
        <v>#N/A</v>
      </c>
      <c r="E397" t="e">
        <f ca="1"/>
        <v>#N/A</v>
      </c>
      <c r="F397" t="e">
        <f ca="1"/>
        <v>#N/A</v>
      </c>
      <c r="G397" t="e">
        <f ca="1"/>
        <v>#N/A</v>
      </c>
      <c r="H397" t="e">
        <f ca="1"/>
        <v>#N/A</v>
      </c>
      <c r="I397" t="e">
        <f ca="1"/>
        <v>#N/A</v>
      </c>
      <c r="J397" t="e">
        <f ca="1"/>
        <v>#N/A</v>
      </c>
      <c r="K397" s="49" t="e">
        <f ca="1"/>
        <v>#N/A</v>
      </c>
    </row>
    <row r="398" spans="1:11" x14ac:dyDescent="0.25">
      <c r="A398" s="2" t="e">
        <f ca="1"/>
        <v>#N/A</v>
      </c>
      <c r="C398" t="e">
        <f ca="1"/>
        <v>#N/A</v>
      </c>
      <c r="D398" t="e">
        <f ca="1"/>
        <v>#N/A</v>
      </c>
      <c r="E398" t="e">
        <f ca="1"/>
        <v>#N/A</v>
      </c>
      <c r="F398" t="e">
        <f ca="1"/>
        <v>#N/A</v>
      </c>
      <c r="G398" t="e">
        <f ca="1"/>
        <v>#N/A</v>
      </c>
      <c r="H398" t="e">
        <f ca="1"/>
        <v>#N/A</v>
      </c>
      <c r="I398" t="e">
        <f ca="1"/>
        <v>#N/A</v>
      </c>
      <c r="J398" t="e">
        <f ca="1"/>
        <v>#N/A</v>
      </c>
      <c r="K398" s="49" t="e">
        <f ca="1"/>
        <v>#N/A</v>
      </c>
    </row>
    <row r="399" spans="1:11" x14ac:dyDescent="0.25">
      <c r="A399" s="2" t="e">
        <f ca="1"/>
        <v>#N/A</v>
      </c>
      <c r="C399" t="e">
        <f ca="1"/>
        <v>#N/A</v>
      </c>
      <c r="D399" t="e">
        <f ca="1"/>
        <v>#N/A</v>
      </c>
      <c r="E399" t="e">
        <f ca="1"/>
        <v>#N/A</v>
      </c>
      <c r="F399" t="e">
        <f ca="1"/>
        <v>#N/A</v>
      </c>
      <c r="G399" t="e">
        <f ca="1"/>
        <v>#N/A</v>
      </c>
      <c r="H399" t="e">
        <f ca="1"/>
        <v>#N/A</v>
      </c>
      <c r="I399" t="e">
        <f ca="1"/>
        <v>#N/A</v>
      </c>
      <c r="J399" t="e">
        <f ca="1"/>
        <v>#N/A</v>
      </c>
      <c r="K399" s="49" t="e">
        <f ca="1"/>
        <v>#N/A</v>
      </c>
    </row>
    <row r="400" spans="1:11" x14ac:dyDescent="0.25">
      <c r="A400" s="2" t="e">
        <f ca="1"/>
        <v>#N/A</v>
      </c>
      <c r="C400" t="e">
        <f ca="1"/>
        <v>#N/A</v>
      </c>
      <c r="D400" t="e">
        <f ca="1"/>
        <v>#N/A</v>
      </c>
      <c r="E400" t="e">
        <f ca="1"/>
        <v>#N/A</v>
      </c>
      <c r="F400" t="e">
        <f ca="1"/>
        <v>#N/A</v>
      </c>
      <c r="G400" t="e">
        <f ca="1"/>
        <v>#N/A</v>
      </c>
      <c r="H400" t="e">
        <f ca="1"/>
        <v>#N/A</v>
      </c>
      <c r="I400" t="e">
        <f ca="1"/>
        <v>#N/A</v>
      </c>
      <c r="J400" t="e">
        <f ca="1"/>
        <v>#N/A</v>
      </c>
      <c r="K400" s="49" t="e">
        <f ca="1"/>
        <v>#N/A</v>
      </c>
    </row>
    <row r="401" spans="1:11" x14ac:dyDescent="0.25">
      <c r="A401" s="2" t="e">
        <f ca="1"/>
        <v>#N/A</v>
      </c>
      <c r="C401" t="e">
        <f ca="1"/>
        <v>#N/A</v>
      </c>
      <c r="D401" t="e">
        <f ca="1"/>
        <v>#N/A</v>
      </c>
      <c r="E401" t="e">
        <f ca="1"/>
        <v>#N/A</v>
      </c>
      <c r="F401" t="e">
        <f ca="1"/>
        <v>#N/A</v>
      </c>
      <c r="G401" t="e">
        <f ca="1"/>
        <v>#N/A</v>
      </c>
      <c r="H401" t="e">
        <f ca="1"/>
        <v>#N/A</v>
      </c>
      <c r="I401" t="e">
        <f ca="1"/>
        <v>#N/A</v>
      </c>
      <c r="J401" t="e">
        <f ca="1"/>
        <v>#N/A</v>
      </c>
      <c r="K401" s="49" t="e">
        <f ca="1"/>
        <v>#N/A</v>
      </c>
    </row>
    <row r="402" spans="1:11" x14ac:dyDescent="0.25">
      <c r="A402" s="2" t="e">
        <f ca="1"/>
        <v>#N/A</v>
      </c>
      <c r="C402" t="e">
        <f ca="1"/>
        <v>#N/A</v>
      </c>
      <c r="D402" t="e">
        <f ca="1"/>
        <v>#N/A</v>
      </c>
      <c r="E402" t="e">
        <f ca="1"/>
        <v>#N/A</v>
      </c>
      <c r="F402" t="e">
        <f ca="1"/>
        <v>#N/A</v>
      </c>
      <c r="G402" t="e">
        <f ca="1"/>
        <v>#N/A</v>
      </c>
      <c r="H402" t="e">
        <f ca="1"/>
        <v>#N/A</v>
      </c>
      <c r="I402" t="e">
        <f ca="1"/>
        <v>#N/A</v>
      </c>
      <c r="J402" t="e">
        <f ca="1"/>
        <v>#N/A</v>
      </c>
      <c r="K402" s="49" t="e">
        <f ca="1"/>
        <v>#N/A</v>
      </c>
    </row>
    <row r="403" spans="1:11" x14ac:dyDescent="0.25">
      <c r="A403" s="2" t="e">
        <f ca="1"/>
        <v>#N/A</v>
      </c>
      <c r="C403" t="e">
        <f ca="1"/>
        <v>#N/A</v>
      </c>
      <c r="D403" t="e">
        <f ca="1"/>
        <v>#N/A</v>
      </c>
      <c r="E403" t="e">
        <f ca="1"/>
        <v>#N/A</v>
      </c>
      <c r="F403" t="e">
        <f ca="1"/>
        <v>#N/A</v>
      </c>
      <c r="G403" t="e">
        <f ca="1"/>
        <v>#N/A</v>
      </c>
      <c r="H403" t="e">
        <f ca="1"/>
        <v>#N/A</v>
      </c>
      <c r="I403" t="e">
        <f ca="1"/>
        <v>#N/A</v>
      </c>
      <c r="J403" t="e">
        <f ca="1"/>
        <v>#N/A</v>
      </c>
      <c r="K403" s="49" t="e">
        <f ca="1"/>
        <v>#N/A</v>
      </c>
    </row>
    <row r="404" spans="1:11" x14ac:dyDescent="0.25">
      <c r="A404" s="2" t="e">
        <f ca="1"/>
        <v>#N/A</v>
      </c>
      <c r="C404" t="e">
        <f ca="1"/>
        <v>#N/A</v>
      </c>
      <c r="D404" t="e">
        <f ca="1"/>
        <v>#N/A</v>
      </c>
      <c r="E404" t="e">
        <f ca="1"/>
        <v>#N/A</v>
      </c>
      <c r="F404" t="e">
        <f ca="1"/>
        <v>#N/A</v>
      </c>
      <c r="G404" t="e">
        <f ca="1"/>
        <v>#N/A</v>
      </c>
      <c r="H404" t="e">
        <f ca="1"/>
        <v>#N/A</v>
      </c>
      <c r="I404" t="e">
        <f ca="1"/>
        <v>#N/A</v>
      </c>
      <c r="J404" t="e">
        <f ca="1"/>
        <v>#N/A</v>
      </c>
      <c r="K404" s="49" t="e">
        <f ca="1"/>
        <v>#N/A</v>
      </c>
    </row>
    <row r="405" spans="1:11" x14ac:dyDescent="0.25">
      <c r="A405" s="2" t="e">
        <f ca="1"/>
        <v>#N/A</v>
      </c>
      <c r="C405" t="e">
        <f ca="1"/>
        <v>#N/A</v>
      </c>
      <c r="D405" t="e">
        <f ca="1"/>
        <v>#N/A</v>
      </c>
      <c r="E405" t="e">
        <f ca="1"/>
        <v>#N/A</v>
      </c>
      <c r="F405" t="e">
        <f ca="1"/>
        <v>#N/A</v>
      </c>
      <c r="G405" t="e">
        <f ca="1"/>
        <v>#N/A</v>
      </c>
      <c r="H405" t="e">
        <f ca="1"/>
        <v>#N/A</v>
      </c>
      <c r="I405" t="e">
        <f ca="1"/>
        <v>#N/A</v>
      </c>
      <c r="J405" t="e">
        <f ca="1"/>
        <v>#N/A</v>
      </c>
      <c r="K405" s="49" t="e">
        <f ca="1"/>
        <v>#N/A</v>
      </c>
    </row>
    <row r="406" spans="1:11" x14ac:dyDescent="0.25">
      <c r="A406" s="2" t="e">
        <f ca="1"/>
        <v>#N/A</v>
      </c>
      <c r="C406" t="e">
        <f ca="1"/>
        <v>#N/A</v>
      </c>
      <c r="D406" t="e">
        <f ca="1"/>
        <v>#N/A</v>
      </c>
      <c r="E406" t="e">
        <f ca="1"/>
        <v>#N/A</v>
      </c>
      <c r="F406" t="e">
        <f ca="1"/>
        <v>#N/A</v>
      </c>
      <c r="G406" t="e">
        <f ca="1"/>
        <v>#N/A</v>
      </c>
      <c r="H406" t="e">
        <f ca="1"/>
        <v>#N/A</v>
      </c>
      <c r="I406" t="e">
        <f ca="1"/>
        <v>#N/A</v>
      </c>
      <c r="J406" t="e">
        <f ca="1"/>
        <v>#N/A</v>
      </c>
      <c r="K406" s="49" t="e">
        <f ca="1"/>
        <v>#N/A</v>
      </c>
    </row>
    <row r="407" spans="1:11" x14ac:dyDescent="0.25">
      <c r="A407" s="2" t="e">
        <f ca="1"/>
        <v>#N/A</v>
      </c>
      <c r="C407" t="e">
        <f ca="1"/>
        <v>#N/A</v>
      </c>
      <c r="D407" t="e">
        <f ca="1"/>
        <v>#N/A</v>
      </c>
      <c r="E407" t="e">
        <f ca="1"/>
        <v>#N/A</v>
      </c>
      <c r="F407" t="e">
        <f ca="1"/>
        <v>#N/A</v>
      </c>
      <c r="G407" t="e">
        <f ca="1"/>
        <v>#N/A</v>
      </c>
      <c r="H407" t="e">
        <f ca="1"/>
        <v>#N/A</v>
      </c>
      <c r="I407" t="e">
        <f ca="1"/>
        <v>#N/A</v>
      </c>
      <c r="J407" t="e">
        <f ca="1"/>
        <v>#N/A</v>
      </c>
      <c r="K407" s="49" t="e">
        <f ca="1"/>
        <v>#N/A</v>
      </c>
    </row>
    <row r="408" spans="1:11" x14ac:dyDescent="0.25">
      <c r="A408" s="2" t="e">
        <f ca="1"/>
        <v>#N/A</v>
      </c>
      <c r="C408" t="e">
        <f ca="1"/>
        <v>#N/A</v>
      </c>
      <c r="D408" t="e">
        <f ca="1"/>
        <v>#N/A</v>
      </c>
      <c r="E408" t="e">
        <f ca="1"/>
        <v>#N/A</v>
      </c>
      <c r="F408" t="e">
        <f ca="1"/>
        <v>#N/A</v>
      </c>
      <c r="G408" t="e">
        <f ca="1"/>
        <v>#N/A</v>
      </c>
      <c r="H408" t="e">
        <f ca="1"/>
        <v>#N/A</v>
      </c>
      <c r="I408" t="e">
        <f ca="1"/>
        <v>#N/A</v>
      </c>
      <c r="J408" t="e">
        <f ca="1"/>
        <v>#N/A</v>
      </c>
      <c r="K408" s="49" t="e">
        <f ca="1"/>
        <v>#N/A</v>
      </c>
    </row>
    <row r="409" spans="1:11" x14ac:dyDescent="0.25">
      <c r="A409" s="2" t="e">
        <f ca="1"/>
        <v>#N/A</v>
      </c>
      <c r="C409" t="e">
        <f ca="1"/>
        <v>#N/A</v>
      </c>
      <c r="D409" t="e">
        <f ca="1"/>
        <v>#N/A</v>
      </c>
      <c r="E409" t="e">
        <f ca="1"/>
        <v>#N/A</v>
      </c>
      <c r="F409" t="e">
        <f ca="1"/>
        <v>#N/A</v>
      </c>
      <c r="G409" t="e">
        <f ca="1"/>
        <v>#N/A</v>
      </c>
      <c r="H409" t="e">
        <f ca="1"/>
        <v>#N/A</v>
      </c>
      <c r="I409" t="e">
        <f ca="1"/>
        <v>#N/A</v>
      </c>
      <c r="J409" t="e">
        <f ca="1"/>
        <v>#N/A</v>
      </c>
      <c r="K409" s="49" t="e">
        <f ca="1"/>
        <v>#N/A</v>
      </c>
    </row>
    <row r="410" spans="1:11" x14ac:dyDescent="0.25">
      <c r="A410" s="2" t="e">
        <f ca="1"/>
        <v>#N/A</v>
      </c>
      <c r="C410" t="e">
        <f ca="1"/>
        <v>#N/A</v>
      </c>
      <c r="D410" t="e">
        <f ca="1"/>
        <v>#N/A</v>
      </c>
      <c r="E410" t="e">
        <f ca="1"/>
        <v>#N/A</v>
      </c>
      <c r="F410" t="e">
        <f ca="1"/>
        <v>#N/A</v>
      </c>
      <c r="G410" t="e">
        <f ca="1"/>
        <v>#N/A</v>
      </c>
      <c r="H410" t="e">
        <f ca="1"/>
        <v>#N/A</v>
      </c>
      <c r="I410" t="e">
        <f ca="1"/>
        <v>#N/A</v>
      </c>
      <c r="J410" t="e">
        <f ca="1"/>
        <v>#N/A</v>
      </c>
      <c r="K410" s="49" t="e">
        <f ca="1"/>
        <v>#N/A</v>
      </c>
    </row>
    <row r="411" spans="1:11" x14ac:dyDescent="0.25">
      <c r="A411" s="2" t="e">
        <f ca="1"/>
        <v>#N/A</v>
      </c>
      <c r="C411" t="e">
        <f ca="1"/>
        <v>#N/A</v>
      </c>
      <c r="D411" t="e">
        <f ca="1"/>
        <v>#N/A</v>
      </c>
      <c r="E411" t="e">
        <f ca="1"/>
        <v>#N/A</v>
      </c>
      <c r="F411" t="e">
        <f ca="1"/>
        <v>#N/A</v>
      </c>
      <c r="G411" t="e">
        <f ca="1"/>
        <v>#N/A</v>
      </c>
      <c r="H411" t="e">
        <f ca="1"/>
        <v>#N/A</v>
      </c>
      <c r="I411" t="e">
        <f ca="1"/>
        <v>#N/A</v>
      </c>
      <c r="J411" t="e">
        <f ca="1"/>
        <v>#N/A</v>
      </c>
      <c r="K411" s="49" t="e">
        <f ca="1"/>
        <v>#N/A</v>
      </c>
    </row>
    <row r="412" spans="1:11" x14ac:dyDescent="0.25">
      <c r="A412" s="2" t="e">
        <f ca="1"/>
        <v>#N/A</v>
      </c>
      <c r="C412" t="e">
        <f ca="1"/>
        <v>#N/A</v>
      </c>
      <c r="D412" t="e">
        <f ca="1"/>
        <v>#N/A</v>
      </c>
      <c r="E412" t="e">
        <f ca="1"/>
        <v>#N/A</v>
      </c>
      <c r="F412" t="e">
        <f ca="1"/>
        <v>#N/A</v>
      </c>
      <c r="G412" t="e">
        <f ca="1"/>
        <v>#N/A</v>
      </c>
      <c r="H412" t="e">
        <f ca="1"/>
        <v>#N/A</v>
      </c>
      <c r="I412" t="e">
        <f ca="1"/>
        <v>#N/A</v>
      </c>
      <c r="J412" t="e">
        <f ca="1"/>
        <v>#N/A</v>
      </c>
      <c r="K412" s="49" t="e">
        <f ca="1"/>
        <v>#N/A</v>
      </c>
    </row>
    <row r="413" spans="1:11" x14ac:dyDescent="0.25">
      <c r="A413" s="2" t="e">
        <f ca="1"/>
        <v>#N/A</v>
      </c>
      <c r="C413" t="e">
        <f ca="1"/>
        <v>#N/A</v>
      </c>
      <c r="D413" t="e">
        <f ca="1"/>
        <v>#N/A</v>
      </c>
      <c r="E413" t="e">
        <f ca="1"/>
        <v>#N/A</v>
      </c>
      <c r="F413" t="e">
        <f ca="1"/>
        <v>#N/A</v>
      </c>
      <c r="G413" t="e">
        <f ca="1"/>
        <v>#N/A</v>
      </c>
      <c r="H413" t="e">
        <f ca="1"/>
        <v>#N/A</v>
      </c>
      <c r="I413" t="e">
        <f ca="1"/>
        <v>#N/A</v>
      </c>
      <c r="J413" t="e">
        <f ca="1"/>
        <v>#N/A</v>
      </c>
      <c r="K413" s="49" t="e">
        <f ca="1"/>
        <v>#N/A</v>
      </c>
    </row>
    <row r="414" spans="1:11" x14ac:dyDescent="0.25">
      <c r="A414" s="2" t="e">
        <f ca="1"/>
        <v>#N/A</v>
      </c>
      <c r="C414" t="e">
        <f ca="1"/>
        <v>#N/A</v>
      </c>
      <c r="D414" t="e">
        <f ca="1"/>
        <v>#N/A</v>
      </c>
      <c r="E414" t="e">
        <f ca="1"/>
        <v>#N/A</v>
      </c>
      <c r="F414" t="e">
        <f ca="1"/>
        <v>#N/A</v>
      </c>
      <c r="G414" t="e">
        <f ca="1"/>
        <v>#N/A</v>
      </c>
      <c r="H414" t="e">
        <f ca="1"/>
        <v>#N/A</v>
      </c>
      <c r="I414" t="e">
        <f ca="1"/>
        <v>#N/A</v>
      </c>
      <c r="J414" t="e">
        <f ca="1"/>
        <v>#N/A</v>
      </c>
      <c r="K414" s="49" t="e">
        <f ca="1"/>
        <v>#N/A</v>
      </c>
    </row>
    <row r="415" spans="1:11" x14ac:dyDescent="0.25">
      <c r="A415" s="2" t="e">
        <f ca="1"/>
        <v>#N/A</v>
      </c>
      <c r="C415" t="e">
        <f ca="1"/>
        <v>#N/A</v>
      </c>
      <c r="D415" t="e">
        <f ca="1"/>
        <v>#N/A</v>
      </c>
      <c r="E415" t="e">
        <f ca="1"/>
        <v>#N/A</v>
      </c>
      <c r="F415" t="e">
        <f ca="1"/>
        <v>#N/A</v>
      </c>
      <c r="G415" t="e">
        <f ca="1"/>
        <v>#N/A</v>
      </c>
      <c r="H415" t="e">
        <f ca="1"/>
        <v>#N/A</v>
      </c>
      <c r="I415" t="e">
        <f ca="1"/>
        <v>#N/A</v>
      </c>
      <c r="J415" t="e">
        <f ca="1"/>
        <v>#N/A</v>
      </c>
      <c r="K415" s="49" t="e">
        <f ca="1"/>
        <v>#N/A</v>
      </c>
    </row>
    <row r="416" spans="1:11" x14ac:dyDescent="0.25">
      <c r="A416" s="2" t="e">
        <f ca="1"/>
        <v>#N/A</v>
      </c>
      <c r="C416" t="e">
        <f ca="1"/>
        <v>#N/A</v>
      </c>
      <c r="D416" t="e">
        <f ca="1"/>
        <v>#N/A</v>
      </c>
      <c r="E416" t="e">
        <f ca="1"/>
        <v>#N/A</v>
      </c>
      <c r="F416" t="e">
        <f ca="1"/>
        <v>#N/A</v>
      </c>
      <c r="G416" t="e">
        <f ca="1"/>
        <v>#N/A</v>
      </c>
      <c r="H416" t="e">
        <f ca="1"/>
        <v>#N/A</v>
      </c>
      <c r="I416" t="e">
        <f ca="1"/>
        <v>#N/A</v>
      </c>
      <c r="J416" t="e">
        <f ca="1"/>
        <v>#N/A</v>
      </c>
      <c r="K416" s="49" t="e">
        <f ca="1"/>
        <v>#N/A</v>
      </c>
    </row>
    <row r="417" spans="1:11" x14ac:dyDescent="0.25">
      <c r="A417" s="2" t="e">
        <f ca="1"/>
        <v>#N/A</v>
      </c>
      <c r="C417" t="e">
        <f ca="1"/>
        <v>#N/A</v>
      </c>
      <c r="D417" t="e">
        <f ca="1"/>
        <v>#N/A</v>
      </c>
      <c r="E417" t="e">
        <f ca="1"/>
        <v>#N/A</v>
      </c>
      <c r="F417" t="e">
        <f ca="1"/>
        <v>#N/A</v>
      </c>
      <c r="G417" t="e">
        <f ca="1"/>
        <v>#N/A</v>
      </c>
      <c r="H417" t="e">
        <f ca="1"/>
        <v>#N/A</v>
      </c>
      <c r="I417" t="e">
        <f ca="1"/>
        <v>#N/A</v>
      </c>
      <c r="J417" t="e">
        <f ca="1"/>
        <v>#N/A</v>
      </c>
      <c r="K417" s="49" t="e">
        <f ca="1"/>
        <v>#N/A</v>
      </c>
    </row>
    <row r="418" spans="1:11" x14ac:dyDescent="0.25">
      <c r="A418" s="2" t="e">
        <f ca="1"/>
        <v>#N/A</v>
      </c>
      <c r="C418" t="e">
        <f ca="1"/>
        <v>#N/A</v>
      </c>
      <c r="D418" t="e">
        <f ca="1"/>
        <v>#N/A</v>
      </c>
      <c r="E418" t="e">
        <f ca="1"/>
        <v>#N/A</v>
      </c>
      <c r="F418" t="e">
        <f ca="1"/>
        <v>#N/A</v>
      </c>
      <c r="G418" t="e">
        <f ca="1"/>
        <v>#N/A</v>
      </c>
      <c r="H418" t="e">
        <f ca="1"/>
        <v>#N/A</v>
      </c>
      <c r="I418" t="e">
        <f ca="1"/>
        <v>#N/A</v>
      </c>
      <c r="J418" t="e">
        <f ca="1"/>
        <v>#N/A</v>
      </c>
      <c r="K418" s="49" t="e">
        <f ca="1"/>
        <v>#N/A</v>
      </c>
    </row>
    <row r="419" spans="1:11" x14ac:dyDescent="0.25">
      <c r="A419" s="2" t="e">
        <f ca="1"/>
        <v>#N/A</v>
      </c>
      <c r="C419" t="e">
        <f ca="1"/>
        <v>#N/A</v>
      </c>
      <c r="D419" t="e">
        <f ca="1"/>
        <v>#N/A</v>
      </c>
      <c r="E419" t="e">
        <f ca="1"/>
        <v>#N/A</v>
      </c>
      <c r="F419" t="e">
        <f ca="1"/>
        <v>#N/A</v>
      </c>
      <c r="G419" t="e">
        <f ca="1"/>
        <v>#N/A</v>
      </c>
      <c r="H419" t="e">
        <f ca="1"/>
        <v>#N/A</v>
      </c>
      <c r="I419" t="e">
        <f ca="1"/>
        <v>#N/A</v>
      </c>
      <c r="J419" t="e">
        <f ca="1"/>
        <v>#N/A</v>
      </c>
      <c r="K419" s="49" t="e">
        <f ca="1"/>
        <v>#N/A</v>
      </c>
    </row>
    <row r="420" spans="1:11" x14ac:dyDescent="0.25">
      <c r="A420" s="2" t="e">
        <f ca="1"/>
        <v>#N/A</v>
      </c>
      <c r="C420" t="e">
        <f ca="1"/>
        <v>#N/A</v>
      </c>
      <c r="D420" t="e">
        <f ca="1"/>
        <v>#N/A</v>
      </c>
      <c r="E420" t="e">
        <f ca="1"/>
        <v>#N/A</v>
      </c>
      <c r="F420" t="e">
        <f ca="1"/>
        <v>#N/A</v>
      </c>
      <c r="G420" t="e">
        <f ca="1"/>
        <v>#N/A</v>
      </c>
      <c r="H420" t="e">
        <f ca="1"/>
        <v>#N/A</v>
      </c>
      <c r="I420" t="e">
        <f ca="1"/>
        <v>#N/A</v>
      </c>
      <c r="J420" t="e">
        <f ca="1"/>
        <v>#N/A</v>
      </c>
      <c r="K420" s="49" t="e">
        <f ca="1"/>
        <v>#N/A</v>
      </c>
    </row>
    <row r="421" spans="1:11" x14ac:dyDescent="0.25">
      <c r="A421" s="2" t="e">
        <f ca="1"/>
        <v>#N/A</v>
      </c>
      <c r="C421" t="e">
        <f ca="1"/>
        <v>#N/A</v>
      </c>
      <c r="D421" t="e">
        <f ca="1"/>
        <v>#N/A</v>
      </c>
      <c r="E421" t="e">
        <f ca="1"/>
        <v>#N/A</v>
      </c>
      <c r="F421" t="e">
        <f ca="1"/>
        <v>#N/A</v>
      </c>
      <c r="G421" t="e">
        <f ca="1"/>
        <v>#N/A</v>
      </c>
      <c r="H421" t="e">
        <f ca="1"/>
        <v>#N/A</v>
      </c>
      <c r="I421" t="e">
        <f ca="1"/>
        <v>#N/A</v>
      </c>
      <c r="J421" t="e">
        <f ca="1"/>
        <v>#N/A</v>
      </c>
      <c r="K421" s="49" t="e">
        <f ca="1"/>
        <v>#N/A</v>
      </c>
    </row>
    <row r="422" spans="1:11" x14ac:dyDescent="0.25">
      <c r="A422" s="2" t="e">
        <f ca="1"/>
        <v>#N/A</v>
      </c>
      <c r="C422" t="e">
        <f ca="1"/>
        <v>#N/A</v>
      </c>
      <c r="D422" t="e">
        <f ca="1"/>
        <v>#N/A</v>
      </c>
      <c r="E422" t="e">
        <f ca="1"/>
        <v>#N/A</v>
      </c>
      <c r="F422" t="e">
        <f ca="1"/>
        <v>#N/A</v>
      </c>
      <c r="G422" t="e">
        <f ca="1"/>
        <v>#N/A</v>
      </c>
      <c r="H422" t="e">
        <f ca="1"/>
        <v>#N/A</v>
      </c>
      <c r="I422" t="e">
        <f ca="1"/>
        <v>#N/A</v>
      </c>
      <c r="J422" t="e">
        <f ca="1"/>
        <v>#N/A</v>
      </c>
      <c r="K422" s="49" t="e">
        <f ca="1"/>
        <v>#N/A</v>
      </c>
    </row>
    <row r="423" spans="1:11" x14ac:dyDescent="0.25">
      <c r="A423" s="2" t="e">
        <f ca="1"/>
        <v>#N/A</v>
      </c>
      <c r="C423" t="e">
        <f ca="1"/>
        <v>#N/A</v>
      </c>
      <c r="D423" t="e">
        <f ca="1"/>
        <v>#N/A</v>
      </c>
      <c r="E423" t="e">
        <f ca="1"/>
        <v>#N/A</v>
      </c>
      <c r="F423" t="e">
        <f ca="1"/>
        <v>#N/A</v>
      </c>
      <c r="G423" t="e">
        <f ca="1"/>
        <v>#N/A</v>
      </c>
      <c r="H423" t="e">
        <f ca="1"/>
        <v>#N/A</v>
      </c>
      <c r="I423" t="e">
        <f ca="1"/>
        <v>#N/A</v>
      </c>
      <c r="J423" t="e">
        <f ca="1"/>
        <v>#N/A</v>
      </c>
      <c r="K423" s="49" t="e">
        <f ca="1"/>
        <v>#N/A</v>
      </c>
    </row>
    <row r="424" spans="1:11" x14ac:dyDescent="0.25">
      <c r="A424" s="2" t="e">
        <f ca="1"/>
        <v>#N/A</v>
      </c>
      <c r="C424" t="e">
        <f ca="1"/>
        <v>#N/A</v>
      </c>
      <c r="D424" t="e">
        <f ca="1"/>
        <v>#N/A</v>
      </c>
      <c r="E424" t="e">
        <f ca="1"/>
        <v>#N/A</v>
      </c>
      <c r="F424" t="e">
        <f ca="1"/>
        <v>#N/A</v>
      </c>
      <c r="G424" t="e">
        <f ca="1"/>
        <v>#N/A</v>
      </c>
      <c r="H424" t="e">
        <f ca="1"/>
        <v>#N/A</v>
      </c>
      <c r="I424" t="e">
        <f ca="1"/>
        <v>#N/A</v>
      </c>
      <c r="J424" t="e">
        <f ca="1"/>
        <v>#N/A</v>
      </c>
      <c r="K424" s="49" t="e">
        <f ca="1"/>
        <v>#N/A</v>
      </c>
    </row>
    <row r="425" spans="1:11" x14ac:dyDescent="0.25">
      <c r="A425" s="2" t="e">
        <f ca="1"/>
        <v>#N/A</v>
      </c>
      <c r="C425" t="e">
        <f ca="1"/>
        <v>#N/A</v>
      </c>
      <c r="D425" t="e">
        <f ca="1"/>
        <v>#N/A</v>
      </c>
      <c r="E425" t="e">
        <f ca="1"/>
        <v>#N/A</v>
      </c>
      <c r="F425" t="e">
        <f ca="1"/>
        <v>#N/A</v>
      </c>
      <c r="G425" t="e">
        <f ca="1"/>
        <v>#N/A</v>
      </c>
      <c r="H425" t="e">
        <f ca="1"/>
        <v>#N/A</v>
      </c>
      <c r="I425" t="e">
        <f ca="1"/>
        <v>#N/A</v>
      </c>
      <c r="J425" t="e">
        <f ca="1"/>
        <v>#N/A</v>
      </c>
      <c r="K425" s="49" t="e">
        <f ca="1"/>
        <v>#N/A</v>
      </c>
    </row>
    <row r="426" spans="1:11" x14ac:dyDescent="0.25">
      <c r="A426" s="2" t="e">
        <f ca="1"/>
        <v>#N/A</v>
      </c>
      <c r="C426" t="e">
        <f ca="1"/>
        <v>#N/A</v>
      </c>
      <c r="D426" t="e">
        <f ca="1"/>
        <v>#N/A</v>
      </c>
      <c r="E426" t="e">
        <f ca="1"/>
        <v>#N/A</v>
      </c>
      <c r="F426" t="e">
        <f ca="1"/>
        <v>#N/A</v>
      </c>
      <c r="G426" t="e">
        <f ca="1"/>
        <v>#N/A</v>
      </c>
      <c r="H426" t="e">
        <f ca="1"/>
        <v>#N/A</v>
      </c>
      <c r="I426" t="e">
        <f ca="1"/>
        <v>#N/A</v>
      </c>
      <c r="J426" t="e">
        <f ca="1"/>
        <v>#N/A</v>
      </c>
      <c r="K426" s="49" t="e">
        <f ca="1"/>
        <v>#N/A</v>
      </c>
    </row>
    <row r="427" spans="1:11" x14ac:dyDescent="0.25">
      <c r="A427" s="2" t="e">
        <f ca="1"/>
        <v>#N/A</v>
      </c>
      <c r="C427" t="e">
        <f ca="1"/>
        <v>#N/A</v>
      </c>
      <c r="D427" t="e">
        <f ca="1"/>
        <v>#N/A</v>
      </c>
      <c r="E427" t="e">
        <f ca="1"/>
        <v>#N/A</v>
      </c>
      <c r="F427" t="e">
        <f ca="1"/>
        <v>#N/A</v>
      </c>
      <c r="G427" t="e">
        <f ca="1"/>
        <v>#N/A</v>
      </c>
      <c r="H427" t="e">
        <f ca="1"/>
        <v>#N/A</v>
      </c>
      <c r="I427" t="e">
        <f ca="1"/>
        <v>#N/A</v>
      </c>
      <c r="J427" t="e">
        <f ca="1"/>
        <v>#N/A</v>
      </c>
      <c r="K427" s="49" t="e">
        <f ca="1"/>
        <v>#N/A</v>
      </c>
    </row>
    <row r="428" spans="1:11" x14ac:dyDescent="0.25">
      <c r="A428" s="2" t="e">
        <f ca="1"/>
        <v>#N/A</v>
      </c>
      <c r="C428" t="e">
        <f ca="1"/>
        <v>#N/A</v>
      </c>
      <c r="D428" t="e">
        <f ca="1"/>
        <v>#N/A</v>
      </c>
      <c r="E428" t="e">
        <f ca="1"/>
        <v>#N/A</v>
      </c>
      <c r="F428" t="e">
        <f ca="1"/>
        <v>#N/A</v>
      </c>
      <c r="G428" t="e">
        <f ca="1"/>
        <v>#N/A</v>
      </c>
      <c r="H428" t="e">
        <f ca="1"/>
        <v>#N/A</v>
      </c>
      <c r="I428" t="e">
        <f ca="1"/>
        <v>#N/A</v>
      </c>
      <c r="J428" t="e">
        <f ca="1"/>
        <v>#N/A</v>
      </c>
      <c r="K428" s="49" t="e">
        <f ca="1"/>
        <v>#N/A</v>
      </c>
    </row>
    <row r="429" spans="1:11" x14ac:dyDescent="0.25">
      <c r="A429" s="2" t="e">
        <f ca="1"/>
        <v>#N/A</v>
      </c>
      <c r="C429" t="e">
        <f ca="1"/>
        <v>#N/A</v>
      </c>
      <c r="D429" t="e">
        <f ca="1"/>
        <v>#N/A</v>
      </c>
      <c r="E429" t="e">
        <f ca="1"/>
        <v>#N/A</v>
      </c>
      <c r="F429" t="e">
        <f ca="1"/>
        <v>#N/A</v>
      </c>
      <c r="G429" t="e">
        <f ca="1"/>
        <v>#N/A</v>
      </c>
      <c r="H429" t="e">
        <f ca="1"/>
        <v>#N/A</v>
      </c>
      <c r="I429" t="e">
        <f ca="1"/>
        <v>#N/A</v>
      </c>
      <c r="J429" t="e">
        <f ca="1"/>
        <v>#N/A</v>
      </c>
      <c r="K429" s="49" t="e">
        <f ca="1"/>
        <v>#N/A</v>
      </c>
    </row>
    <row r="430" spans="1:11" x14ac:dyDescent="0.25">
      <c r="A430" s="2" t="e">
        <f ca="1"/>
        <v>#N/A</v>
      </c>
      <c r="C430" t="e">
        <f ca="1"/>
        <v>#N/A</v>
      </c>
      <c r="D430" t="e">
        <f ca="1"/>
        <v>#N/A</v>
      </c>
      <c r="E430" t="e">
        <f ca="1"/>
        <v>#N/A</v>
      </c>
      <c r="F430" t="e">
        <f ca="1"/>
        <v>#N/A</v>
      </c>
      <c r="G430" t="e">
        <f ca="1"/>
        <v>#N/A</v>
      </c>
      <c r="H430" t="e">
        <f ca="1"/>
        <v>#N/A</v>
      </c>
      <c r="I430" t="e">
        <f ca="1"/>
        <v>#N/A</v>
      </c>
      <c r="J430" t="e">
        <f ca="1"/>
        <v>#N/A</v>
      </c>
      <c r="K430" s="49" t="e">
        <f ca="1"/>
        <v>#N/A</v>
      </c>
    </row>
    <row r="431" spans="1:11" x14ac:dyDescent="0.25">
      <c r="A431" s="2" t="e">
        <f ca="1"/>
        <v>#N/A</v>
      </c>
      <c r="C431" t="e">
        <f ca="1"/>
        <v>#N/A</v>
      </c>
      <c r="D431" t="e">
        <f ca="1"/>
        <v>#N/A</v>
      </c>
      <c r="E431" t="e">
        <f ca="1"/>
        <v>#N/A</v>
      </c>
      <c r="F431" t="e">
        <f ca="1"/>
        <v>#N/A</v>
      </c>
      <c r="G431" t="e">
        <f ca="1"/>
        <v>#N/A</v>
      </c>
      <c r="H431" t="e">
        <f ca="1"/>
        <v>#N/A</v>
      </c>
      <c r="I431" t="e">
        <f ca="1"/>
        <v>#N/A</v>
      </c>
      <c r="J431" t="e">
        <f ca="1"/>
        <v>#N/A</v>
      </c>
      <c r="K431" s="49" t="e">
        <f ca="1"/>
        <v>#N/A</v>
      </c>
    </row>
    <row r="432" spans="1:11" x14ac:dyDescent="0.25">
      <c r="A432" s="2" t="e">
        <f ca="1"/>
        <v>#N/A</v>
      </c>
      <c r="C432" t="e">
        <f ca="1"/>
        <v>#N/A</v>
      </c>
      <c r="D432" t="e">
        <f ca="1"/>
        <v>#N/A</v>
      </c>
      <c r="E432" t="e">
        <f ca="1"/>
        <v>#N/A</v>
      </c>
      <c r="F432" t="e">
        <f ca="1"/>
        <v>#N/A</v>
      </c>
      <c r="G432" t="e">
        <f ca="1"/>
        <v>#N/A</v>
      </c>
      <c r="H432" t="e">
        <f ca="1"/>
        <v>#N/A</v>
      </c>
      <c r="I432" t="e">
        <f ca="1"/>
        <v>#N/A</v>
      </c>
      <c r="J432" t="e">
        <f ca="1"/>
        <v>#N/A</v>
      </c>
      <c r="K432" s="49" t="e">
        <f ca="1"/>
        <v>#N/A</v>
      </c>
    </row>
    <row r="433" spans="1:11" x14ac:dyDescent="0.25">
      <c r="A433" s="2" t="e">
        <f ca="1"/>
        <v>#N/A</v>
      </c>
      <c r="C433" t="e">
        <f ca="1"/>
        <v>#N/A</v>
      </c>
      <c r="D433" t="e">
        <f ca="1"/>
        <v>#N/A</v>
      </c>
      <c r="E433" t="e">
        <f ca="1"/>
        <v>#N/A</v>
      </c>
      <c r="F433" t="e">
        <f ca="1"/>
        <v>#N/A</v>
      </c>
      <c r="G433" t="e">
        <f ca="1"/>
        <v>#N/A</v>
      </c>
      <c r="H433" t="e">
        <f ca="1"/>
        <v>#N/A</v>
      </c>
      <c r="I433" t="e">
        <f ca="1"/>
        <v>#N/A</v>
      </c>
      <c r="J433" t="e">
        <f ca="1"/>
        <v>#N/A</v>
      </c>
      <c r="K433" s="49" t="e">
        <f ca="1"/>
        <v>#N/A</v>
      </c>
    </row>
    <row r="434" spans="1:11" x14ac:dyDescent="0.25">
      <c r="A434" s="2" t="e">
        <f ca="1"/>
        <v>#N/A</v>
      </c>
      <c r="C434" t="e">
        <f ca="1"/>
        <v>#N/A</v>
      </c>
      <c r="D434" t="e">
        <f ca="1"/>
        <v>#N/A</v>
      </c>
      <c r="E434" t="e">
        <f ca="1"/>
        <v>#N/A</v>
      </c>
      <c r="F434" t="e">
        <f ca="1"/>
        <v>#N/A</v>
      </c>
      <c r="G434" t="e">
        <f ca="1"/>
        <v>#N/A</v>
      </c>
      <c r="H434" t="e">
        <f ca="1"/>
        <v>#N/A</v>
      </c>
      <c r="I434" t="e">
        <f ca="1"/>
        <v>#N/A</v>
      </c>
      <c r="J434" t="e">
        <f ca="1"/>
        <v>#N/A</v>
      </c>
      <c r="K434" s="49" t="e">
        <f ca="1"/>
        <v>#N/A</v>
      </c>
    </row>
    <row r="435" spans="1:11" x14ac:dyDescent="0.25">
      <c r="A435" s="2" t="e">
        <f ca="1"/>
        <v>#N/A</v>
      </c>
      <c r="C435" t="e">
        <f ca="1"/>
        <v>#N/A</v>
      </c>
      <c r="D435" t="e">
        <f ca="1"/>
        <v>#N/A</v>
      </c>
      <c r="E435" t="e">
        <f ca="1"/>
        <v>#N/A</v>
      </c>
      <c r="F435" t="e">
        <f ca="1"/>
        <v>#N/A</v>
      </c>
      <c r="G435" t="e">
        <f ca="1"/>
        <v>#N/A</v>
      </c>
      <c r="H435" t="e">
        <f ca="1"/>
        <v>#N/A</v>
      </c>
      <c r="I435" t="e">
        <f ca="1"/>
        <v>#N/A</v>
      </c>
      <c r="J435" t="e">
        <f ca="1"/>
        <v>#N/A</v>
      </c>
      <c r="K435" s="49" t="e">
        <f ca="1"/>
        <v>#N/A</v>
      </c>
    </row>
    <row r="436" spans="1:11" x14ac:dyDescent="0.25">
      <c r="A436" s="2" t="e">
        <f ca="1"/>
        <v>#N/A</v>
      </c>
      <c r="C436" t="e">
        <f ca="1"/>
        <v>#N/A</v>
      </c>
      <c r="D436" t="e">
        <f ca="1"/>
        <v>#N/A</v>
      </c>
      <c r="E436" t="e">
        <f ca="1"/>
        <v>#N/A</v>
      </c>
      <c r="F436" t="e">
        <f ca="1"/>
        <v>#N/A</v>
      </c>
      <c r="G436" t="e">
        <f ca="1"/>
        <v>#N/A</v>
      </c>
      <c r="H436" t="e">
        <f ca="1"/>
        <v>#N/A</v>
      </c>
      <c r="I436" t="e">
        <f ca="1"/>
        <v>#N/A</v>
      </c>
      <c r="J436" t="e">
        <f ca="1"/>
        <v>#N/A</v>
      </c>
      <c r="K436" s="49" t="e">
        <f ca="1"/>
        <v>#N/A</v>
      </c>
    </row>
    <row r="437" spans="1:11" x14ac:dyDescent="0.25">
      <c r="A437" s="2" t="e">
        <f ca="1"/>
        <v>#N/A</v>
      </c>
      <c r="C437" t="e">
        <f ca="1"/>
        <v>#N/A</v>
      </c>
      <c r="D437" t="e">
        <f ca="1"/>
        <v>#N/A</v>
      </c>
      <c r="E437" t="e">
        <f ca="1"/>
        <v>#N/A</v>
      </c>
      <c r="F437" t="e">
        <f ca="1"/>
        <v>#N/A</v>
      </c>
      <c r="G437" t="e">
        <f ca="1"/>
        <v>#N/A</v>
      </c>
      <c r="H437" t="e">
        <f ca="1"/>
        <v>#N/A</v>
      </c>
      <c r="I437" t="e">
        <f ca="1"/>
        <v>#N/A</v>
      </c>
      <c r="J437" t="e">
        <f ca="1"/>
        <v>#N/A</v>
      </c>
      <c r="K437" s="49" t="e">
        <f ca="1"/>
        <v>#N/A</v>
      </c>
    </row>
    <row r="438" spans="1:11" x14ac:dyDescent="0.25">
      <c r="A438" s="2" t="e">
        <f ca="1"/>
        <v>#N/A</v>
      </c>
      <c r="C438" t="e">
        <f ca="1"/>
        <v>#N/A</v>
      </c>
      <c r="D438" t="e">
        <f ca="1"/>
        <v>#N/A</v>
      </c>
      <c r="E438" t="e">
        <f ca="1"/>
        <v>#N/A</v>
      </c>
      <c r="F438" t="e">
        <f ca="1"/>
        <v>#N/A</v>
      </c>
      <c r="G438" t="e">
        <f ca="1"/>
        <v>#N/A</v>
      </c>
      <c r="H438" t="e">
        <f ca="1"/>
        <v>#N/A</v>
      </c>
      <c r="I438" t="e">
        <f ca="1"/>
        <v>#N/A</v>
      </c>
      <c r="J438" t="e">
        <f ca="1"/>
        <v>#N/A</v>
      </c>
      <c r="K438" s="49" t="e">
        <f ca="1"/>
        <v>#N/A</v>
      </c>
    </row>
    <row r="439" spans="1:11" x14ac:dyDescent="0.25">
      <c r="A439" s="2" t="e">
        <f ca="1"/>
        <v>#N/A</v>
      </c>
      <c r="C439" t="e">
        <f ca="1"/>
        <v>#N/A</v>
      </c>
      <c r="D439" t="e">
        <f ca="1"/>
        <v>#N/A</v>
      </c>
      <c r="E439" t="e">
        <f ca="1"/>
        <v>#N/A</v>
      </c>
      <c r="F439" t="e">
        <f ca="1"/>
        <v>#N/A</v>
      </c>
      <c r="G439" t="e">
        <f ca="1"/>
        <v>#N/A</v>
      </c>
      <c r="H439" t="e">
        <f ca="1"/>
        <v>#N/A</v>
      </c>
      <c r="I439" t="e">
        <f ca="1"/>
        <v>#N/A</v>
      </c>
      <c r="J439" t="e">
        <f ca="1"/>
        <v>#N/A</v>
      </c>
      <c r="K439" s="49" t="e">
        <f ca="1"/>
        <v>#N/A</v>
      </c>
    </row>
    <row r="440" spans="1:11" x14ac:dyDescent="0.25">
      <c r="A440" s="2" t="e">
        <f ca="1"/>
        <v>#N/A</v>
      </c>
      <c r="C440" t="e">
        <f ca="1"/>
        <v>#N/A</v>
      </c>
      <c r="D440" t="e">
        <f ca="1"/>
        <v>#N/A</v>
      </c>
      <c r="E440" t="e">
        <f ca="1"/>
        <v>#N/A</v>
      </c>
      <c r="F440" t="e">
        <f ca="1"/>
        <v>#N/A</v>
      </c>
      <c r="G440" t="e">
        <f ca="1"/>
        <v>#N/A</v>
      </c>
      <c r="H440" t="e">
        <f ca="1"/>
        <v>#N/A</v>
      </c>
      <c r="I440" t="e">
        <f ca="1"/>
        <v>#N/A</v>
      </c>
      <c r="J440" t="e">
        <f ca="1"/>
        <v>#N/A</v>
      </c>
      <c r="K440" s="49" t="e">
        <f ca="1"/>
        <v>#N/A</v>
      </c>
    </row>
    <row r="441" spans="1:11" x14ac:dyDescent="0.25">
      <c r="A441" s="2" t="e">
        <f ca="1"/>
        <v>#N/A</v>
      </c>
      <c r="C441" t="e">
        <f ca="1"/>
        <v>#N/A</v>
      </c>
      <c r="D441" t="e">
        <f ca="1"/>
        <v>#N/A</v>
      </c>
      <c r="E441" t="e">
        <f ca="1"/>
        <v>#N/A</v>
      </c>
      <c r="F441" t="e">
        <f ca="1"/>
        <v>#N/A</v>
      </c>
      <c r="G441" t="e">
        <f ca="1"/>
        <v>#N/A</v>
      </c>
      <c r="H441" t="e">
        <f ca="1"/>
        <v>#N/A</v>
      </c>
      <c r="I441" t="e">
        <f ca="1"/>
        <v>#N/A</v>
      </c>
      <c r="J441" t="e">
        <f ca="1"/>
        <v>#N/A</v>
      </c>
      <c r="K441" s="49" t="e">
        <f ca="1"/>
        <v>#N/A</v>
      </c>
    </row>
    <row r="442" spans="1:11" x14ac:dyDescent="0.25">
      <c r="A442" s="2" t="e">
        <f ca="1"/>
        <v>#N/A</v>
      </c>
      <c r="C442" t="e">
        <f ca="1"/>
        <v>#N/A</v>
      </c>
      <c r="D442" t="e">
        <f ca="1"/>
        <v>#N/A</v>
      </c>
      <c r="E442" t="e">
        <f ca="1"/>
        <v>#N/A</v>
      </c>
      <c r="F442" t="e">
        <f ca="1"/>
        <v>#N/A</v>
      </c>
      <c r="G442" t="e">
        <f ca="1"/>
        <v>#N/A</v>
      </c>
      <c r="H442" t="e">
        <f ca="1"/>
        <v>#N/A</v>
      </c>
      <c r="I442" t="e">
        <f ca="1"/>
        <v>#N/A</v>
      </c>
      <c r="J442" t="e">
        <f ca="1"/>
        <v>#N/A</v>
      </c>
      <c r="K442" s="49" t="e">
        <f ca="1"/>
        <v>#N/A</v>
      </c>
    </row>
    <row r="443" spans="1:11" x14ac:dyDescent="0.25">
      <c r="A443" s="2" t="e">
        <f ca="1"/>
        <v>#N/A</v>
      </c>
      <c r="C443" t="e">
        <f ca="1"/>
        <v>#N/A</v>
      </c>
      <c r="D443" t="e">
        <f ca="1"/>
        <v>#N/A</v>
      </c>
      <c r="E443" t="e">
        <f ca="1"/>
        <v>#N/A</v>
      </c>
      <c r="F443" t="e">
        <f ca="1"/>
        <v>#N/A</v>
      </c>
      <c r="G443" t="e">
        <f ca="1"/>
        <v>#N/A</v>
      </c>
      <c r="H443" t="e">
        <f ca="1"/>
        <v>#N/A</v>
      </c>
      <c r="I443" t="e">
        <f ca="1"/>
        <v>#N/A</v>
      </c>
      <c r="J443" t="e">
        <f ca="1"/>
        <v>#N/A</v>
      </c>
      <c r="K443" s="49" t="e">
        <f ca="1"/>
        <v>#N/A</v>
      </c>
    </row>
    <row r="444" spans="1:11" x14ac:dyDescent="0.25">
      <c r="A444" s="2" t="e">
        <f ca="1"/>
        <v>#N/A</v>
      </c>
      <c r="C444" t="e">
        <f ca="1"/>
        <v>#N/A</v>
      </c>
      <c r="D444" t="e">
        <f ca="1"/>
        <v>#N/A</v>
      </c>
      <c r="E444" t="e">
        <f ca="1"/>
        <v>#N/A</v>
      </c>
      <c r="F444" t="e">
        <f ca="1"/>
        <v>#N/A</v>
      </c>
      <c r="G444" t="e">
        <f ca="1"/>
        <v>#N/A</v>
      </c>
      <c r="H444" t="e">
        <f ca="1"/>
        <v>#N/A</v>
      </c>
      <c r="I444" t="e">
        <f ca="1"/>
        <v>#N/A</v>
      </c>
      <c r="J444" t="e">
        <f ca="1"/>
        <v>#N/A</v>
      </c>
      <c r="K444" s="49" t="e">
        <f ca="1"/>
        <v>#N/A</v>
      </c>
    </row>
    <row r="445" spans="1:11" x14ac:dyDescent="0.25">
      <c r="A445" s="2" t="e">
        <f ca="1"/>
        <v>#N/A</v>
      </c>
      <c r="C445" t="e">
        <f ca="1"/>
        <v>#N/A</v>
      </c>
      <c r="D445" t="e">
        <f ca="1"/>
        <v>#N/A</v>
      </c>
      <c r="E445" t="e">
        <f ca="1"/>
        <v>#N/A</v>
      </c>
      <c r="F445" t="e">
        <f ca="1"/>
        <v>#N/A</v>
      </c>
      <c r="G445" t="e">
        <f ca="1"/>
        <v>#N/A</v>
      </c>
      <c r="H445" t="e">
        <f ca="1"/>
        <v>#N/A</v>
      </c>
      <c r="I445" t="e">
        <f ca="1"/>
        <v>#N/A</v>
      </c>
      <c r="J445" t="e">
        <f ca="1"/>
        <v>#N/A</v>
      </c>
      <c r="K445" s="49" t="e">
        <f ca="1"/>
        <v>#N/A</v>
      </c>
    </row>
    <row r="446" spans="1:11" x14ac:dyDescent="0.25">
      <c r="A446" s="2" t="e">
        <f ca="1"/>
        <v>#N/A</v>
      </c>
      <c r="C446" t="e">
        <f ca="1"/>
        <v>#N/A</v>
      </c>
      <c r="D446" t="e">
        <f ca="1"/>
        <v>#N/A</v>
      </c>
      <c r="E446" t="e">
        <f ca="1"/>
        <v>#N/A</v>
      </c>
      <c r="F446" t="e">
        <f ca="1"/>
        <v>#N/A</v>
      </c>
      <c r="G446" t="e">
        <f ca="1"/>
        <v>#N/A</v>
      </c>
      <c r="H446" t="e">
        <f ca="1"/>
        <v>#N/A</v>
      </c>
      <c r="I446" t="e">
        <f ca="1"/>
        <v>#N/A</v>
      </c>
      <c r="J446" t="e">
        <f ca="1"/>
        <v>#N/A</v>
      </c>
      <c r="K446" s="49" t="e">
        <f ca="1"/>
        <v>#N/A</v>
      </c>
    </row>
    <row r="447" spans="1:11" x14ac:dyDescent="0.25">
      <c r="A447" s="2" t="e">
        <f ca="1"/>
        <v>#N/A</v>
      </c>
      <c r="C447" t="e">
        <f ca="1"/>
        <v>#N/A</v>
      </c>
      <c r="D447" t="e">
        <f ca="1"/>
        <v>#N/A</v>
      </c>
      <c r="E447" t="e">
        <f ca="1"/>
        <v>#N/A</v>
      </c>
      <c r="F447" t="e">
        <f ca="1"/>
        <v>#N/A</v>
      </c>
      <c r="G447" t="e">
        <f ca="1"/>
        <v>#N/A</v>
      </c>
      <c r="H447" t="e">
        <f ca="1"/>
        <v>#N/A</v>
      </c>
      <c r="I447" t="e">
        <f ca="1"/>
        <v>#N/A</v>
      </c>
      <c r="J447" t="e">
        <f ca="1"/>
        <v>#N/A</v>
      </c>
      <c r="K447" s="49" t="e">
        <f ca="1"/>
        <v>#N/A</v>
      </c>
    </row>
    <row r="448" spans="1:11" x14ac:dyDescent="0.25">
      <c r="A448" s="2" t="e">
        <f ca="1"/>
        <v>#N/A</v>
      </c>
      <c r="C448" t="e">
        <f ca="1"/>
        <v>#N/A</v>
      </c>
      <c r="D448" t="e">
        <f ca="1"/>
        <v>#N/A</v>
      </c>
      <c r="E448" t="e">
        <f ca="1"/>
        <v>#N/A</v>
      </c>
      <c r="F448" t="e">
        <f ca="1"/>
        <v>#N/A</v>
      </c>
      <c r="G448" t="e">
        <f ca="1"/>
        <v>#N/A</v>
      </c>
      <c r="H448" t="e">
        <f ca="1"/>
        <v>#N/A</v>
      </c>
      <c r="I448" t="e">
        <f ca="1"/>
        <v>#N/A</v>
      </c>
      <c r="J448" t="e">
        <f ca="1"/>
        <v>#N/A</v>
      </c>
      <c r="K448" s="49" t="e">
        <f ca="1"/>
        <v>#N/A</v>
      </c>
    </row>
    <row r="449" spans="1:11" x14ac:dyDescent="0.25">
      <c r="A449" s="2" t="e">
        <f ca="1"/>
        <v>#N/A</v>
      </c>
      <c r="C449" t="e">
        <f ca="1"/>
        <v>#N/A</v>
      </c>
      <c r="D449" t="e">
        <f ca="1"/>
        <v>#N/A</v>
      </c>
      <c r="E449" t="e">
        <f ca="1"/>
        <v>#N/A</v>
      </c>
      <c r="F449" t="e">
        <f ca="1"/>
        <v>#N/A</v>
      </c>
      <c r="G449" t="e">
        <f ca="1"/>
        <v>#N/A</v>
      </c>
      <c r="H449" t="e">
        <f ca="1"/>
        <v>#N/A</v>
      </c>
      <c r="I449" t="e">
        <f ca="1"/>
        <v>#N/A</v>
      </c>
      <c r="J449" t="e">
        <f ca="1"/>
        <v>#N/A</v>
      </c>
      <c r="K449" s="49" t="e">
        <f ca="1"/>
        <v>#N/A</v>
      </c>
    </row>
    <row r="450" spans="1:11" x14ac:dyDescent="0.25">
      <c r="A450" s="2" t="e">
        <f ca="1"/>
        <v>#N/A</v>
      </c>
      <c r="C450" t="e">
        <f ca="1"/>
        <v>#N/A</v>
      </c>
      <c r="D450" t="e">
        <f ca="1"/>
        <v>#N/A</v>
      </c>
      <c r="E450" t="e">
        <f ca="1"/>
        <v>#N/A</v>
      </c>
      <c r="F450" t="e">
        <f ca="1"/>
        <v>#N/A</v>
      </c>
      <c r="G450" t="e">
        <f ca="1"/>
        <v>#N/A</v>
      </c>
      <c r="H450" t="e">
        <f ca="1"/>
        <v>#N/A</v>
      </c>
      <c r="I450" t="e">
        <f ca="1"/>
        <v>#N/A</v>
      </c>
      <c r="J450" t="e">
        <f ca="1"/>
        <v>#N/A</v>
      </c>
      <c r="K450" s="49" t="e">
        <f ca="1"/>
        <v>#N/A</v>
      </c>
    </row>
    <row r="451" spans="1:11" x14ac:dyDescent="0.25">
      <c r="A451" s="2" t="e">
        <f ca="1"/>
        <v>#N/A</v>
      </c>
      <c r="C451" t="e">
        <f ca="1"/>
        <v>#N/A</v>
      </c>
      <c r="D451" t="e">
        <f ca="1"/>
        <v>#N/A</v>
      </c>
      <c r="E451" t="e">
        <f ca="1"/>
        <v>#N/A</v>
      </c>
      <c r="F451" t="e">
        <f ca="1"/>
        <v>#N/A</v>
      </c>
      <c r="G451" t="e">
        <f ca="1"/>
        <v>#N/A</v>
      </c>
      <c r="H451" t="e">
        <f ca="1"/>
        <v>#N/A</v>
      </c>
      <c r="I451" t="e">
        <f ca="1"/>
        <v>#N/A</v>
      </c>
      <c r="J451" t="e">
        <f ca="1"/>
        <v>#N/A</v>
      </c>
      <c r="K451" s="49" t="e">
        <f ca="1"/>
        <v>#N/A</v>
      </c>
    </row>
    <row r="452" spans="1:11" x14ac:dyDescent="0.25">
      <c r="A452" s="2" t="e">
        <f ca="1"/>
        <v>#N/A</v>
      </c>
      <c r="C452" t="e">
        <f ca="1"/>
        <v>#N/A</v>
      </c>
      <c r="D452" t="e">
        <f ca="1"/>
        <v>#N/A</v>
      </c>
      <c r="E452" t="e">
        <f ca="1"/>
        <v>#N/A</v>
      </c>
      <c r="F452" t="e">
        <f ca="1"/>
        <v>#N/A</v>
      </c>
      <c r="G452" t="e">
        <f ca="1"/>
        <v>#N/A</v>
      </c>
      <c r="H452" t="e">
        <f ca="1"/>
        <v>#N/A</v>
      </c>
      <c r="I452" t="e">
        <f ca="1"/>
        <v>#N/A</v>
      </c>
      <c r="J452" t="e">
        <f ca="1"/>
        <v>#N/A</v>
      </c>
      <c r="K452" s="49" t="e">
        <f ca="1"/>
        <v>#N/A</v>
      </c>
    </row>
    <row r="453" spans="1:11" x14ac:dyDescent="0.25">
      <c r="A453" s="2" t="e">
        <f ca="1"/>
        <v>#N/A</v>
      </c>
      <c r="C453" t="e">
        <f ca="1"/>
        <v>#N/A</v>
      </c>
      <c r="D453" t="e">
        <f ca="1"/>
        <v>#N/A</v>
      </c>
      <c r="E453" t="e">
        <f ca="1"/>
        <v>#N/A</v>
      </c>
      <c r="F453" t="e">
        <f ca="1"/>
        <v>#N/A</v>
      </c>
      <c r="G453" t="e">
        <f ca="1"/>
        <v>#N/A</v>
      </c>
      <c r="H453" t="e">
        <f ca="1"/>
        <v>#N/A</v>
      </c>
      <c r="I453" t="e">
        <f ca="1"/>
        <v>#N/A</v>
      </c>
      <c r="J453" t="e">
        <f ca="1"/>
        <v>#N/A</v>
      </c>
      <c r="K453" s="49" t="e">
        <f ca="1"/>
        <v>#N/A</v>
      </c>
    </row>
    <row r="454" spans="1:11" x14ac:dyDescent="0.25">
      <c r="A454" s="2" t="e">
        <f ca="1"/>
        <v>#N/A</v>
      </c>
      <c r="C454" t="e">
        <f ca="1"/>
        <v>#N/A</v>
      </c>
      <c r="D454" t="e">
        <f ca="1"/>
        <v>#N/A</v>
      </c>
      <c r="E454" t="e">
        <f ca="1"/>
        <v>#N/A</v>
      </c>
      <c r="F454" t="e">
        <f ca="1"/>
        <v>#N/A</v>
      </c>
      <c r="G454" t="e">
        <f ca="1"/>
        <v>#N/A</v>
      </c>
      <c r="H454" t="e">
        <f ca="1"/>
        <v>#N/A</v>
      </c>
      <c r="I454" t="e">
        <f ca="1"/>
        <v>#N/A</v>
      </c>
      <c r="J454" t="e">
        <f ca="1"/>
        <v>#N/A</v>
      </c>
      <c r="K454" s="49" t="e">
        <f ca="1"/>
        <v>#N/A</v>
      </c>
    </row>
    <row r="455" spans="1:11" x14ac:dyDescent="0.25">
      <c r="A455" s="2" t="e">
        <f ca="1"/>
        <v>#N/A</v>
      </c>
      <c r="C455" t="e">
        <f ca="1"/>
        <v>#N/A</v>
      </c>
      <c r="D455" t="e">
        <f ca="1"/>
        <v>#N/A</v>
      </c>
      <c r="E455" t="e">
        <f ca="1"/>
        <v>#N/A</v>
      </c>
      <c r="F455" t="e">
        <f ca="1"/>
        <v>#N/A</v>
      </c>
      <c r="G455" t="e">
        <f ca="1"/>
        <v>#N/A</v>
      </c>
      <c r="H455" t="e">
        <f ca="1"/>
        <v>#N/A</v>
      </c>
      <c r="I455" t="e">
        <f ca="1"/>
        <v>#N/A</v>
      </c>
      <c r="J455" t="e">
        <f ca="1"/>
        <v>#N/A</v>
      </c>
      <c r="K455" s="49" t="e">
        <f ca="1"/>
        <v>#N/A</v>
      </c>
    </row>
    <row r="456" spans="1:11" x14ac:dyDescent="0.25">
      <c r="A456" s="2" t="e">
        <f ca="1"/>
        <v>#N/A</v>
      </c>
      <c r="C456" t="e">
        <f ca="1"/>
        <v>#N/A</v>
      </c>
      <c r="D456" t="e">
        <f ca="1"/>
        <v>#N/A</v>
      </c>
      <c r="E456" t="e">
        <f ca="1"/>
        <v>#N/A</v>
      </c>
      <c r="F456" t="e">
        <f ca="1"/>
        <v>#N/A</v>
      </c>
      <c r="G456" t="e">
        <f ca="1"/>
        <v>#N/A</v>
      </c>
      <c r="H456" t="e">
        <f ca="1"/>
        <v>#N/A</v>
      </c>
      <c r="I456" t="e">
        <f ca="1"/>
        <v>#N/A</v>
      </c>
      <c r="J456" t="e">
        <f ca="1"/>
        <v>#N/A</v>
      </c>
      <c r="K456" s="49" t="e">
        <f ca="1"/>
        <v>#N/A</v>
      </c>
    </row>
    <row r="457" spans="1:11" x14ac:dyDescent="0.25">
      <c r="A457" s="2" t="e">
        <f ca="1"/>
        <v>#N/A</v>
      </c>
      <c r="C457" t="e">
        <f ca="1"/>
        <v>#N/A</v>
      </c>
      <c r="D457" t="e">
        <f ca="1"/>
        <v>#N/A</v>
      </c>
      <c r="E457" t="e">
        <f ca="1"/>
        <v>#N/A</v>
      </c>
      <c r="F457" t="e">
        <f ca="1"/>
        <v>#N/A</v>
      </c>
      <c r="G457" t="e">
        <f ca="1"/>
        <v>#N/A</v>
      </c>
      <c r="H457" t="e">
        <f ca="1"/>
        <v>#N/A</v>
      </c>
      <c r="I457" t="e">
        <f ca="1"/>
        <v>#N/A</v>
      </c>
      <c r="J457" t="e">
        <f ca="1"/>
        <v>#N/A</v>
      </c>
      <c r="K457" s="49" t="e">
        <f ca="1"/>
        <v>#N/A</v>
      </c>
    </row>
    <row r="458" spans="1:11" x14ac:dyDescent="0.25">
      <c r="A458" s="2" t="e">
        <f ca="1"/>
        <v>#N/A</v>
      </c>
      <c r="C458" t="e">
        <f ca="1"/>
        <v>#N/A</v>
      </c>
      <c r="D458" t="e">
        <f ca="1"/>
        <v>#N/A</v>
      </c>
      <c r="E458" t="e">
        <f ca="1"/>
        <v>#N/A</v>
      </c>
      <c r="F458" t="e">
        <f ca="1"/>
        <v>#N/A</v>
      </c>
      <c r="G458" t="e">
        <f ca="1"/>
        <v>#N/A</v>
      </c>
      <c r="H458" t="e">
        <f ca="1"/>
        <v>#N/A</v>
      </c>
      <c r="I458" t="e">
        <f ca="1"/>
        <v>#N/A</v>
      </c>
      <c r="J458" t="e">
        <f ca="1"/>
        <v>#N/A</v>
      </c>
      <c r="K458" s="49" t="e">
        <f ca="1"/>
        <v>#N/A</v>
      </c>
    </row>
    <row r="459" spans="1:11" x14ac:dyDescent="0.25">
      <c r="A459" s="2" t="e">
        <f ca="1"/>
        <v>#N/A</v>
      </c>
      <c r="C459" t="e">
        <f ca="1"/>
        <v>#N/A</v>
      </c>
      <c r="D459" t="e">
        <f ca="1"/>
        <v>#N/A</v>
      </c>
      <c r="E459" t="e">
        <f ca="1"/>
        <v>#N/A</v>
      </c>
      <c r="F459" t="e">
        <f ca="1"/>
        <v>#N/A</v>
      </c>
      <c r="G459" t="e">
        <f ca="1"/>
        <v>#N/A</v>
      </c>
      <c r="H459" t="e">
        <f ca="1"/>
        <v>#N/A</v>
      </c>
      <c r="I459" t="e">
        <f ca="1"/>
        <v>#N/A</v>
      </c>
      <c r="J459" t="e">
        <f ca="1"/>
        <v>#N/A</v>
      </c>
      <c r="K459" s="49" t="e">
        <f ca="1"/>
        <v>#N/A</v>
      </c>
    </row>
    <row r="460" spans="1:11" x14ac:dyDescent="0.25">
      <c r="A460" s="2" t="e">
        <f ca="1"/>
        <v>#N/A</v>
      </c>
      <c r="C460" t="e">
        <f ca="1"/>
        <v>#N/A</v>
      </c>
      <c r="D460" t="e">
        <f ca="1"/>
        <v>#N/A</v>
      </c>
      <c r="E460" t="e">
        <f ca="1"/>
        <v>#N/A</v>
      </c>
      <c r="F460" t="e">
        <f ca="1"/>
        <v>#N/A</v>
      </c>
      <c r="G460" t="e">
        <f ca="1"/>
        <v>#N/A</v>
      </c>
      <c r="H460" t="e">
        <f ca="1"/>
        <v>#N/A</v>
      </c>
      <c r="I460" t="e">
        <f ca="1"/>
        <v>#N/A</v>
      </c>
      <c r="J460" t="e">
        <f ca="1"/>
        <v>#N/A</v>
      </c>
      <c r="K460" s="49" t="e">
        <f ca="1"/>
        <v>#N/A</v>
      </c>
    </row>
    <row r="461" spans="1:11" x14ac:dyDescent="0.25">
      <c r="A461" s="2" t="e">
        <f ca="1"/>
        <v>#N/A</v>
      </c>
      <c r="C461" t="e">
        <f ca="1"/>
        <v>#N/A</v>
      </c>
      <c r="D461" t="e">
        <f ca="1"/>
        <v>#N/A</v>
      </c>
      <c r="E461" t="e">
        <f ca="1"/>
        <v>#N/A</v>
      </c>
      <c r="F461" t="e">
        <f ca="1"/>
        <v>#N/A</v>
      </c>
      <c r="G461" t="e">
        <f ca="1"/>
        <v>#N/A</v>
      </c>
      <c r="H461" t="e">
        <f ca="1"/>
        <v>#N/A</v>
      </c>
      <c r="I461" t="e">
        <f ca="1"/>
        <v>#N/A</v>
      </c>
      <c r="J461" t="e">
        <f ca="1"/>
        <v>#N/A</v>
      </c>
      <c r="K461" s="49" t="e">
        <f ca="1"/>
        <v>#N/A</v>
      </c>
    </row>
    <row r="462" spans="1:11" x14ac:dyDescent="0.25">
      <c r="A462" s="2" t="e">
        <f ca="1"/>
        <v>#N/A</v>
      </c>
      <c r="C462" t="e">
        <f ca="1"/>
        <v>#N/A</v>
      </c>
      <c r="D462" t="e">
        <f ca="1"/>
        <v>#N/A</v>
      </c>
      <c r="E462" t="e">
        <f ca="1"/>
        <v>#N/A</v>
      </c>
      <c r="F462" t="e">
        <f ca="1"/>
        <v>#N/A</v>
      </c>
      <c r="G462" t="e">
        <f ca="1"/>
        <v>#N/A</v>
      </c>
      <c r="H462" t="e">
        <f ca="1"/>
        <v>#N/A</v>
      </c>
      <c r="I462" t="e">
        <f ca="1"/>
        <v>#N/A</v>
      </c>
      <c r="J462" t="e">
        <f ca="1"/>
        <v>#N/A</v>
      </c>
      <c r="K462" s="49" t="e">
        <f ca="1"/>
        <v>#N/A</v>
      </c>
    </row>
    <row r="463" spans="1:11" x14ac:dyDescent="0.25">
      <c r="A463" s="2" t="e">
        <f ca="1"/>
        <v>#N/A</v>
      </c>
      <c r="C463" t="e">
        <f ca="1"/>
        <v>#N/A</v>
      </c>
      <c r="D463" t="e">
        <f ca="1"/>
        <v>#N/A</v>
      </c>
      <c r="E463" t="e">
        <f ca="1"/>
        <v>#N/A</v>
      </c>
      <c r="F463" t="e">
        <f ca="1"/>
        <v>#N/A</v>
      </c>
      <c r="G463" t="e">
        <f ca="1"/>
        <v>#N/A</v>
      </c>
      <c r="H463" t="e">
        <f ca="1"/>
        <v>#N/A</v>
      </c>
      <c r="I463" t="e">
        <f ca="1"/>
        <v>#N/A</v>
      </c>
      <c r="J463" t="e">
        <f ca="1"/>
        <v>#N/A</v>
      </c>
      <c r="K463" s="49" t="e">
        <f ca="1"/>
        <v>#N/A</v>
      </c>
    </row>
    <row r="464" spans="1:11" x14ac:dyDescent="0.25">
      <c r="A464" s="2" t="e">
        <f ca="1"/>
        <v>#N/A</v>
      </c>
      <c r="C464" t="e">
        <f ca="1"/>
        <v>#N/A</v>
      </c>
      <c r="D464" t="e">
        <f ca="1"/>
        <v>#N/A</v>
      </c>
      <c r="E464" t="e">
        <f ca="1"/>
        <v>#N/A</v>
      </c>
      <c r="F464" t="e">
        <f ca="1"/>
        <v>#N/A</v>
      </c>
      <c r="G464" t="e">
        <f ca="1"/>
        <v>#N/A</v>
      </c>
      <c r="H464" t="e">
        <f ca="1"/>
        <v>#N/A</v>
      </c>
      <c r="I464" t="e">
        <f ca="1"/>
        <v>#N/A</v>
      </c>
      <c r="J464" t="e">
        <f ca="1"/>
        <v>#N/A</v>
      </c>
      <c r="K464" s="49" t="e">
        <f ca="1"/>
        <v>#N/A</v>
      </c>
    </row>
    <row r="465" spans="1:11" x14ac:dyDescent="0.25">
      <c r="A465" s="2" t="e">
        <f ca="1"/>
        <v>#N/A</v>
      </c>
      <c r="C465" t="e">
        <f ca="1"/>
        <v>#N/A</v>
      </c>
      <c r="D465" t="e">
        <f ca="1"/>
        <v>#N/A</v>
      </c>
      <c r="E465" t="e">
        <f ca="1"/>
        <v>#N/A</v>
      </c>
      <c r="F465" t="e">
        <f ca="1"/>
        <v>#N/A</v>
      </c>
      <c r="G465" t="e">
        <f ca="1"/>
        <v>#N/A</v>
      </c>
      <c r="H465" t="e">
        <f ca="1"/>
        <v>#N/A</v>
      </c>
      <c r="I465" t="e">
        <f ca="1"/>
        <v>#N/A</v>
      </c>
      <c r="J465" t="e">
        <f ca="1"/>
        <v>#N/A</v>
      </c>
      <c r="K465" s="49" t="e">
        <f ca="1"/>
        <v>#N/A</v>
      </c>
    </row>
    <row r="466" spans="1:11" x14ac:dyDescent="0.25">
      <c r="A466" s="2" t="e">
        <f ca="1"/>
        <v>#N/A</v>
      </c>
      <c r="C466" t="e">
        <f ca="1"/>
        <v>#N/A</v>
      </c>
      <c r="D466" t="e">
        <f ca="1"/>
        <v>#N/A</v>
      </c>
      <c r="E466" t="e">
        <f ca="1"/>
        <v>#N/A</v>
      </c>
      <c r="F466" t="e">
        <f ca="1"/>
        <v>#N/A</v>
      </c>
      <c r="G466" t="e">
        <f ca="1"/>
        <v>#N/A</v>
      </c>
      <c r="H466" t="e">
        <f ca="1"/>
        <v>#N/A</v>
      </c>
      <c r="I466" t="e">
        <f ca="1"/>
        <v>#N/A</v>
      </c>
      <c r="J466" t="e">
        <f ca="1"/>
        <v>#N/A</v>
      </c>
      <c r="K466" s="49" t="e">
        <f ca="1"/>
        <v>#N/A</v>
      </c>
    </row>
    <row r="467" spans="1:11" x14ac:dyDescent="0.25">
      <c r="A467" s="2" t="e">
        <f ca="1"/>
        <v>#N/A</v>
      </c>
      <c r="C467" t="e">
        <f ca="1"/>
        <v>#N/A</v>
      </c>
      <c r="D467" t="e">
        <f ca="1"/>
        <v>#N/A</v>
      </c>
      <c r="E467" t="e">
        <f ca="1"/>
        <v>#N/A</v>
      </c>
      <c r="F467" t="e">
        <f ca="1"/>
        <v>#N/A</v>
      </c>
      <c r="G467" t="e">
        <f ca="1"/>
        <v>#N/A</v>
      </c>
      <c r="H467" t="e">
        <f ca="1"/>
        <v>#N/A</v>
      </c>
      <c r="I467" t="e">
        <f ca="1"/>
        <v>#N/A</v>
      </c>
      <c r="J467" t="e">
        <f ca="1"/>
        <v>#N/A</v>
      </c>
      <c r="K467" s="49" t="e">
        <f ca="1"/>
        <v>#N/A</v>
      </c>
    </row>
    <row r="468" spans="1:11" x14ac:dyDescent="0.25">
      <c r="A468" s="2" t="e">
        <f ca="1"/>
        <v>#N/A</v>
      </c>
      <c r="C468" t="e">
        <f ca="1"/>
        <v>#N/A</v>
      </c>
      <c r="D468" t="e">
        <f ca="1"/>
        <v>#N/A</v>
      </c>
      <c r="E468" t="e">
        <f ca="1"/>
        <v>#N/A</v>
      </c>
      <c r="F468" t="e">
        <f ca="1"/>
        <v>#N/A</v>
      </c>
      <c r="G468" t="e">
        <f ca="1"/>
        <v>#N/A</v>
      </c>
      <c r="H468" t="e">
        <f ca="1"/>
        <v>#N/A</v>
      </c>
      <c r="I468" t="e">
        <f ca="1"/>
        <v>#N/A</v>
      </c>
      <c r="J468" t="e">
        <f ca="1"/>
        <v>#N/A</v>
      </c>
      <c r="K468" s="49" t="e">
        <f ca="1"/>
        <v>#N/A</v>
      </c>
    </row>
    <row r="469" spans="1:11" x14ac:dyDescent="0.25">
      <c r="A469" s="2" t="e">
        <f ca="1"/>
        <v>#N/A</v>
      </c>
      <c r="C469" t="e">
        <f ca="1"/>
        <v>#N/A</v>
      </c>
      <c r="D469" t="e">
        <f ca="1"/>
        <v>#N/A</v>
      </c>
      <c r="E469" t="e">
        <f ca="1"/>
        <v>#N/A</v>
      </c>
      <c r="F469" t="e">
        <f ca="1"/>
        <v>#N/A</v>
      </c>
      <c r="G469" t="e">
        <f ca="1"/>
        <v>#N/A</v>
      </c>
      <c r="H469" t="e">
        <f ca="1"/>
        <v>#N/A</v>
      </c>
      <c r="I469" t="e">
        <f ca="1"/>
        <v>#N/A</v>
      </c>
      <c r="J469" t="e">
        <f ca="1"/>
        <v>#N/A</v>
      </c>
      <c r="K469" s="49" t="e">
        <f ca="1"/>
        <v>#N/A</v>
      </c>
    </row>
    <row r="470" spans="1:11" x14ac:dyDescent="0.25">
      <c r="A470" s="2" t="e">
        <f ca="1"/>
        <v>#N/A</v>
      </c>
      <c r="C470" t="e">
        <f ca="1"/>
        <v>#N/A</v>
      </c>
      <c r="D470" t="e">
        <f ca="1"/>
        <v>#N/A</v>
      </c>
      <c r="E470" t="e">
        <f ca="1"/>
        <v>#N/A</v>
      </c>
      <c r="F470" t="e">
        <f ca="1"/>
        <v>#N/A</v>
      </c>
      <c r="G470" t="e">
        <f ca="1"/>
        <v>#N/A</v>
      </c>
      <c r="H470" t="e">
        <f ca="1"/>
        <v>#N/A</v>
      </c>
      <c r="I470" t="e">
        <f ca="1"/>
        <v>#N/A</v>
      </c>
      <c r="J470" t="e">
        <f ca="1"/>
        <v>#N/A</v>
      </c>
      <c r="K470" s="49" t="e">
        <f ca="1"/>
        <v>#N/A</v>
      </c>
    </row>
    <row r="471" spans="1:11" x14ac:dyDescent="0.25">
      <c r="A471" s="2" t="e">
        <f ca="1"/>
        <v>#N/A</v>
      </c>
      <c r="C471" t="e">
        <f ca="1"/>
        <v>#N/A</v>
      </c>
      <c r="D471" t="e">
        <f ca="1"/>
        <v>#N/A</v>
      </c>
      <c r="E471" t="e">
        <f ca="1"/>
        <v>#N/A</v>
      </c>
      <c r="F471" t="e">
        <f ca="1"/>
        <v>#N/A</v>
      </c>
      <c r="G471" t="e">
        <f ca="1"/>
        <v>#N/A</v>
      </c>
      <c r="H471" t="e">
        <f ca="1"/>
        <v>#N/A</v>
      </c>
      <c r="I471" t="e">
        <f ca="1"/>
        <v>#N/A</v>
      </c>
      <c r="J471" t="e">
        <f ca="1"/>
        <v>#N/A</v>
      </c>
      <c r="K471" s="49" t="e">
        <f ca="1"/>
        <v>#N/A</v>
      </c>
    </row>
    <row r="472" spans="1:11" x14ac:dyDescent="0.25">
      <c r="A472" s="2" t="e">
        <f ca="1"/>
        <v>#N/A</v>
      </c>
      <c r="C472" t="e">
        <f ca="1"/>
        <v>#N/A</v>
      </c>
      <c r="D472" t="e">
        <f ca="1"/>
        <v>#N/A</v>
      </c>
      <c r="E472" t="e">
        <f ca="1"/>
        <v>#N/A</v>
      </c>
      <c r="F472" t="e">
        <f ca="1"/>
        <v>#N/A</v>
      </c>
      <c r="G472" t="e">
        <f ca="1"/>
        <v>#N/A</v>
      </c>
      <c r="H472" t="e">
        <f ca="1"/>
        <v>#N/A</v>
      </c>
      <c r="I472" t="e">
        <f ca="1"/>
        <v>#N/A</v>
      </c>
      <c r="J472" t="e">
        <f ca="1"/>
        <v>#N/A</v>
      </c>
      <c r="K472" s="49" t="e">
        <f ca="1"/>
        <v>#N/A</v>
      </c>
    </row>
    <row r="473" spans="1:11" x14ac:dyDescent="0.25">
      <c r="A473" s="2" t="e">
        <f ca="1"/>
        <v>#N/A</v>
      </c>
      <c r="C473" t="e">
        <f ca="1"/>
        <v>#N/A</v>
      </c>
      <c r="D473" t="e">
        <f ca="1"/>
        <v>#N/A</v>
      </c>
      <c r="E473" t="e">
        <f ca="1"/>
        <v>#N/A</v>
      </c>
      <c r="F473" t="e">
        <f ca="1"/>
        <v>#N/A</v>
      </c>
      <c r="G473" t="e">
        <f ca="1"/>
        <v>#N/A</v>
      </c>
      <c r="H473" t="e">
        <f ca="1"/>
        <v>#N/A</v>
      </c>
      <c r="I473" t="e">
        <f ca="1"/>
        <v>#N/A</v>
      </c>
      <c r="J473" t="e">
        <f ca="1"/>
        <v>#N/A</v>
      </c>
      <c r="K473" s="49" t="e">
        <f ca="1"/>
        <v>#N/A</v>
      </c>
    </row>
    <row r="474" spans="1:11" x14ac:dyDescent="0.25">
      <c r="A474" s="2" t="e">
        <f ca="1"/>
        <v>#N/A</v>
      </c>
      <c r="C474" t="e">
        <f ca="1"/>
        <v>#N/A</v>
      </c>
      <c r="D474" t="e">
        <f ca="1"/>
        <v>#N/A</v>
      </c>
      <c r="E474" t="e">
        <f ca="1"/>
        <v>#N/A</v>
      </c>
      <c r="F474" t="e">
        <f ca="1"/>
        <v>#N/A</v>
      </c>
      <c r="G474" t="e">
        <f ca="1"/>
        <v>#N/A</v>
      </c>
      <c r="H474" t="e">
        <f ca="1"/>
        <v>#N/A</v>
      </c>
      <c r="I474" t="e">
        <f ca="1"/>
        <v>#N/A</v>
      </c>
      <c r="J474" t="e">
        <f ca="1"/>
        <v>#N/A</v>
      </c>
      <c r="K474" s="49" t="e">
        <f ca="1"/>
        <v>#N/A</v>
      </c>
    </row>
    <row r="475" spans="1:11" x14ac:dyDescent="0.25">
      <c r="A475" s="2" t="e">
        <f ca="1"/>
        <v>#N/A</v>
      </c>
      <c r="C475" t="e">
        <f ca="1"/>
        <v>#N/A</v>
      </c>
      <c r="D475" t="e">
        <f ca="1"/>
        <v>#N/A</v>
      </c>
      <c r="E475" t="e">
        <f ca="1"/>
        <v>#N/A</v>
      </c>
      <c r="F475" t="e">
        <f ca="1"/>
        <v>#N/A</v>
      </c>
      <c r="G475" t="e">
        <f ca="1"/>
        <v>#N/A</v>
      </c>
      <c r="H475" t="e">
        <f ca="1"/>
        <v>#N/A</v>
      </c>
      <c r="I475" t="e">
        <f ca="1"/>
        <v>#N/A</v>
      </c>
      <c r="J475" t="e">
        <f ca="1"/>
        <v>#N/A</v>
      </c>
      <c r="K475" s="49" t="e">
        <f ca="1"/>
        <v>#N/A</v>
      </c>
    </row>
    <row r="476" spans="1:11" x14ac:dyDescent="0.25">
      <c r="A476" s="2" t="e">
        <f ca="1"/>
        <v>#N/A</v>
      </c>
      <c r="C476" t="e">
        <f ca="1"/>
        <v>#N/A</v>
      </c>
      <c r="D476" t="e">
        <f ca="1"/>
        <v>#N/A</v>
      </c>
      <c r="E476" t="e">
        <f ca="1"/>
        <v>#N/A</v>
      </c>
      <c r="F476" t="e">
        <f ca="1"/>
        <v>#N/A</v>
      </c>
      <c r="G476" t="e">
        <f ca="1"/>
        <v>#N/A</v>
      </c>
      <c r="H476" t="e">
        <f ca="1"/>
        <v>#N/A</v>
      </c>
      <c r="I476" t="e">
        <f ca="1"/>
        <v>#N/A</v>
      </c>
      <c r="J476" t="e">
        <f ca="1"/>
        <v>#N/A</v>
      </c>
      <c r="K476" s="49" t="e">
        <f ca="1"/>
        <v>#N/A</v>
      </c>
    </row>
    <row r="477" spans="1:11" x14ac:dyDescent="0.25">
      <c r="A477" s="2" t="e">
        <f ca="1"/>
        <v>#N/A</v>
      </c>
      <c r="C477" t="e">
        <f ca="1"/>
        <v>#N/A</v>
      </c>
      <c r="D477" t="e">
        <f ca="1"/>
        <v>#N/A</v>
      </c>
      <c r="E477" t="e">
        <f ca="1"/>
        <v>#N/A</v>
      </c>
      <c r="F477" t="e">
        <f ca="1"/>
        <v>#N/A</v>
      </c>
      <c r="G477" t="e">
        <f ca="1"/>
        <v>#N/A</v>
      </c>
      <c r="H477" t="e">
        <f ca="1"/>
        <v>#N/A</v>
      </c>
      <c r="I477" t="e">
        <f ca="1"/>
        <v>#N/A</v>
      </c>
      <c r="J477" t="e">
        <f ca="1"/>
        <v>#N/A</v>
      </c>
      <c r="K477" s="49" t="e">
        <f ca="1"/>
        <v>#N/A</v>
      </c>
    </row>
    <row r="478" spans="1:11" x14ac:dyDescent="0.25">
      <c r="A478" s="2" t="e">
        <f ca="1"/>
        <v>#N/A</v>
      </c>
      <c r="C478" t="e">
        <f ca="1"/>
        <v>#N/A</v>
      </c>
      <c r="D478" t="e">
        <f ca="1"/>
        <v>#N/A</v>
      </c>
      <c r="E478" t="e">
        <f ca="1"/>
        <v>#N/A</v>
      </c>
      <c r="F478" t="e">
        <f ca="1"/>
        <v>#N/A</v>
      </c>
      <c r="G478" t="e">
        <f ca="1"/>
        <v>#N/A</v>
      </c>
      <c r="H478" t="e">
        <f ca="1"/>
        <v>#N/A</v>
      </c>
      <c r="I478" t="e">
        <f ca="1"/>
        <v>#N/A</v>
      </c>
      <c r="J478" t="e">
        <f ca="1"/>
        <v>#N/A</v>
      </c>
      <c r="K478" s="49" t="e">
        <f ca="1"/>
        <v>#N/A</v>
      </c>
    </row>
    <row r="479" spans="1:11" x14ac:dyDescent="0.25">
      <c r="A479" s="2" t="e">
        <f ca="1"/>
        <v>#N/A</v>
      </c>
      <c r="C479" t="e">
        <f ca="1"/>
        <v>#N/A</v>
      </c>
      <c r="D479" t="e">
        <f ca="1"/>
        <v>#N/A</v>
      </c>
      <c r="E479" t="e">
        <f ca="1"/>
        <v>#N/A</v>
      </c>
      <c r="F479" t="e">
        <f ca="1"/>
        <v>#N/A</v>
      </c>
      <c r="G479" t="e">
        <f ca="1"/>
        <v>#N/A</v>
      </c>
      <c r="H479" t="e">
        <f ca="1"/>
        <v>#N/A</v>
      </c>
      <c r="I479" t="e">
        <f ca="1"/>
        <v>#N/A</v>
      </c>
      <c r="J479" t="e">
        <f ca="1"/>
        <v>#N/A</v>
      </c>
      <c r="K479" s="49" t="e">
        <f ca="1"/>
        <v>#N/A</v>
      </c>
    </row>
    <row r="480" spans="1:11" x14ac:dyDescent="0.25">
      <c r="A480" s="2" t="e">
        <f ca="1"/>
        <v>#N/A</v>
      </c>
      <c r="C480" t="e">
        <f ca="1"/>
        <v>#N/A</v>
      </c>
      <c r="D480" t="e">
        <f ca="1"/>
        <v>#N/A</v>
      </c>
      <c r="E480" t="e">
        <f ca="1"/>
        <v>#N/A</v>
      </c>
      <c r="F480" t="e">
        <f ca="1"/>
        <v>#N/A</v>
      </c>
      <c r="G480" t="e">
        <f ca="1"/>
        <v>#N/A</v>
      </c>
      <c r="H480" t="e">
        <f ca="1"/>
        <v>#N/A</v>
      </c>
      <c r="I480" t="e">
        <f ca="1"/>
        <v>#N/A</v>
      </c>
      <c r="J480" t="e">
        <f ca="1"/>
        <v>#N/A</v>
      </c>
      <c r="K480" s="49" t="e">
        <f ca="1"/>
        <v>#N/A</v>
      </c>
    </row>
    <row r="481" spans="1:11" x14ac:dyDescent="0.25">
      <c r="A481" s="2" t="e">
        <f ca="1"/>
        <v>#N/A</v>
      </c>
      <c r="C481" t="e">
        <f ca="1"/>
        <v>#N/A</v>
      </c>
      <c r="D481" t="e">
        <f ca="1"/>
        <v>#N/A</v>
      </c>
      <c r="E481" t="e">
        <f ca="1"/>
        <v>#N/A</v>
      </c>
      <c r="F481" t="e">
        <f ca="1"/>
        <v>#N/A</v>
      </c>
      <c r="G481" t="e">
        <f ca="1"/>
        <v>#N/A</v>
      </c>
      <c r="H481" t="e">
        <f ca="1"/>
        <v>#N/A</v>
      </c>
      <c r="I481" t="e">
        <f ca="1"/>
        <v>#N/A</v>
      </c>
      <c r="J481" t="e">
        <f ca="1"/>
        <v>#N/A</v>
      </c>
      <c r="K481" s="49" t="e">
        <f ca="1"/>
        <v>#N/A</v>
      </c>
    </row>
    <row r="482" spans="1:11" x14ac:dyDescent="0.25">
      <c r="A482" s="2" t="e">
        <f ca="1"/>
        <v>#N/A</v>
      </c>
      <c r="C482" t="e">
        <f ca="1"/>
        <v>#N/A</v>
      </c>
      <c r="D482" t="e">
        <f ca="1"/>
        <v>#N/A</v>
      </c>
      <c r="E482" t="e">
        <f ca="1"/>
        <v>#N/A</v>
      </c>
      <c r="F482" t="e">
        <f ca="1"/>
        <v>#N/A</v>
      </c>
      <c r="G482" t="e">
        <f ca="1"/>
        <v>#N/A</v>
      </c>
      <c r="H482" t="e">
        <f ca="1"/>
        <v>#N/A</v>
      </c>
      <c r="I482" t="e">
        <f ca="1"/>
        <v>#N/A</v>
      </c>
      <c r="J482" t="e">
        <f ca="1"/>
        <v>#N/A</v>
      </c>
      <c r="K482" s="49" t="e">
        <f ca="1"/>
        <v>#N/A</v>
      </c>
    </row>
    <row r="483" spans="1:11" x14ac:dyDescent="0.25">
      <c r="A483" s="2" t="e">
        <f ca="1"/>
        <v>#N/A</v>
      </c>
      <c r="C483" t="e">
        <f ca="1"/>
        <v>#N/A</v>
      </c>
      <c r="D483" t="e">
        <f ca="1"/>
        <v>#N/A</v>
      </c>
      <c r="E483" t="e">
        <f ca="1"/>
        <v>#N/A</v>
      </c>
      <c r="F483" t="e">
        <f ca="1"/>
        <v>#N/A</v>
      </c>
      <c r="G483" t="e">
        <f ca="1"/>
        <v>#N/A</v>
      </c>
      <c r="H483" t="e">
        <f ca="1"/>
        <v>#N/A</v>
      </c>
      <c r="I483" t="e">
        <f ca="1"/>
        <v>#N/A</v>
      </c>
      <c r="J483" t="e">
        <f ca="1"/>
        <v>#N/A</v>
      </c>
      <c r="K483" s="49" t="e">
        <f ca="1"/>
        <v>#N/A</v>
      </c>
    </row>
    <row r="484" spans="1:11" x14ac:dyDescent="0.25">
      <c r="A484" s="2" t="e">
        <f ca="1"/>
        <v>#N/A</v>
      </c>
      <c r="C484" t="e">
        <f ca="1"/>
        <v>#N/A</v>
      </c>
      <c r="D484" t="e">
        <f ca="1"/>
        <v>#N/A</v>
      </c>
      <c r="E484" t="e">
        <f ca="1"/>
        <v>#N/A</v>
      </c>
      <c r="F484" t="e">
        <f ca="1"/>
        <v>#N/A</v>
      </c>
      <c r="G484" t="e">
        <f ca="1"/>
        <v>#N/A</v>
      </c>
      <c r="H484" t="e">
        <f ca="1"/>
        <v>#N/A</v>
      </c>
      <c r="I484" t="e">
        <f ca="1"/>
        <v>#N/A</v>
      </c>
      <c r="J484" t="e">
        <f ca="1"/>
        <v>#N/A</v>
      </c>
      <c r="K484" s="49" t="e">
        <f ca="1"/>
        <v>#N/A</v>
      </c>
    </row>
    <row r="485" spans="1:11" x14ac:dyDescent="0.25">
      <c r="A485" s="2" t="e">
        <f ca="1"/>
        <v>#N/A</v>
      </c>
      <c r="C485" t="e">
        <f ca="1"/>
        <v>#N/A</v>
      </c>
      <c r="D485" t="e">
        <f ca="1"/>
        <v>#N/A</v>
      </c>
      <c r="E485" t="e">
        <f ca="1"/>
        <v>#N/A</v>
      </c>
      <c r="F485" t="e">
        <f ca="1"/>
        <v>#N/A</v>
      </c>
      <c r="G485" t="e">
        <f ca="1"/>
        <v>#N/A</v>
      </c>
      <c r="H485" t="e">
        <f ca="1"/>
        <v>#N/A</v>
      </c>
      <c r="I485" t="e">
        <f ca="1"/>
        <v>#N/A</v>
      </c>
      <c r="J485" t="e">
        <f ca="1"/>
        <v>#N/A</v>
      </c>
      <c r="K485" s="49" t="e">
        <f ca="1"/>
        <v>#N/A</v>
      </c>
    </row>
    <row r="486" spans="1:11" x14ac:dyDescent="0.25">
      <c r="A486" s="2" t="e">
        <f ca="1"/>
        <v>#N/A</v>
      </c>
      <c r="C486" t="e">
        <f ca="1"/>
        <v>#N/A</v>
      </c>
      <c r="D486" t="e">
        <f ca="1"/>
        <v>#N/A</v>
      </c>
      <c r="E486" t="e">
        <f ca="1"/>
        <v>#N/A</v>
      </c>
      <c r="F486" t="e">
        <f ca="1"/>
        <v>#N/A</v>
      </c>
      <c r="G486" t="e">
        <f ca="1"/>
        <v>#N/A</v>
      </c>
      <c r="H486" t="e">
        <f ca="1"/>
        <v>#N/A</v>
      </c>
      <c r="I486" t="e">
        <f ca="1"/>
        <v>#N/A</v>
      </c>
      <c r="J486" t="e">
        <f ca="1"/>
        <v>#N/A</v>
      </c>
      <c r="K486" s="49" t="e">
        <f ca="1"/>
        <v>#N/A</v>
      </c>
    </row>
    <row r="487" spans="1:11" x14ac:dyDescent="0.25">
      <c r="A487" s="2" t="e">
        <f ca="1"/>
        <v>#N/A</v>
      </c>
      <c r="C487" t="e">
        <f ca="1"/>
        <v>#N/A</v>
      </c>
      <c r="D487" t="e">
        <f ca="1"/>
        <v>#N/A</v>
      </c>
      <c r="E487" t="e">
        <f ca="1"/>
        <v>#N/A</v>
      </c>
      <c r="F487" t="e">
        <f ca="1"/>
        <v>#N/A</v>
      </c>
      <c r="G487" t="e">
        <f ca="1"/>
        <v>#N/A</v>
      </c>
      <c r="H487" t="e">
        <f ca="1"/>
        <v>#N/A</v>
      </c>
      <c r="I487" t="e">
        <f ca="1"/>
        <v>#N/A</v>
      </c>
      <c r="J487" t="e">
        <f ca="1"/>
        <v>#N/A</v>
      </c>
      <c r="K487" s="49" t="e">
        <f ca="1"/>
        <v>#N/A</v>
      </c>
    </row>
    <row r="488" spans="1:11" x14ac:dyDescent="0.25">
      <c r="A488" s="2" t="e">
        <f ca="1"/>
        <v>#N/A</v>
      </c>
      <c r="C488" t="e">
        <f ca="1"/>
        <v>#N/A</v>
      </c>
      <c r="D488" t="e">
        <f ca="1"/>
        <v>#N/A</v>
      </c>
      <c r="E488" t="e">
        <f ca="1"/>
        <v>#N/A</v>
      </c>
      <c r="F488" t="e">
        <f ca="1"/>
        <v>#N/A</v>
      </c>
      <c r="G488" t="e">
        <f ca="1"/>
        <v>#N/A</v>
      </c>
      <c r="H488" t="e">
        <f ca="1"/>
        <v>#N/A</v>
      </c>
      <c r="I488" t="e">
        <f ca="1"/>
        <v>#N/A</v>
      </c>
      <c r="J488" t="e">
        <f ca="1"/>
        <v>#N/A</v>
      </c>
      <c r="K488" s="49" t="e">
        <f ca="1"/>
        <v>#N/A</v>
      </c>
    </row>
    <row r="489" spans="1:11" x14ac:dyDescent="0.25">
      <c r="A489" s="2" t="e">
        <f ca="1"/>
        <v>#N/A</v>
      </c>
      <c r="C489" t="e">
        <f ca="1"/>
        <v>#N/A</v>
      </c>
      <c r="D489" t="e">
        <f ca="1"/>
        <v>#N/A</v>
      </c>
      <c r="E489" t="e">
        <f ca="1"/>
        <v>#N/A</v>
      </c>
      <c r="F489" t="e">
        <f ca="1"/>
        <v>#N/A</v>
      </c>
      <c r="G489" t="e">
        <f ca="1"/>
        <v>#N/A</v>
      </c>
      <c r="H489" t="e">
        <f ca="1"/>
        <v>#N/A</v>
      </c>
      <c r="I489" t="e">
        <f ca="1"/>
        <v>#N/A</v>
      </c>
      <c r="J489" t="e">
        <f ca="1"/>
        <v>#N/A</v>
      </c>
      <c r="K489" s="49" t="e">
        <f ca="1"/>
        <v>#N/A</v>
      </c>
    </row>
    <row r="490" spans="1:11" x14ac:dyDescent="0.25">
      <c r="A490" s="2" t="e">
        <f ca="1"/>
        <v>#N/A</v>
      </c>
      <c r="C490" t="e">
        <f ca="1"/>
        <v>#N/A</v>
      </c>
      <c r="D490" t="e">
        <f ca="1"/>
        <v>#N/A</v>
      </c>
      <c r="E490" t="e">
        <f ca="1"/>
        <v>#N/A</v>
      </c>
      <c r="F490" t="e">
        <f ca="1"/>
        <v>#N/A</v>
      </c>
      <c r="G490" t="e">
        <f ca="1"/>
        <v>#N/A</v>
      </c>
      <c r="H490" t="e">
        <f ca="1"/>
        <v>#N/A</v>
      </c>
      <c r="I490" t="e">
        <f ca="1"/>
        <v>#N/A</v>
      </c>
      <c r="J490" t="e">
        <f ca="1"/>
        <v>#N/A</v>
      </c>
      <c r="K490" s="49" t="e">
        <f ca="1"/>
        <v>#N/A</v>
      </c>
    </row>
    <row r="491" spans="1:11" x14ac:dyDescent="0.25">
      <c r="A491" s="2" t="e">
        <f ca="1"/>
        <v>#N/A</v>
      </c>
      <c r="C491" t="e">
        <f ca="1"/>
        <v>#N/A</v>
      </c>
      <c r="D491" t="e">
        <f ca="1"/>
        <v>#N/A</v>
      </c>
      <c r="E491" t="e">
        <f ca="1"/>
        <v>#N/A</v>
      </c>
      <c r="F491" t="e">
        <f ca="1"/>
        <v>#N/A</v>
      </c>
      <c r="G491" t="e">
        <f ca="1"/>
        <v>#N/A</v>
      </c>
      <c r="H491" t="e">
        <f ca="1"/>
        <v>#N/A</v>
      </c>
      <c r="I491" t="e">
        <f ca="1"/>
        <v>#N/A</v>
      </c>
      <c r="J491" t="e">
        <f ca="1"/>
        <v>#N/A</v>
      </c>
      <c r="K491" s="49" t="e">
        <f ca="1"/>
        <v>#N/A</v>
      </c>
    </row>
    <row r="492" spans="1:11" x14ac:dyDescent="0.25">
      <c r="A492" s="2" t="e">
        <f ca="1"/>
        <v>#N/A</v>
      </c>
      <c r="C492" t="e">
        <f ca="1"/>
        <v>#N/A</v>
      </c>
      <c r="D492" t="e">
        <f ca="1"/>
        <v>#N/A</v>
      </c>
      <c r="E492" t="e">
        <f ca="1"/>
        <v>#N/A</v>
      </c>
      <c r="F492" t="e">
        <f ca="1"/>
        <v>#N/A</v>
      </c>
      <c r="G492" t="e">
        <f ca="1"/>
        <v>#N/A</v>
      </c>
      <c r="H492" t="e">
        <f ca="1"/>
        <v>#N/A</v>
      </c>
      <c r="I492" t="e">
        <f ca="1"/>
        <v>#N/A</v>
      </c>
      <c r="J492" t="e">
        <f ca="1"/>
        <v>#N/A</v>
      </c>
      <c r="K492" s="49" t="e">
        <f ca="1"/>
        <v>#N/A</v>
      </c>
    </row>
    <row r="493" spans="1:11" x14ac:dyDescent="0.25">
      <c r="A493" s="2" t="e">
        <f ca="1"/>
        <v>#N/A</v>
      </c>
      <c r="C493" t="e">
        <f ca="1"/>
        <v>#N/A</v>
      </c>
      <c r="D493" t="e">
        <f ca="1"/>
        <v>#N/A</v>
      </c>
      <c r="E493" t="e">
        <f ca="1"/>
        <v>#N/A</v>
      </c>
      <c r="F493" t="e">
        <f ca="1"/>
        <v>#N/A</v>
      </c>
      <c r="G493" t="e">
        <f ca="1"/>
        <v>#N/A</v>
      </c>
      <c r="H493" t="e">
        <f ca="1"/>
        <v>#N/A</v>
      </c>
      <c r="I493" t="e">
        <f ca="1"/>
        <v>#N/A</v>
      </c>
      <c r="J493" t="e">
        <f ca="1"/>
        <v>#N/A</v>
      </c>
      <c r="K493" s="49" t="e">
        <f ca="1"/>
        <v>#N/A</v>
      </c>
    </row>
    <row r="494" spans="1:11" x14ac:dyDescent="0.25">
      <c r="A494" s="2" t="e">
        <f ca="1"/>
        <v>#N/A</v>
      </c>
      <c r="C494" t="e">
        <f ca="1"/>
        <v>#N/A</v>
      </c>
      <c r="D494" t="e">
        <f ca="1"/>
        <v>#N/A</v>
      </c>
      <c r="E494" t="e">
        <f ca="1"/>
        <v>#N/A</v>
      </c>
      <c r="F494" t="e">
        <f ca="1"/>
        <v>#N/A</v>
      </c>
      <c r="G494" t="e">
        <f ca="1"/>
        <v>#N/A</v>
      </c>
      <c r="H494" t="e">
        <f ca="1"/>
        <v>#N/A</v>
      </c>
      <c r="I494" t="e">
        <f ca="1"/>
        <v>#N/A</v>
      </c>
      <c r="J494" t="e">
        <f ca="1"/>
        <v>#N/A</v>
      </c>
      <c r="K494" s="49" t="e">
        <f ca="1"/>
        <v>#N/A</v>
      </c>
    </row>
    <row r="495" spans="1:11" x14ac:dyDescent="0.25">
      <c r="A495" s="2" t="e">
        <f ca="1"/>
        <v>#N/A</v>
      </c>
      <c r="C495" t="e">
        <f ca="1"/>
        <v>#N/A</v>
      </c>
      <c r="D495" t="e">
        <f ca="1"/>
        <v>#N/A</v>
      </c>
      <c r="E495" t="e">
        <f ca="1"/>
        <v>#N/A</v>
      </c>
      <c r="F495" t="e">
        <f ca="1"/>
        <v>#N/A</v>
      </c>
      <c r="G495" t="e">
        <f ca="1"/>
        <v>#N/A</v>
      </c>
      <c r="H495" t="e">
        <f ca="1"/>
        <v>#N/A</v>
      </c>
      <c r="I495" t="e">
        <f ca="1"/>
        <v>#N/A</v>
      </c>
      <c r="J495" t="e">
        <f ca="1"/>
        <v>#N/A</v>
      </c>
      <c r="K495" s="49" t="e">
        <f ca="1"/>
        <v>#N/A</v>
      </c>
    </row>
    <row r="496" spans="1:11" x14ac:dyDescent="0.25">
      <c r="A496" s="2" t="e">
        <f ca="1"/>
        <v>#N/A</v>
      </c>
      <c r="C496" t="e">
        <f ca="1"/>
        <v>#N/A</v>
      </c>
      <c r="D496" t="e">
        <f ca="1"/>
        <v>#N/A</v>
      </c>
      <c r="E496" t="e">
        <f ca="1"/>
        <v>#N/A</v>
      </c>
      <c r="F496" t="e">
        <f ca="1"/>
        <v>#N/A</v>
      </c>
      <c r="G496" t="e">
        <f ca="1"/>
        <v>#N/A</v>
      </c>
      <c r="H496" t="e">
        <f ca="1"/>
        <v>#N/A</v>
      </c>
      <c r="I496" t="e">
        <f ca="1"/>
        <v>#N/A</v>
      </c>
      <c r="J496" t="e">
        <f ca="1"/>
        <v>#N/A</v>
      </c>
      <c r="K496" s="49" t="e">
        <f ca="1"/>
        <v>#N/A</v>
      </c>
    </row>
    <row r="497" spans="1:11" x14ac:dyDescent="0.25">
      <c r="A497" s="2" t="e">
        <f ca="1"/>
        <v>#N/A</v>
      </c>
      <c r="C497" t="e">
        <f ca="1"/>
        <v>#N/A</v>
      </c>
      <c r="D497" t="e">
        <f ca="1"/>
        <v>#N/A</v>
      </c>
      <c r="E497" t="e">
        <f ca="1"/>
        <v>#N/A</v>
      </c>
      <c r="F497" t="e">
        <f ca="1"/>
        <v>#N/A</v>
      </c>
      <c r="G497" t="e">
        <f ca="1"/>
        <v>#N/A</v>
      </c>
      <c r="H497" t="e">
        <f ca="1"/>
        <v>#N/A</v>
      </c>
      <c r="I497" t="e">
        <f ca="1"/>
        <v>#N/A</v>
      </c>
      <c r="J497" t="e">
        <f ca="1"/>
        <v>#N/A</v>
      </c>
      <c r="K497" s="49" t="e">
        <f ca="1"/>
        <v>#N/A</v>
      </c>
    </row>
    <row r="498" spans="1:11" x14ac:dyDescent="0.25">
      <c r="A498" s="2" t="e">
        <f ca="1"/>
        <v>#N/A</v>
      </c>
      <c r="C498" t="e">
        <f ca="1"/>
        <v>#N/A</v>
      </c>
      <c r="D498" t="e">
        <f ca="1"/>
        <v>#N/A</v>
      </c>
      <c r="E498" t="e">
        <f ca="1"/>
        <v>#N/A</v>
      </c>
      <c r="F498" t="e">
        <f ca="1"/>
        <v>#N/A</v>
      </c>
      <c r="G498" t="e">
        <f ca="1"/>
        <v>#N/A</v>
      </c>
      <c r="H498" t="e">
        <f ca="1"/>
        <v>#N/A</v>
      </c>
      <c r="I498" t="e">
        <f ca="1"/>
        <v>#N/A</v>
      </c>
      <c r="J498" t="e">
        <f ca="1"/>
        <v>#N/A</v>
      </c>
      <c r="K498" s="49" t="e">
        <f ca="1"/>
        <v>#N/A</v>
      </c>
    </row>
    <row r="499" spans="1:11" x14ac:dyDescent="0.25">
      <c r="A499" s="2" t="e">
        <f ca="1"/>
        <v>#N/A</v>
      </c>
      <c r="C499" t="e">
        <f ca="1"/>
        <v>#N/A</v>
      </c>
      <c r="D499" t="e">
        <f ca="1"/>
        <v>#N/A</v>
      </c>
      <c r="E499" t="e">
        <f ca="1"/>
        <v>#N/A</v>
      </c>
      <c r="F499" t="e">
        <f ca="1"/>
        <v>#N/A</v>
      </c>
      <c r="G499" t="e">
        <f ca="1"/>
        <v>#N/A</v>
      </c>
      <c r="H499" t="e">
        <f ca="1"/>
        <v>#N/A</v>
      </c>
      <c r="I499" t="e">
        <f ca="1"/>
        <v>#N/A</v>
      </c>
      <c r="J499" t="e">
        <f ca="1"/>
        <v>#N/A</v>
      </c>
      <c r="K499" s="49" t="e">
        <f ca="1"/>
        <v>#N/A</v>
      </c>
    </row>
    <row r="500" spans="1:11" x14ac:dyDescent="0.25">
      <c r="A500" s="2" t="e">
        <f ca="1"/>
        <v>#N/A</v>
      </c>
      <c r="C500" t="e">
        <f ca="1"/>
        <v>#N/A</v>
      </c>
      <c r="D500" t="e">
        <f ca="1"/>
        <v>#N/A</v>
      </c>
      <c r="E500" t="e">
        <f ca="1"/>
        <v>#N/A</v>
      </c>
      <c r="F500" t="e">
        <f ca="1"/>
        <v>#N/A</v>
      </c>
      <c r="G500" t="e">
        <f ca="1"/>
        <v>#N/A</v>
      </c>
      <c r="H500" t="e">
        <f ca="1"/>
        <v>#N/A</v>
      </c>
      <c r="I500" t="e">
        <f ca="1"/>
        <v>#N/A</v>
      </c>
      <c r="J500" t="e">
        <f ca="1"/>
        <v>#N/A</v>
      </c>
      <c r="K500" s="49" t="e">
        <f ca="1"/>
        <v>#N/A</v>
      </c>
    </row>
    <row r="501" spans="1:11" x14ac:dyDescent="0.25">
      <c r="A501" s="2" t="e">
        <f ca="1"/>
        <v>#N/A</v>
      </c>
      <c r="C501" t="e">
        <f ca="1"/>
        <v>#N/A</v>
      </c>
      <c r="D501" t="e">
        <f ca="1"/>
        <v>#N/A</v>
      </c>
      <c r="E501" t="e">
        <f ca="1"/>
        <v>#N/A</v>
      </c>
      <c r="F501" t="e">
        <f ca="1"/>
        <v>#N/A</v>
      </c>
      <c r="G501" t="e">
        <f ca="1"/>
        <v>#N/A</v>
      </c>
      <c r="H501" t="e">
        <f ca="1"/>
        <v>#N/A</v>
      </c>
      <c r="I501" t="e">
        <f ca="1"/>
        <v>#N/A</v>
      </c>
      <c r="J501" t="e">
        <f ca="1"/>
        <v>#N/A</v>
      </c>
      <c r="K501" s="49" t="e">
        <f ca="1"/>
        <v>#N/A</v>
      </c>
    </row>
    <row r="502" spans="1:11" x14ac:dyDescent="0.25">
      <c r="A502" s="2" t="e">
        <f ca="1"/>
        <v>#N/A</v>
      </c>
      <c r="C502" t="e">
        <f ca="1"/>
        <v>#N/A</v>
      </c>
      <c r="D502" t="e">
        <f ca="1"/>
        <v>#N/A</v>
      </c>
      <c r="E502" t="e">
        <f ca="1"/>
        <v>#N/A</v>
      </c>
      <c r="F502" t="e">
        <f ca="1"/>
        <v>#N/A</v>
      </c>
      <c r="G502" t="e">
        <f ca="1"/>
        <v>#N/A</v>
      </c>
      <c r="H502" t="e">
        <f ca="1"/>
        <v>#N/A</v>
      </c>
      <c r="I502" t="e">
        <f ca="1"/>
        <v>#N/A</v>
      </c>
      <c r="J502" t="e">
        <f ca="1"/>
        <v>#N/A</v>
      </c>
      <c r="K502" s="49" t="e">
        <f ca="1"/>
        <v>#N/A</v>
      </c>
    </row>
    <row r="503" spans="1:11" x14ac:dyDescent="0.25">
      <c r="A503" s="2" t="e">
        <f ca="1"/>
        <v>#N/A</v>
      </c>
      <c r="C503" t="e">
        <f ca="1"/>
        <v>#N/A</v>
      </c>
      <c r="D503" t="e">
        <f ca="1"/>
        <v>#N/A</v>
      </c>
      <c r="E503" t="e">
        <f ca="1"/>
        <v>#N/A</v>
      </c>
      <c r="F503" t="e">
        <f ca="1"/>
        <v>#N/A</v>
      </c>
      <c r="G503" t="e">
        <f ca="1"/>
        <v>#N/A</v>
      </c>
      <c r="H503" t="e">
        <f ca="1"/>
        <v>#N/A</v>
      </c>
      <c r="I503" t="e">
        <f ca="1"/>
        <v>#N/A</v>
      </c>
      <c r="J503" t="e">
        <f ca="1"/>
        <v>#N/A</v>
      </c>
      <c r="K503" s="49" t="e">
        <f ca="1"/>
        <v>#N/A</v>
      </c>
    </row>
    <row r="504" spans="1:11" x14ac:dyDescent="0.25">
      <c r="A504" s="2" t="e">
        <f ca="1"/>
        <v>#N/A</v>
      </c>
      <c r="C504" t="e">
        <f ca="1"/>
        <v>#N/A</v>
      </c>
      <c r="D504" t="e">
        <f ca="1"/>
        <v>#N/A</v>
      </c>
      <c r="E504" t="e">
        <f ca="1"/>
        <v>#N/A</v>
      </c>
      <c r="F504" t="e">
        <f ca="1"/>
        <v>#N/A</v>
      </c>
      <c r="G504" t="e">
        <f ca="1"/>
        <v>#N/A</v>
      </c>
      <c r="H504" t="e">
        <f ca="1"/>
        <v>#N/A</v>
      </c>
      <c r="I504" t="e">
        <f ca="1"/>
        <v>#N/A</v>
      </c>
      <c r="J504" t="e">
        <f ca="1"/>
        <v>#N/A</v>
      </c>
      <c r="K504" s="49" t="e">
        <f ca="1"/>
        <v>#N/A</v>
      </c>
    </row>
    <row r="505" spans="1:11" x14ac:dyDescent="0.25">
      <c r="A505" s="2" t="e">
        <f ca="1"/>
        <v>#N/A</v>
      </c>
      <c r="C505" t="e">
        <f ca="1"/>
        <v>#N/A</v>
      </c>
      <c r="D505" t="e">
        <f ca="1"/>
        <v>#N/A</v>
      </c>
      <c r="E505" t="e">
        <f ca="1"/>
        <v>#N/A</v>
      </c>
      <c r="F505" t="e">
        <f ca="1"/>
        <v>#N/A</v>
      </c>
      <c r="G505" t="e">
        <f ca="1"/>
        <v>#N/A</v>
      </c>
      <c r="H505" t="e">
        <f ca="1"/>
        <v>#N/A</v>
      </c>
      <c r="I505" t="e">
        <f ca="1"/>
        <v>#N/A</v>
      </c>
      <c r="J505" t="e">
        <f ca="1"/>
        <v>#N/A</v>
      </c>
      <c r="K505" s="49" t="e">
        <f ca="1"/>
        <v>#N/A</v>
      </c>
    </row>
    <row r="506" spans="1:11" x14ac:dyDescent="0.25">
      <c r="A506" s="2" t="e">
        <f ca="1"/>
        <v>#N/A</v>
      </c>
      <c r="C506" t="e">
        <f ca="1"/>
        <v>#N/A</v>
      </c>
      <c r="D506" t="e">
        <f ca="1"/>
        <v>#N/A</v>
      </c>
      <c r="E506" t="e">
        <f ca="1"/>
        <v>#N/A</v>
      </c>
      <c r="F506" t="e">
        <f ca="1"/>
        <v>#N/A</v>
      </c>
      <c r="G506" t="e">
        <f ca="1"/>
        <v>#N/A</v>
      </c>
      <c r="H506" t="e">
        <f ca="1"/>
        <v>#N/A</v>
      </c>
      <c r="I506" t="e">
        <f ca="1"/>
        <v>#N/A</v>
      </c>
      <c r="J506" t="e">
        <f ca="1"/>
        <v>#N/A</v>
      </c>
      <c r="K506" s="49" t="e">
        <f ca="1"/>
        <v>#N/A</v>
      </c>
    </row>
    <row r="507" spans="1:11" x14ac:dyDescent="0.25">
      <c r="A507" s="2" t="e">
        <f ca="1"/>
        <v>#N/A</v>
      </c>
      <c r="C507" t="e">
        <f ca="1"/>
        <v>#N/A</v>
      </c>
      <c r="D507" t="e">
        <f ca="1"/>
        <v>#N/A</v>
      </c>
      <c r="E507" t="e">
        <f ca="1"/>
        <v>#N/A</v>
      </c>
      <c r="F507" t="e">
        <f ca="1"/>
        <v>#N/A</v>
      </c>
      <c r="G507" t="e">
        <f ca="1"/>
        <v>#N/A</v>
      </c>
      <c r="H507" t="e">
        <f ca="1"/>
        <v>#N/A</v>
      </c>
      <c r="I507" t="e">
        <f ca="1"/>
        <v>#N/A</v>
      </c>
      <c r="J507" t="e">
        <f ca="1"/>
        <v>#N/A</v>
      </c>
      <c r="K507" s="49" t="e">
        <f ca="1"/>
        <v>#N/A</v>
      </c>
    </row>
    <row r="508" spans="1:11" x14ac:dyDescent="0.25">
      <c r="A508" s="2" t="e">
        <f ca="1"/>
        <v>#N/A</v>
      </c>
      <c r="C508" t="e">
        <f ca="1"/>
        <v>#N/A</v>
      </c>
      <c r="D508" t="e">
        <f ca="1"/>
        <v>#N/A</v>
      </c>
      <c r="E508" t="e">
        <f ca="1"/>
        <v>#N/A</v>
      </c>
      <c r="F508" t="e">
        <f ca="1"/>
        <v>#N/A</v>
      </c>
      <c r="G508" t="e">
        <f ca="1"/>
        <v>#N/A</v>
      </c>
      <c r="H508" t="e">
        <f ca="1"/>
        <v>#N/A</v>
      </c>
      <c r="I508" t="e">
        <f ca="1"/>
        <v>#N/A</v>
      </c>
      <c r="J508" t="e">
        <f ca="1"/>
        <v>#N/A</v>
      </c>
      <c r="K508" s="49" t="e">
        <f ca="1"/>
        <v>#N/A</v>
      </c>
    </row>
    <row r="509" spans="1:11" x14ac:dyDescent="0.25">
      <c r="A509" s="2" t="e">
        <f ca="1"/>
        <v>#N/A</v>
      </c>
      <c r="C509" t="e">
        <f ca="1"/>
        <v>#N/A</v>
      </c>
      <c r="D509" t="e">
        <f ca="1"/>
        <v>#N/A</v>
      </c>
      <c r="E509" t="e">
        <f ca="1"/>
        <v>#N/A</v>
      </c>
      <c r="F509" t="e">
        <f ca="1"/>
        <v>#N/A</v>
      </c>
      <c r="G509" t="e">
        <f ca="1"/>
        <v>#N/A</v>
      </c>
      <c r="H509" t="e">
        <f ca="1"/>
        <v>#N/A</v>
      </c>
      <c r="I509" t="e">
        <f ca="1"/>
        <v>#N/A</v>
      </c>
      <c r="J509" t="e">
        <f ca="1"/>
        <v>#N/A</v>
      </c>
      <c r="K509" s="49" t="e">
        <f ca="1"/>
        <v>#N/A</v>
      </c>
    </row>
    <row r="510" spans="1:11" x14ac:dyDescent="0.25">
      <c r="A510" s="2" t="e">
        <f ca="1"/>
        <v>#N/A</v>
      </c>
      <c r="C510" t="e">
        <f ca="1"/>
        <v>#N/A</v>
      </c>
      <c r="D510" t="e">
        <f ca="1"/>
        <v>#N/A</v>
      </c>
      <c r="E510" t="e">
        <f ca="1"/>
        <v>#N/A</v>
      </c>
      <c r="F510" t="e">
        <f ca="1"/>
        <v>#N/A</v>
      </c>
      <c r="G510" t="e">
        <f ca="1"/>
        <v>#N/A</v>
      </c>
      <c r="H510" t="e">
        <f ca="1"/>
        <v>#N/A</v>
      </c>
      <c r="I510" t="e">
        <f ca="1"/>
        <v>#N/A</v>
      </c>
      <c r="J510" t="e">
        <f ca="1"/>
        <v>#N/A</v>
      </c>
      <c r="K510" s="49" t="e">
        <f ca="1"/>
        <v>#N/A</v>
      </c>
    </row>
    <row r="511" spans="1:11" x14ac:dyDescent="0.25">
      <c r="A511" s="2" t="e">
        <f ca="1"/>
        <v>#N/A</v>
      </c>
      <c r="C511" t="e">
        <f ca="1"/>
        <v>#N/A</v>
      </c>
      <c r="D511" t="e">
        <f ca="1"/>
        <v>#N/A</v>
      </c>
      <c r="E511" t="e">
        <f ca="1"/>
        <v>#N/A</v>
      </c>
      <c r="F511" t="e">
        <f ca="1"/>
        <v>#N/A</v>
      </c>
      <c r="G511" t="e">
        <f ca="1"/>
        <v>#N/A</v>
      </c>
      <c r="H511" t="e">
        <f ca="1"/>
        <v>#N/A</v>
      </c>
      <c r="I511" t="e">
        <f ca="1"/>
        <v>#N/A</v>
      </c>
      <c r="J511" t="e">
        <f ca="1"/>
        <v>#N/A</v>
      </c>
      <c r="K511" s="49" t="e">
        <f ca="1"/>
        <v>#N/A</v>
      </c>
    </row>
    <row r="512" spans="1:11" x14ac:dyDescent="0.25">
      <c r="A512" s="2" t="e">
        <f ca="1"/>
        <v>#N/A</v>
      </c>
      <c r="C512" t="e">
        <f ca="1"/>
        <v>#N/A</v>
      </c>
      <c r="D512" t="e">
        <f ca="1"/>
        <v>#N/A</v>
      </c>
      <c r="E512" t="e">
        <f ca="1"/>
        <v>#N/A</v>
      </c>
      <c r="F512" t="e">
        <f ca="1"/>
        <v>#N/A</v>
      </c>
      <c r="G512" t="e">
        <f ca="1"/>
        <v>#N/A</v>
      </c>
      <c r="H512" t="e">
        <f ca="1"/>
        <v>#N/A</v>
      </c>
      <c r="I512" t="e">
        <f ca="1"/>
        <v>#N/A</v>
      </c>
      <c r="J512" t="e">
        <f ca="1"/>
        <v>#N/A</v>
      </c>
      <c r="K512" s="49" t="e">
        <f ca="1"/>
        <v>#N/A</v>
      </c>
    </row>
    <row r="513" spans="1:11" x14ac:dyDescent="0.25">
      <c r="A513" s="2" t="e">
        <f ca="1"/>
        <v>#N/A</v>
      </c>
      <c r="C513" t="e">
        <f ca="1"/>
        <v>#N/A</v>
      </c>
      <c r="D513" t="e">
        <f ca="1"/>
        <v>#N/A</v>
      </c>
      <c r="E513" t="e">
        <f ca="1"/>
        <v>#N/A</v>
      </c>
      <c r="F513" t="e">
        <f ca="1"/>
        <v>#N/A</v>
      </c>
      <c r="G513" t="e">
        <f ca="1"/>
        <v>#N/A</v>
      </c>
      <c r="H513" t="e">
        <f ca="1"/>
        <v>#N/A</v>
      </c>
      <c r="I513" t="e">
        <f ca="1"/>
        <v>#N/A</v>
      </c>
      <c r="J513" t="e">
        <f ca="1"/>
        <v>#N/A</v>
      </c>
      <c r="K513" s="49" t="e">
        <f ca="1"/>
        <v>#N/A</v>
      </c>
    </row>
    <row r="514" spans="1:11" x14ac:dyDescent="0.25">
      <c r="A514" s="2" t="e">
        <f ca="1"/>
        <v>#N/A</v>
      </c>
      <c r="C514" t="e">
        <f ca="1"/>
        <v>#N/A</v>
      </c>
      <c r="D514" t="e">
        <f ca="1"/>
        <v>#N/A</v>
      </c>
      <c r="E514" t="e">
        <f ca="1"/>
        <v>#N/A</v>
      </c>
      <c r="F514" t="e">
        <f ca="1"/>
        <v>#N/A</v>
      </c>
      <c r="G514" t="e">
        <f ca="1"/>
        <v>#N/A</v>
      </c>
      <c r="H514" t="e">
        <f ca="1"/>
        <v>#N/A</v>
      </c>
      <c r="I514" t="e">
        <f ca="1"/>
        <v>#N/A</v>
      </c>
      <c r="J514" t="e">
        <f ca="1"/>
        <v>#N/A</v>
      </c>
      <c r="K514" s="49" t="e">
        <f ca="1"/>
        <v>#N/A</v>
      </c>
    </row>
    <row r="515" spans="1:11" x14ac:dyDescent="0.25">
      <c r="A515" s="2" t="e">
        <f ca="1"/>
        <v>#N/A</v>
      </c>
      <c r="C515" t="e">
        <f ca="1"/>
        <v>#N/A</v>
      </c>
      <c r="D515" t="e">
        <f ca="1"/>
        <v>#N/A</v>
      </c>
      <c r="E515" t="e">
        <f ca="1"/>
        <v>#N/A</v>
      </c>
      <c r="F515" t="e">
        <f ca="1"/>
        <v>#N/A</v>
      </c>
      <c r="G515" t="e">
        <f ca="1"/>
        <v>#N/A</v>
      </c>
      <c r="H515" t="e">
        <f ca="1"/>
        <v>#N/A</v>
      </c>
      <c r="I515" t="e">
        <f ca="1"/>
        <v>#N/A</v>
      </c>
      <c r="J515" t="e">
        <f ca="1"/>
        <v>#N/A</v>
      </c>
      <c r="K515" s="49" t="e">
        <f ca="1"/>
        <v>#N/A</v>
      </c>
    </row>
    <row r="516" spans="1:11" x14ac:dyDescent="0.25">
      <c r="A516" s="2" t="e">
        <f ca="1"/>
        <v>#N/A</v>
      </c>
      <c r="C516" t="e">
        <f ca="1"/>
        <v>#N/A</v>
      </c>
      <c r="D516" t="e">
        <f ca="1"/>
        <v>#N/A</v>
      </c>
      <c r="E516" t="e">
        <f ca="1"/>
        <v>#N/A</v>
      </c>
      <c r="F516" t="e">
        <f ca="1"/>
        <v>#N/A</v>
      </c>
      <c r="G516" t="e">
        <f ca="1"/>
        <v>#N/A</v>
      </c>
      <c r="H516" t="e">
        <f ca="1"/>
        <v>#N/A</v>
      </c>
      <c r="I516" t="e">
        <f ca="1"/>
        <v>#N/A</v>
      </c>
      <c r="J516" t="e">
        <f ca="1"/>
        <v>#N/A</v>
      </c>
      <c r="K516" s="49" t="e">
        <f ca="1"/>
        <v>#N/A</v>
      </c>
    </row>
    <row r="517" spans="1:11" x14ac:dyDescent="0.25">
      <c r="A517" s="2" t="e">
        <f ca="1"/>
        <v>#N/A</v>
      </c>
      <c r="C517" t="e">
        <f ca="1"/>
        <v>#N/A</v>
      </c>
      <c r="D517" t="e">
        <f ca="1"/>
        <v>#N/A</v>
      </c>
      <c r="E517" t="e">
        <f ca="1"/>
        <v>#N/A</v>
      </c>
      <c r="F517" t="e">
        <f ca="1"/>
        <v>#N/A</v>
      </c>
      <c r="G517" t="e">
        <f ca="1"/>
        <v>#N/A</v>
      </c>
      <c r="H517" t="e">
        <f ca="1"/>
        <v>#N/A</v>
      </c>
      <c r="I517" t="e">
        <f ca="1"/>
        <v>#N/A</v>
      </c>
      <c r="J517" t="e">
        <f ca="1"/>
        <v>#N/A</v>
      </c>
      <c r="K517" s="49" t="e">
        <f ca="1"/>
        <v>#N/A</v>
      </c>
    </row>
    <row r="518" spans="1:11" x14ac:dyDescent="0.25">
      <c r="A518" s="2" t="e">
        <f ca="1"/>
        <v>#N/A</v>
      </c>
      <c r="C518" t="e">
        <f ca="1"/>
        <v>#N/A</v>
      </c>
      <c r="D518" t="e">
        <f ca="1"/>
        <v>#N/A</v>
      </c>
      <c r="E518" t="e">
        <f ca="1"/>
        <v>#N/A</v>
      </c>
      <c r="F518" t="e">
        <f ca="1"/>
        <v>#N/A</v>
      </c>
      <c r="G518" t="e">
        <f ca="1"/>
        <v>#N/A</v>
      </c>
      <c r="H518" t="e">
        <f ca="1"/>
        <v>#N/A</v>
      </c>
      <c r="I518" t="e">
        <f ca="1"/>
        <v>#N/A</v>
      </c>
      <c r="J518" t="e">
        <f ca="1"/>
        <v>#N/A</v>
      </c>
      <c r="K518" s="49" t="e">
        <f ca="1"/>
        <v>#N/A</v>
      </c>
    </row>
    <row r="519" spans="1:11" x14ac:dyDescent="0.25">
      <c r="A519" s="2" t="e">
        <f ca="1"/>
        <v>#N/A</v>
      </c>
      <c r="C519" t="e">
        <f ca="1"/>
        <v>#N/A</v>
      </c>
      <c r="D519" t="e">
        <f ca="1"/>
        <v>#N/A</v>
      </c>
      <c r="E519" t="e">
        <f ca="1"/>
        <v>#N/A</v>
      </c>
      <c r="F519" t="e">
        <f ca="1"/>
        <v>#N/A</v>
      </c>
      <c r="G519" t="e">
        <f ca="1"/>
        <v>#N/A</v>
      </c>
      <c r="H519" t="e">
        <f ca="1"/>
        <v>#N/A</v>
      </c>
      <c r="I519" t="e">
        <f ca="1"/>
        <v>#N/A</v>
      </c>
      <c r="J519" t="e">
        <f ca="1"/>
        <v>#N/A</v>
      </c>
      <c r="K519" s="49" t="e">
        <f ca="1"/>
        <v>#N/A</v>
      </c>
    </row>
    <row r="520" spans="1:11" x14ac:dyDescent="0.25">
      <c r="A520" s="2" t="e">
        <f ca="1"/>
        <v>#N/A</v>
      </c>
      <c r="C520" t="e">
        <f ca="1"/>
        <v>#N/A</v>
      </c>
      <c r="D520" t="e">
        <f ca="1"/>
        <v>#N/A</v>
      </c>
      <c r="E520" t="e">
        <f ca="1"/>
        <v>#N/A</v>
      </c>
      <c r="F520" t="e">
        <f ca="1"/>
        <v>#N/A</v>
      </c>
      <c r="G520" t="e">
        <f ca="1"/>
        <v>#N/A</v>
      </c>
      <c r="H520" t="e">
        <f ca="1"/>
        <v>#N/A</v>
      </c>
      <c r="I520" t="e">
        <f ca="1"/>
        <v>#N/A</v>
      </c>
      <c r="J520" t="e">
        <f ca="1"/>
        <v>#N/A</v>
      </c>
      <c r="K520" s="49" t="e">
        <f ca="1"/>
        <v>#N/A</v>
      </c>
    </row>
    <row r="521" spans="1:11" x14ac:dyDescent="0.25">
      <c r="A521" s="2" t="e">
        <f ca="1"/>
        <v>#N/A</v>
      </c>
      <c r="C521" t="e">
        <f ca="1"/>
        <v>#N/A</v>
      </c>
      <c r="D521" t="e">
        <f ca="1"/>
        <v>#N/A</v>
      </c>
      <c r="E521" t="e">
        <f ca="1"/>
        <v>#N/A</v>
      </c>
      <c r="F521" t="e">
        <f ca="1"/>
        <v>#N/A</v>
      </c>
      <c r="G521" t="e">
        <f ca="1"/>
        <v>#N/A</v>
      </c>
      <c r="H521" t="e">
        <f ca="1"/>
        <v>#N/A</v>
      </c>
      <c r="I521" t="e">
        <f ca="1"/>
        <v>#N/A</v>
      </c>
      <c r="J521" t="e">
        <f ca="1"/>
        <v>#N/A</v>
      </c>
      <c r="K521" s="49" t="e">
        <f ca="1"/>
        <v>#N/A</v>
      </c>
    </row>
    <row r="522" spans="1:11" x14ac:dyDescent="0.25">
      <c r="A522" s="2" t="e">
        <f ca="1"/>
        <v>#N/A</v>
      </c>
      <c r="C522" t="e">
        <f ca="1"/>
        <v>#N/A</v>
      </c>
      <c r="D522" t="e">
        <f ca="1"/>
        <v>#N/A</v>
      </c>
      <c r="E522" t="e">
        <f ca="1"/>
        <v>#N/A</v>
      </c>
      <c r="F522" t="e">
        <f ca="1"/>
        <v>#N/A</v>
      </c>
      <c r="G522" t="e">
        <f ca="1"/>
        <v>#N/A</v>
      </c>
      <c r="H522" t="e">
        <f ca="1"/>
        <v>#N/A</v>
      </c>
      <c r="I522" t="e">
        <f ca="1"/>
        <v>#N/A</v>
      </c>
      <c r="J522" t="e">
        <f ca="1"/>
        <v>#N/A</v>
      </c>
      <c r="K522" s="49" t="e">
        <f ca="1"/>
        <v>#N/A</v>
      </c>
    </row>
    <row r="523" spans="1:11" x14ac:dyDescent="0.25">
      <c r="A523" s="2" t="e">
        <f ca="1"/>
        <v>#N/A</v>
      </c>
      <c r="C523" t="e">
        <f ca="1"/>
        <v>#N/A</v>
      </c>
      <c r="D523" t="e">
        <f ca="1"/>
        <v>#N/A</v>
      </c>
      <c r="E523" t="e">
        <f ca="1"/>
        <v>#N/A</v>
      </c>
      <c r="F523" t="e">
        <f ca="1"/>
        <v>#N/A</v>
      </c>
      <c r="G523" t="e">
        <f ca="1"/>
        <v>#N/A</v>
      </c>
      <c r="H523" t="e">
        <f ca="1"/>
        <v>#N/A</v>
      </c>
      <c r="I523" t="e">
        <f ca="1"/>
        <v>#N/A</v>
      </c>
      <c r="J523" t="e">
        <f ca="1"/>
        <v>#N/A</v>
      </c>
      <c r="K523" s="49" t="e">
        <f ca="1"/>
        <v>#N/A</v>
      </c>
    </row>
    <row r="524" spans="1:11" x14ac:dyDescent="0.25">
      <c r="A524" s="2" t="e">
        <f ca="1"/>
        <v>#N/A</v>
      </c>
      <c r="C524" t="e">
        <f ca="1"/>
        <v>#N/A</v>
      </c>
      <c r="D524" t="e">
        <f ca="1"/>
        <v>#N/A</v>
      </c>
      <c r="E524" t="e">
        <f ca="1"/>
        <v>#N/A</v>
      </c>
      <c r="F524" t="e">
        <f ca="1"/>
        <v>#N/A</v>
      </c>
      <c r="G524" t="e">
        <f ca="1"/>
        <v>#N/A</v>
      </c>
      <c r="H524" t="e">
        <f ca="1"/>
        <v>#N/A</v>
      </c>
      <c r="I524" t="e">
        <f ca="1"/>
        <v>#N/A</v>
      </c>
      <c r="J524" t="e">
        <f ca="1"/>
        <v>#N/A</v>
      </c>
      <c r="K524" s="49" t="e">
        <f ca="1"/>
        <v>#N/A</v>
      </c>
    </row>
    <row r="525" spans="1:11" x14ac:dyDescent="0.25">
      <c r="A525" s="2" t="e">
        <f ca="1"/>
        <v>#N/A</v>
      </c>
      <c r="C525" t="e">
        <f ca="1"/>
        <v>#N/A</v>
      </c>
      <c r="D525" t="e">
        <f ca="1"/>
        <v>#N/A</v>
      </c>
      <c r="E525" t="e">
        <f ca="1"/>
        <v>#N/A</v>
      </c>
      <c r="F525" t="e">
        <f ca="1"/>
        <v>#N/A</v>
      </c>
      <c r="G525" t="e">
        <f ca="1"/>
        <v>#N/A</v>
      </c>
      <c r="H525" t="e">
        <f ca="1"/>
        <v>#N/A</v>
      </c>
      <c r="I525" t="e">
        <f ca="1"/>
        <v>#N/A</v>
      </c>
      <c r="J525" t="e">
        <f ca="1"/>
        <v>#N/A</v>
      </c>
      <c r="K525" s="49" t="e">
        <f ca="1"/>
        <v>#N/A</v>
      </c>
    </row>
    <row r="526" spans="1:11" x14ac:dyDescent="0.25">
      <c r="A526" s="2" t="e">
        <f ca="1"/>
        <v>#N/A</v>
      </c>
      <c r="C526" t="e">
        <f ca="1"/>
        <v>#N/A</v>
      </c>
      <c r="D526" t="e">
        <f ca="1"/>
        <v>#N/A</v>
      </c>
      <c r="E526" t="e">
        <f ca="1"/>
        <v>#N/A</v>
      </c>
      <c r="F526" t="e">
        <f ca="1"/>
        <v>#N/A</v>
      </c>
      <c r="G526" t="e">
        <f ca="1"/>
        <v>#N/A</v>
      </c>
      <c r="H526" t="e">
        <f ca="1"/>
        <v>#N/A</v>
      </c>
      <c r="I526" t="e">
        <f ca="1"/>
        <v>#N/A</v>
      </c>
      <c r="J526" t="e">
        <f ca="1"/>
        <v>#N/A</v>
      </c>
      <c r="K526" s="49" t="e">
        <f ca="1"/>
        <v>#N/A</v>
      </c>
    </row>
    <row r="527" spans="1:11" x14ac:dyDescent="0.25">
      <c r="A527" s="2" t="e">
        <f ca="1"/>
        <v>#N/A</v>
      </c>
      <c r="C527" t="e">
        <f ca="1"/>
        <v>#N/A</v>
      </c>
      <c r="D527" t="e">
        <f ca="1"/>
        <v>#N/A</v>
      </c>
      <c r="E527" t="e">
        <f ca="1"/>
        <v>#N/A</v>
      </c>
      <c r="F527" t="e">
        <f ca="1"/>
        <v>#N/A</v>
      </c>
      <c r="G527" t="e">
        <f ca="1"/>
        <v>#N/A</v>
      </c>
      <c r="H527" t="e">
        <f ca="1"/>
        <v>#N/A</v>
      </c>
      <c r="I527" t="e">
        <f ca="1"/>
        <v>#N/A</v>
      </c>
      <c r="J527" t="e">
        <f ca="1"/>
        <v>#N/A</v>
      </c>
      <c r="K527" s="49" t="e">
        <f ca="1"/>
        <v>#N/A</v>
      </c>
    </row>
    <row r="528" spans="1:11" x14ac:dyDescent="0.25">
      <c r="A528" s="2" t="e">
        <f ca="1"/>
        <v>#N/A</v>
      </c>
      <c r="C528" t="e">
        <f ca="1"/>
        <v>#N/A</v>
      </c>
      <c r="D528" t="e">
        <f ca="1"/>
        <v>#N/A</v>
      </c>
      <c r="E528" t="e">
        <f ca="1"/>
        <v>#N/A</v>
      </c>
      <c r="F528" t="e">
        <f ca="1"/>
        <v>#N/A</v>
      </c>
      <c r="G528" t="e">
        <f ca="1"/>
        <v>#N/A</v>
      </c>
      <c r="H528" t="e">
        <f ca="1"/>
        <v>#N/A</v>
      </c>
      <c r="I528" t="e">
        <f ca="1"/>
        <v>#N/A</v>
      </c>
      <c r="J528" t="e">
        <f ca="1"/>
        <v>#N/A</v>
      </c>
      <c r="K528" s="49" t="e">
        <f ca="1"/>
        <v>#N/A</v>
      </c>
    </row>
    <row r="529" spans="1:11" x14ac:dyDescent="0.25">
      <c r="A529" s="2" t="e">
        <f ca="1"/>
        <v>#N/A</v>
      </c>
      <c r="C529" t="e">
        <f ca="1"/>
        <v>#N/A</v>
      </c>
      <c r="D529" t="e">
        <f ca="1"/>
        <v>#N/A</v>
      </c>
      <c r="E529" t="e">
        <f ca="1"/>
        <v>#N/A</v>
      </c>
      <c r="F529" t="e">
        <f ca="1"/>
        <v>#N/A</v>
      </c>
      <c r="G529" t="e">
        <f ca="1"/>
        <v>#N/A</v>
      </c>
      <c r="H529" t="e">
        <f ca="1"/>
        <v>#N/A</v>
      </c>
      <c r="I529" t="e">
        <f ca="1"/>
        <v>#N/A</v>
      </c>
      <c r="J529" t="e">
        <f ca="1"/>
        <v>#N/A</v>
      </c>
      <c r="K529" s="49" t="e">
        <f ca="1"/>
        <v>#N/A</v>
      </c>
    </row>
    <row r="530" spans="1:11" x14ac:dyDescent="0.25">
      <c r="A530" s="2" t="e">
        <f ca="1"/>
        <v>#N/A</v>
      </c>
      <c r="C530" t="e">
        <f ca="1"/>
        <v>#N/A</v>
      </c>
      <c r="D530" t="e">
        <f ca="1"/>
        <v>#N/A</v>
      </c>
      <c r="E530" t="e">
        <f ca="1"/>
        <v>#N/A</v>
      </c>
      <c r="F530" t="e">
        <f ca="1"/>
        <v>#N/A</v>
      </c>
      <c r="G530" t="e">
        <f ca="1"/>
        <v>#N/A</v>
      </c>
      <c r="H530" t="e">
        <f ca="1"/>
        <v>#N/A</v>
      </c>
      <c r="I530" t="e">
        <f ca="1"/>
        <v>#N/A</v>
      </c>
      <c r="J530" t="e">
        <f ca="1"/>
        <v>#N/A</v>
      </c>
      <c r="K530" s="49" t="e">
        <f ca="1"/>
        <v>#N/A</v>
      </c>
    </row>
    <row r="531" spans="1:11" x14ac:dyDescent="0.25">
      <c r="A531" s="2" t="e">
        <f ca="1"/>
        <v>#N/A</v>
      </c>
      <c r="C531" t="e">
        <f ca="1"/>
        <v>#N/A</v>
      </c>
      <c r="D531" t="e">
        <f ca="1"/>
        <v>#N/A</v>
      </c>
      <c r="E531" t="e">
        <f ca="1"/>
        <v>#N/A</v>
      </c>
      <c r="F531" t="e">
        <f ca="1"/>
        <v>#N/A</v>
      </c>
      <c r="G531" t="e">
        <f ca="1"/>
        <v>#N/A</v>
      </c>
      <c r="H531" t="e">
        <f ca="1"/>
        <v>#N/A</v>
      </c>
      <c r="I531" t="e">
        <f ca="1"/>
        <v>#N/A</v>
      </c>
      <c r="J531" t="e">
        <f ca="1"/>
        <v>#N/A</v>
      </c>
      <c r="K531" s="49" t="e">
        <f ca="1"/>
        <v>#N/A</v>
      </c>
    </row>
    <row r="532" spans="1:11" x14ac:dyDescent="0.25">
      <c r="A532" s="2" t="e">
        <f ca="1"/>
        <v>#N/A</v>
      </c>
      <c r="C532" t="e">
        <f ca="1"/>
        <v>#N/A</v>
      </c>
      <c r="D532" t="e">
        <f ca="1"/>
        <v>#N/A</v>
      </c>
      <c r="E532" t="e">
        <f ca="1"/>
        <v>#N/A</v>
      </c>
      <c r="F532" t="e">
        <f ca="1"/>
        <v>#N/A</v>
      </c>
      <c r="G532" t="e">
        <f ca="1"/>
        <v>#N/A</v>
      </c>
      <c r="H532" t="e">
        <f ca="1"/>
        <v>#N/A</v>
      </c>
      <c r="I532" t="e">
        <f ca="1"/>
        <v>#N/A</v>
      </c>
      <c r="J532" t="e">
        <f ca="1"/>
        <v>#N/A</v>
      </c>
      <c r="K532" s="49" t="e">
        <f ca="1"/>
        <v>#N/A</v>
      </c>
    </row>
    <row r="533" spans="1:11" x14ac:dyDescent="0.25">
      <c r="A533" s="2" t="e">
        <f ca="1"/>
        <v>#N/A</v>
      </c>
      <c r="C533" t="e">
        <f ca="1"/>
        <v>#N/A</v>
      </c>
      <c r="D533" t="e">
        <f ca="1"/>
        <v>#N/A</v>
      </c>
      <c r="E533" t="e">
        <f ca="1"/>
        <v>#N/A</v>
      </c>
      <c r="F533" t="e">
        <f ca="1"/>
        <v>#N/A</v>
      </c>
      <c r="G533" t="e">
        <f ca="1"/>
        <v>#N/A</v>
      </c>
      <c r="H533" t="e">
        <f ca="1"/>
        <v>#N/A</v>
      </c>
      <c r="I533" t="e">
        <f ca="1"/>
        <v>#N/A</v>
      </c>
      <c r="J533" t="e">
        <f ca="1"/>
        <v>#N/A</v>
      </c>
      <c r="K533" s="49" t="e">
        <f ca="1"/>
        <v>#N/A</v>
      </c>
    </row>
    <row r="534" spans="1:11" x14ac:dyDescent="0.25">
      <c r="A534" s="2" t="e">
        <f ca="1"/>
        <v>#N/A</v>
      </c>
      <c r="C534" t="e">
        <f ca="1"/>
        <v>#N/A</v>
      </c>
      <c r="D534" t="e">
        <f ca="1"/>
        <v>#N/A</v>
      </c>
      <c r="E534" t="e">
        <f ca="1"/>
        <v>#N/A</v>
      </c>
      <c r="F534" t="e">
        <f ca="1"/>
        <v>#N/A</v>
      </c>
      <c r="G534" t="e">
        <f ca="1"/>
        <v>#N/A</v>
      </c>
      <c r="H534" t="e">
        <f ca="1"/>
        <v>#N/A</v>
      </c>
      <c r="I534" t="e">
        <f ca="1"/>
        <v>#N/A</v>
      </c>
      <c r="J534" t="e">
        <f ca="1"/>
        <v>#N/A</v>
      </c>
      <c r="K534" s="49" t="e">
        <f ca="1"/>
        <v>#N/A</v>
      </c>
    </row>
    <row r="535" spans="1:11" x14ac:dyDescent="0.25">
      <c r="A535" s="2" t="e">
        <f ca="1"/>
        <v>#N/A</v>
      </c>
      <c r="C535" t="e">
        <f ca="1"/>
        <v>#N/A</v>
      </c>
      <c r="D535" t="e">
        <f ca="1"/>
        <v>#N/A</v>
      </c>
      <c r="E535" t="e">
        <f ca="1"/>
        <v>#N/A</v>
      </c>
      <c r="F535" t="e">
        <f ca="1"/>
        <v>#N/A</v>
      </c>
      <c r="G535" t="e">
        <f ca="1"/>
        <v>#N/A</v>
      </c>
      <c r="H535" t="e">
        <f ca="1"/>
        <v>#N/A</v>
      </c>
      <c r="I535" t="e">
        <f ca="1"/>
        <v>#N/A</v>
      </c>
      <c r="J535" t="e">
        <f ca="1"/>
        <v>#N/A</v>
      </c>
      <c r="K535" s="49" t="e">
        <f ca="1"/>
        <v>#N/A</v>
      </c>
    </row>
    <row r="536" spans="1:11" x14ac:dyDescent="0.25">
      <c r="A536" s="2" t="e">
        <f ca="1"/>
        <v>#N/A</v>
      </c>
      <c r="C536" t="e">
        <f ca="1"/>
        <v>#N/A</v>
      </c>
      <c r="D536" t="e">
        <f ca="1"/>
        <v>#N/A</v>
      </c>
      <c r="E536" t="e">
        <f ca="1"/>
        <v>#N/A</v>
      </c>
      <c r="F536" t="e">
        <f ca="1"/>
        <v>#N/A</v>
      </c>
      <c r="G536" t="e">
        <f ca="1"/>
        <v>#N/A</v>
      </c>
      <c r="H536" t="e">
        <f ca="1"/>
        <v>#N/A</v>
      </c>
      <c r="I536" t="e">
        <f ca="1"/>
        <v>#N/A</v>
      </c>
      <c r="J536" t="e">
        <f ca="1"/>
        <v>#N/A</v>
      </c>
      <c r="K536" s="49" t="e">
        <f ca="1"/>
        <v>#N/A</v>
      </c>
    </row>
    <row r="537" spans="1:11" x14ac:dyDescent="0.25">
      <c r="A537" s="2" t="e">
        <f ca="1"/>
        <v>#N/A</v>
      </c>
      <c r="C537" t="e">
        <f ca="1"/>
        <v>#N/A</v>
      </c>
      <c r="D537" t="e">
        <f ca="1"/>
        <v>#N/A</v>
      </c>
      <c r="E537" t="e">
        <f ca="1"/>
        <v>#N/A</v>
      </c>
      <c r="F537" t="e">
        <f ca="1"/>
        <v>#N/A</v>
      </c>
      <c r="G537" t="e">
        <f ca="1"/>
        <v>#N/A</v>
      </c>
      <c r="H537" t="e">
        <f ca="1"/>
        <v>#N/A</v>
      </c>
      <c r="I537" t="e">
        <f ca="1"/>
        <v>#N/A</v>
      </c>
      <c r="J537" t="e">
        <f ca="1"/>
        <v>#N/A</v>
      </c>
      <c r="K537" s="49" t="e">
        <f ca="1"/>
        <v>#N/A</v>
      </c>
    </row>
    <row r="538" spans="1:11" x14ac:dyDescent="0.25">
      <c r="A538" s="2" t="e">
        <f ca="1"/>
        <v>#N/A</v>
      </c>
      <c r="C538" t="e">
        <f ca="1"/>
        <v>#N/A</v>
      </c>
      <c r="D538" t="e">
        <f ca="1"/>
        <v>#N/A</v>
      </c>
      <c r="E538" t="e">
        <f ca="1"/>
        <v>#N/A</v>
      </c>
      <c r="F538" t="e">
        <f ca="1"/>
        <v>#N/A</v>
      </c>
      <c r="G538" t="e">
        <f ca="1"/>
        <v>#N/A</v>
      </c>
      <c r="H538" t="e">
        <f ca="1"/>
        <v>#N/A</v>
      </c>
      <c r="I538" t="e">
        <f ca="1"/>
        <v>#N/A</v>
      </c>
      <c r="J538" t="e">
        <f ca="1"/>
        <v>#N/A</v>
      </c>
      <c r="K538" s="49" t="e">
        <f ca="1"/>
        <v>#N/A</v>
      </c>
    </row>
    <row r="539" spans="1:11" x14ac:dyDescent="0.25">
      <c r="A539" s="2" t="e">
        <f ca="1"/>
        <v>#N/A</v>
      </c>
      <c r="C539" t="e">
        <f ca="1"/>
        <v>#N/A</v>
      </c>
      <c r="D539" t="e">
        <f ca="1"/>
        <v>#N/A</v>
      </c>
      <c r="E539" t="e">
        <f ca="1"/>
        <v>#N/A</v>
      </c>
      <c r="F539" t="e">
        <f ca="1"/>
        <v>#N/A</v>
      </c>
      <c r="G539" t="e">
        <f ca="1"/>
        <v>#N/A</v>
      </c>
      <c r="H539" t="e">
        <f ca="1"/>
        <v>#N/A</v>
      </c>
      <c r="I539" t="e">
        <f ca="1"/>
        <v>#N/A</v>
      </c>
      <c r="J539" t="e">
        <f ca="1"/>
        <v>#N/A</v>
      </c>
      <c r="K539" s="49" t="e">
        <f ca="1"/>
        <v>#N/A</v>
      </c>
    </row>
    <row r="540" spans="1:11" x14ac:dyDescent="0.25">
      <c r="A540" s="2" t="e">
        <f ca="1"/>
        <v>#N/A</v>
      </c>
      <c r="C540" t="e">
        <f ca="1"/>
        <v>#N/A</v>
      </c>
      <c r="D540" t="e">
        <f ca="1"/>
        <v>#N/A</v>
      </c>
      <c r="E540" t="e">
        <f ca="1"/>
        <v>#N/A</v>
      </c>
      <c r="F540" t="e">
        <f ca="1"/>
        <v>#N/A</v>
      </c>
      <c r="G540" t="e">
        <f ca="1"/>
        <v>#N/A</v>
      </c>
      <c r="H540" t="e">
        <f ca="1"/>
        <v>#N/A</v>
      </c>
      <c r="I540" t="e">
        <f ca="1"/>
        <v>#N/A</v>
      </c>
      <c r="J540" t="e">
        <f ca="1"/>
        <v>#N/A</v>
      </c>
      <c r="K540" s="49" t="e">
        <f ca="1"/>
        <v>#N/A</v>
      </c>
    </row>
    <row r="541" spans="1:11" x14ac:dyDescent="0.25">
      <c r="A541" s="2" t="e">
        <f ca="1"/>
        <v>#N/A</v>
      </c>
      <c r="C541" t="e">
        <f ca="1"/>
        <v>#N/A</v>
      </c>
      <c r="D541" t="e">
        <f ca="1"/>
        <v>#N/A</v>
      </c>
      <c r="E541" t="e">
        <f ca="1"/>
        <v>#N/A</v>
      </c>
      <c r="F541" t="e">
        <f ca="1"/>
        <v>#N/A</v>
      </c>
      <c r="G541" t="e">
        <f ca="1"/>
        <v>#N/A</v>
      </c>
      <c r="H541" t="e">
        <f ca="1"/>
        <v>#N/A</v>
      </c>
      <c r="I541" t="e">
        <f ca="1"/>
        <v>#N/A</v>
      </c>
      <c r="J541" t="e">
        <f ca="1"/>
        <v>#N/A</v>
      </c>
      <c r="K541" s="49" t="e">
        <f ca="1"/>
        <v>#N/A</v>
      </c>
    </row>
    <row r="542" spans="1:11" x14ac:dyDescent="0.25">
      <c r="A542" s="2" t="e">
        <f ca="1"/>
        <v>#N/A</v>
      </c>
      <c r="C542" t="e">
        <f ca="1"/>
        <v>#N/A</v>
      </c>
      <c r="D542" t="e">
        <f ca="1"/>
        <v>#N/A</v>
      </c>
      <c r="E542" t="e">
        <f ca="1"/>
        <v>#N/A</v>
      </c>
      <c r="F542" t="e">
        <f ca="1"/>
        <v>#N/A</v>
      </c>
      <c r="G542" t="e">
        <f ca="1"/>
        <v>#N/A</v>
      </c>
      <c r="H542" t="e">
        <f ca="1"/>
        <v>#N/A</v>
      </c>
      <c r="I542" t="e">
        <f ca="1"/>
        <v>#N/A</v>
      </c>
      <c r="J542" t="e">
        <f ca="1"/>
        <v>#N/A</v>
      </c>
      <c r="K542" s="49" t="e">
        <f ca="1"/>
        <v>#N/A</v>
      </c>
    </row>
    <row r="543" spans="1:11" x14ac:dyDescent="0.25">
      <c r="A543" s="2" t="e">
        <f ca="1"/>
        <v>#N/A</v>
      </c>
      <c r="C543" t="e">
        <f ca="1"/>
        <v>#N/A</v>
      </c>
      <c r="D543" t="e">
        <f ca="1"/>
        <v>#N/A</v>
      </c>
      <c r="E543" t="e">
        <f ca="1"/>
        <v>#N/A</v>
      </c>
      <c r="F543" t="e">
        <f ca="1"/>
        <v>#N/A</v>
      </c>
      <c r="G543" t="e">
        <f ca="1"/>
        <v>#N/A</v>
      </c>
      <c r="H543" t="e">
        <f ca="1"/>
        <v>#N/A</v>
      </c>
      <c r="I543" t="e">
        <f ca="1"/>
        <v>#N/A</v>
      </c>
      <c r="J543" t="e">
        <f ca="1"/>
        <v>#N/A</v>
      </c>
      <c r="K543" s="49" t="e">
        <f ca="1"/>
        <v>#N/A</v>
      </c>
    </row>
    <row r="544" spans="1:11" x14ac:dyDescent="0.25">
      <c r="A544" s="2" t="e">
        <f ca="1"/>
        <v>#N/A</v>
      </c>
      <c r="C544" t="e">
        <f ca="1"/>
        <v>#N/A</v>
      </c>
      <c r="D544" t="e">
        <f ca="1"/>
        <v>#N/A</v>
      </c>
      <c r="E544" t="e">
        <f ca="1"/>
        <v>#N/A</v>
      </c>
      <c r="F544" t="e">
        <f ca="1"/>
        <v>#N/A</v>
      </c>
      <c r="G544" t="e">
        <f ca="1"/>
        <v>#N/A</v>
      </c>
      <c r="H544" t="e">
        <f ca="1"/>
        <v>#N/A</v>
      </c>
      <c r="I544" t="e">
        <f ca="1"/>
        <v>#N/A</v>
      </c>
      <c r="J544" t="e">
        <f ca="1"/>
        <v>#N/A</v>
      </c>
      <c r="K544" s="49" t="e">
        <f ca="1"/>
        <v>#N/A</v>
      </c>
    </row>
    <row r="545" spans="1:11" x14ac:dyDescent="0.25">
      <c r="A545" s="2" t="e">
        <f ca="1"/>
        <v>#N/A</v>
      </c>
      <c r="C545" t="e">
        <f ca="1"/>
        <v>#N/A</v>
      </c>
      <c r="D545" t="e">
        <f ca="1"/>
        <v>#N/A</v>
      </c>
      <c r="E545" t="e">
        <f ca="1"/>
        <v>#N/A</v>
      </c>
      <c r="F545" t="e">
        <f ca="1"/>
        <v>#N/A</v>
      </c>
      <c r="G545" t="e">
        <f ca="1"/>
        <v>#N/A</v>
      </c>
      <c r="H545" t="e">
        <f ca="1"/>
        <v>#N/A</v>
      </c>
      <c r="I545" t="e">
        <f ca="1"/>
        <v>#N/A</v>
      </c>
      <c r="J545" t="e">
        <f ca="1"/>
        <v>#N/A</v>
      </c>
      <c r="K545" s="49" t="e">
        <f ca="1"/>
        <v>#N/A</v>
      </c>
    </row>
    <row r="546" spans="1:11" x14ac:dyDescent="0.25">
      <c r="A546" s="2" t="e">
        <f ca="1"/>
        <v>#N/A</v>
      </c>
      <c r="C546" t="e">
        <f ca="1"/>
        <v>#N/A</v>
      </c>
      <c r="D546" t="e">
        <f ca="1"/>
        <v>#N/A</v>
      </c>
      <c r="E546" t="e">
        <f ca="1"/>
        <v>#N/A</v>
      </c>
      <c r="F546" t="e">
        <f ca="1"/>
        <v>#N/A</v>
      </c>
      <c r="G546" t="e">
        <f ca="1"/>
        <v>#N/A</v>
      </c>
      <c r="H546" t="e">
        <f ca="1"/>
        <v>#N/A</v>
      </c>
      <c r="I546" t="e">
        <f ca="1"/>
        <v>#N/A</v>
      </c>
      <c r="J546" t="e">
        <f ca="1"/>
        <v>#N/A</v>
      </c>
      <c r="K546" s="49" t="e">
        <f ca="1"/>
        <v>#N/A</v>
      </c>
    </row>
    <row r="547" spans="1:11" x14ac:dyDescent="0.25">
      <c r="A547" s="2" t="e">
        <f ca="1"/>
        <v>#N/A</v>
      </c>
      <c r="C547" t="e">
        <f ca="1"/>
        <v>#N/A</v>
      </c>
      <c r="D547" t="e">
        <f ca="1"/>
        <v>#N/A</v>
      </c>
      <c r="E547" t="e">
        <f ca="1"/>
        <v>#N/A</v>
      </c>
      <c r="F547" t="e">
        <f ca="1"/>
        <v>#N/A</v>
      </c>
      <c r="G547" t="e">
        <f ca="1"/>
        <v>#N/A</v>
      </c>
      <c r="H547" t="e">
        <f ca="1"/>
        <v>#N/A</v>
      </c>
      <c r="I547" t="e">
        <f ca="1"/>
        <v>#N/A</v>
      </c>
      <c r="J547" t="e">
        <f ca="1"/>
        <v>#N/A</v>
      </c>
      <c r="K547" s="49" t="e">
        <f ca="1"/>
        <v>#N/A</v>
      </c>
    </row>
    <row r="548" spans="1:11" x14ac:dyDescent="0.25">
      <c r="A548" s="2" t="e">
        <f ca="1"/>
        <v>#N/A</v>
      </c>
      <c r="C548" t="e">
        <f ca="1"/>
        <v>#N/A</v>
      </c>
      <c r="D548" t="e">
        <f ca="1"/>
        <v>#N/A</v>
      </c>
      <c r="E548" t="e">
        <f ca="1"/>
        <v>#N/A</v>
      </c>
      <c r="F548" t="e">
        <f ca="1"/>
        <v>#N/A</v>
      </c>
      <c r="G548" t="e">
        <f ca="1"/>
        <v>#N/A</v>
      </c>
      <c r="H548" t="e">
        <f ca="1"/>
        <v>#N/A</v>
      </c>
      <c r="I548" t="e">
        <f ca="1"/>
        <v>#N/A</v>
      </c>
      <c r="J548" t="e">
        <f ca="1"/>
        <v>#N/A</v>
      </c>
      <c r="K548" s="49" t="e">
        <f ca="1"/>
        <v>#N/A</v>
      </c>
    </row>
    <row r="549" spans="1:11" x14ac:dyDescent="0.25">
      <c r="A549" s="2" t="e">
        <f ca="1"/>
        <v>#N/A</v>
      </c>
      <c r="C549" t="e">
        <f ca="1"/>
        <v>#N/A</v>
      </c>
      <c r="D549" t="e">
        <f ca="1"/>
        <v>#N/A</v>
      </c>
      <c r="E549" t="e">
        <f ca="1"/>
        <v>#N/A</v>
      </c>
      <c r="F549" t="e">
        <f ca="1"/>
        <v>#N/A</v>
      </c>
      <c r="G549" t="e">
        <f ca="1"/>
        <v>#N/A</v>
      </c>
      <c r="H549" t="e">
        <f ca="1"/>
        <v>#N/A</v>
      </c>
      <c r="I549" t="e">
        <f ca="1"/>
        <v>#N/A</v>
      </c>
      <c r="J549" t="e">
        <f ca="1"/>
        <v>#N/A</v>
      </c>
      <c r="K549" s="49" t="e">
        <f ca="1"/>
        <v>#N/A</v>
      </c>
    </row>
    <row r="550" spans="1:11" x14ac:dyDescent="0.25">
      <c r="A550" s="2" t="e">
        <f ca="1"/>
        <v>#N/A</v>
      </c>
      <c r="C550" t="e">
        <f ca="1"/>
        <v>#N/A</v>
      </c>
      <c r="D550" t="e">
        <f ca="1"/>
        <v>#N/A</v>
      </c>
      <c r="E550" t="e">
        <f ca="1"/>
        <v>#N/A</v>
      </c>
      <c r="F550" t="e">
        <f ca="1"/>
        <v>#N/A</v>
      </c>
      <c r="G550" t="e">
        <f ca="1"/>
        <v>#N/A</v>
      </c>
      <c r="H550" t="e">
        <f ca="1"/>
        <v>#N/A</v>
      </c>
      <c r="I550" t="e">
        <f ca="1"/>
        <v>#N/A</v>
      </c>
      <c r="J550" t="e">
        <f ca="1"/>
        <v>#N/A</v>
      </c>
      <c r="K550" s="49" t="e">
        <f ca="1"/>
        <v>#N/A</v>
      </c>
    </row>
    <row r="551" spans="1:11" x14ac:dyDescent="0.25">
      <c r="A551" s="2" t="e">
        <f ca="1"/>
        <v>#N/A</v>
      </c>
      <c r="C551" t="e">
        <f ca="1"/>
        <v>#N/A</v>
      </c>
      <c r="D551" t="e">
        <f ca="1"/>
        <v>#N/A</v>
      </c>
      <c r="E551" t="e">
        <f ca="1"/>
        <v>#N/A</v>
      </c>
      <c r="F551" t="e">
        <f ca="1"/>
        <v>#N/A</v>
      </c>
      <c r="G551" t="e">
        <f ca="1"/>
        <v>#N/A</v>
      </c>
      <c r="H551" t="e">
        <f ca="1"/>
        <v>#N/A</v>
      </c>
      <c r="I551" t="e">
        <f ca="1"/>
        <v>#N/A</v>
      </c>
      <c r="J551" t="e">
        <f ca="1"/>
        <v>#N/A</v>
      </c>
      <c r="K551" s="49" t="e">
        <f ca="1"/>
        <v>#N/A</v>
      </c>
    </row>
    <row r="552" spans="1:11" x14ac:dyDescent="0.25">
      <c r="A552" s="2" t="e">
        <f ca="1"/>
        <v>#N/A</v>
      </c>
      <c r="C552" t="e">
        <f ca="1"/>
        <v>#N/A</v>
      </c>
      <c r="D552" t="e">
        <f ca="1"/>
        <v>#N/A</v>
      </c>
      <c r="E552" t="e">
        <f ca="1"/>
        <v>#N/A</v>
      </c>
      <c r="F552" t="e">
        <f ca="1"/>
        <v>#N/A</v>
      </c>
      <c r="G552" t="e">
        <f ca="1"/>
        <v>#N/A</v>
      </c>
      <c r="H552" t="e">
        <f ca="1"/>
        <v>#N/A</v>
      </c>
      <c r="I552" t="e">
        <f ca="1"/>
        <v>#N/A</v>
      </c>
      <c r="J552" t="e">
        <f ca="1"/>
        <v>#N/A</v>
      </c>
      <c r="K552" s="49" t="e">
        <f ca="1"/>
        <v>#N/A</v>
      </c>
    </row>
    <row r="553" spans="1:11" x14ac:dyDescent="0.25">
      <c r="A553" s="2" t="e">
        <f ca="1"/>
        <v>#N/A</v>
      </c>
      <c r="C553" t="e">
        <f ca="1"/>
        <v>#N/A</v>
      </c>
      <c r="D553" t="e">
        <f ca="1"/>
        <v>#N/A</v>
      </c>
      <c r="E553" t="e">
        <f ca="1"/>
        <v>#N/A</v>
      </c>
      <c r="F553" t="e">
        <f ca="1"/>
        <v>#N/A</v>
      </c>
      <c r="G553" t="e">
        <f ca="1"/>
        <v>#N/A</v>
      </c>
      <c r="H553" t="e">
        <f ca="1"/>
        <v>#N/A</v>
      </c>
      <c r="I553" t="e">
        <f ca="1"/>
        <v>#N/A</v>
      </c>
      <c r="J553" t="e">
        <f ca="1"/>
        <v>#N/A</v>
      </c>
      <c r="K553" s="49" t="e">
        <f ca="1"/>
        <v>#N/A</v>
      </c>
    </row>
    <row r="554" spans="1:11" x14ac:dyDescent="0.25">
      <c r="A554" s="2" t="e">
        <f ca="1"/>
        <v>#N/A</v>
      </c>
      <c r="C554" t="e">
        <f ca="1"/>
        <v>#N/A</v>
      </c>
      <c r="D554" t="e">
        <f ca="1"/>
        <v>#N/A</v>
      </c>
      <c r="E554" t="e">
        <f ca="1"/>
        <v>#N/A</v>
      </c>
      <c r="F554" t="e">
        <f ca="1"/>
        <v>#N/A</v>
      </c>
      <c r="G554" t="e">
        <f ca="1"/>
        <v>#N/A</v>
      </c>
      <c r="H554" t="e">
        <f ca="1"/>
        <v>#N/A</v>
      </c>
      <c r="I554" t="e">
        <f ca="1"/>
        <v>#N/A</v>
      </c>
      <c r="J554" t="e">
        <f ca="1"/>
        <v>#N/A</v>
      </c>
      <c r="K554" s="49" t="e">
        <f ca="1"/>
        <v>#N/A</v>
      </c>
    </row>
    <row r="555" spans="1:11" x14ac:dyDescent="0.25">
      <c r="A555" s="2" t="e">
        <f ca="1"/>
        <v>#N/A</v>
      </c>
      <c r="C555" t="e">
        <f ca="1"/>
        <v>#N/A</v>
      </c>
      <c r="D555" t="e">
        <f ca="1"/>
        <v>#N/A</v>
      </c>
      <c r="E555" t="e">
        <f ca="1"/>
        <v>#N/A</v>
      </c>
      <c r="F555" t="e">
        <f ca="1"/>
        <v>#N/A</v>
      </c>
      <c r="G555" t="e">
        <f ca="1"/>
        <v>#N/A</v>
      </c>
      <c r="H555" t="e">
        <f ca="1"/>
        <v>#N/A</v>
      </c>
      <c r="I555" t="e">
        <f ca="1"/>
        <v>#N/A</v>
      </c>
      <c r="J555" t="e">
        <f ca="1"/>
        <v>#N/A</v>
      </c>
      <c r="K555" s="49" t="e">
        <f ca="1"/>
        <v>#N/A</v>
      </c>
    </row>
    <row r="556" spans="1:11" x14ac:dyDescent="0.25">
      <c r="A556" s="2" t="e">
        <f ca="1"/>
        <v>#N/A</v>
      </c>
      <c r="C556" t="e">
        <f ca="1"/>
        <v>#N/A</v>
      </c>
      <c r="D556" t="e">
        <f ca="1"/>
        <v>#N/A</v>
      </c>
      <c r="E556" t="e">
        <f ca="1"/>
        <v>#N/A</v>
      </c>
      <c r="F556" t="e">
        <f ca="1"/>
        <v>#N/A</v>
      </c>
      <c r="G556" t="e">
        <f ca="1"/>
        <v>#N/A</v>
      </c>
      <c r="H556" t="e">
        <f ca="1"/>
        <v>#N/A</v>
      </c>
      <c r="I556" t="e">
        <f ca="1"/>
        <v>#N/A</v>
      </c>
      <c r="J556" t="e">
        <f ca="1"/>
        <v>#N/A</v>
      </c>
      <c r="K556" s="49" t="e">
        <f ca="1"/>
        <v>#N/A</v>
      </c>
    </row>
    <row r="557" spans="1:11" x14ac:dyDescent="0.25">
      <c r="A557" s="2" t="e">
        <f ca="1"/>
        <v>#N/A</v>
      </c>
      <c r="C557" t="e">
        <f ca="1"/>
        <v>#N/A</v>
      </c>
      <c r="D557" t="e">
        <f ca="1"/>
        <v>#N/A</v>
      </c>
      <c r="E557" t="e">
        <f ca="1"/>
        <v>#N/A</v>
      </c>
      <c r="F557" t="e">
        <f ca="1"/>
        <v>#N/A</v>
      </c>
      <c r="G557" t="e">
        <f ca="1"/>
        <v>#N/A</v>
      </c>
      <c r="H557" t="e">
        <f ca="1"/>
        <v>#N/A</v>
      </c>
      <c r="I557" t="e">
        <f ca="1"/>
        <v>#N/A</v>
      </c>
      <c r="J557" t="e">
        <f ca="1"/>
        <v>#N/A</v>
      </c>
      <c r="K557" s="49" t="e">
        <f ca="1"/>
        <v>#N/A</v>
      </c>
    </row>
    <row r="558" spans="1:11" x14ac:dyDescent="0.25">
      <c r="A558" s="2" t="e">
        <f ca="1"/>
        <v>#N/A</v>
      </c>
      <c r="C558" t="e">
        <f ca="1"/>
        <v>#N/A</v>
      </c>
      <c r="D558" t="e">
        <f ca="1"/>
        <v>#N/A</v>
      </c>
      <c r="E558" t="e">
        <f ca="1"/>
        <v>#N/A</v>
      </c>
      <c r="F558" t="e">
        <f ca="1"/>
        <v>#N/A</v>
      </c>
      <c r="G558" t="e">
        <f ca="1"/>
        <v>#N/A</v>
      </c>
      <c r="H558" t="e">
        <f ca="1"/>
        <v>#N/A</v>
      </c>
      <c r="I558" t="e">
        <f ca="1"/>
        <v>#N/A</v>
      </c>
      <c r="J558" t="e">
        <f ca="1"/>
        <v>#N/A</v>
      </c>
      <c r="K558" s="49" t="e">
        <f ca="1"/>
        <v>#N/A</v>
      </c>
    </row>
    <row r="559" spans="1:11" x14ac:dyDescent="0.25">
      <c r="A559" s="2" t="e">
        <f ca="1"/>
        <v>#N/A</v>
      </c>
      <c r="C559" t="e">
        <f ca="1"/>
        <v>#N/A</v>
      </c>
      <c r="D559" t="e">
        <f ca="1"/>
        <v>#N/A</v>
      </c>
      <c r="E559" t="e">
        <f ca="1"/>
        <v>#N/A</v>
      </c>
      <c r="F559" t="e">
        <f ca="1"/>
        <v>#N/A</v>
      </c>
      <c r="G559" t="e">
        <f ca="1"/>
        <v>#N/A</v>
      </c>
      <c r="H559" t="e">
        <f ca="1"/>
        <v>#N/A</v>
      </c>
      <c r="I559" t="e">
        <f ca="1"/>
        <v>#N/A</v>
      </c>
      <c r="J559" t="e">
        <f ca="1"/>
        <v>#N/A</v>
      </c>
      <c r="K559" s="49" t="e">
        <f ca="1"/>
        <v>#N/A</v>
      </c>
    </row>
    <row r="560" spans="1:11" x14ac:dyDescent="0.25">
      <c r="A560" s="2" t="e">
        <f ca="1"/>
        <v>#N/A</v>
      </c>
      <c r="C560" t="e">
        <f ca="1"/>
        <v>#N/A</v>
      </c>
      <c r="D560" t="e">
        <f ca="1"/>
        <v>#N/A</v>
      </c>
      <c r="E560" t="e">
        <f ca="1"/>
        <v>#N/A</v>
      </c>
      <c r="F560" t="e">
        <f ca="1"/>
        <v>#N/A</v>
      </c>
      <c r="G560" t="e">
        <f ca="1"/>
        <v>#N/A</v>
      </c>
      <c r="H560" t="e">
        <f ca="1"/>
        <v>#N/A</v>
      </c>
      <c r="I560" t="e">
        <f ca="1"/>
        <v>#N/A</v>
      </c>
      <c r="J560" t="e">
        <f ca="1"/>
        <v>#N/A</v>
      </c>
      <c r="K560" s="49" t="e">
        <f ca="1"/>
        <v>#N/A</v>
      </c>
    </row>
    <row r="561" spans="1:11" x14ac:dyDescent="0.25">
      <c r="A561" s="2" t="e">
        <f ca="1"/>
        <v>#N/A</v>
      </c>
      <c r="C561" t="e">
        <f ca="1"/>
        <v>#N/A</v>
      </c>
      <c r="D561" t="e">
        <f ca="1"/>
        <v>#N/A</v>
      </c>
      <c r="E561" t="e">
        <f ca="1"/>
        <v>#N/A</v>
      </c>
      <c r="F561" t="e">
        <f ca="1"/>
        <v>#N/A</v>
      </c>
      <c r="G561" t="e">
        <f ca="1"/>
        <v>#N/A</v>
      </c>
      <c r="H561" t="e">
        <f ca="1"/>
        <v>#N/A</v>
      </c>
      <c r="I561" t="e">
        <f ca="1"/>
        <v>#N/A</v>
      </c>
      <c r="J561" t="e">
        <f ca="1"/>
        <v>#N/A</v>
      </c>
      <c r="K561" s="49" t="e">
        <f ca="1"/>
        <v>#N/A</v>
      </c>
    </row>
    <row r="562" spans="1:11" x14ac:dyDescent="0.25">
      <c r="A562" s="2" t="e">
        <f ca="1"/>
        <v>#N/A</v>
      </c>
      <c r="C562" t="e">
        <f ca="1"/>
        <v>#N/A</v>
      </c>
      <c r="D562" t="e">
        <f ca="1"/>
        <v>#N/A</v>
      </c>
      <c r="E562" t="e">
        <f ca="1"/>
        <v>#N/A</v>
      </c>
      <c r="F562" t="e">
        <f ca="1"/>
        <v>#N/A</v>
      </c>
      <c r="G562" t="e">
        <f ca="1"/>
        <v>#N/A</v>
      </c>
      <c r="H562" t="e">
        <f ca="1"/>
        <v>#N/A</v>
      </c>
      <c r="I562" t="e">
        <f ca="1"/>
        <v>#N/A</v>
      </c>
      <c r="J562" t="e">
        <f ca="1"/>
        <v>#N/A</v>
      </c>
      <c r="K562" s="49" t="e">
        <f ca="1"/>
        <v>#N/A</v>
      </c>
    </row>
    <row r="563" spans="1:11" x14ac:dyDescent="0.25">
      <c r="A563" s="2" t="e">
        <f ca="1"/>
        <v>#N/A</v>
      </c>
      <c r="C563" t="e">
        <f ca="1"/>
        <v>#N/A</v>
      </c>
      <c r="D563" t="e">
        <f ca="1"/>
        <v>#N/A</v>
      </c>
      <c r="E563" t="e">
        <f ca="1"/>
        <v>#N/A</v>
      </c>
      <c r="F563" t="e">
        <f ca="1"/>
        <v>#N/A</v>
      </c>
      <c r="G563" t="e">
        <f ca="1"/>
        <v>#N/A</v>
      </c>
      <c r="H563" t="e">
        <f ca="1"/>
        <v>#N/A</v>
      </c>
      <c r="I563" t="e">
        <f ca="1"/>
        <v>#N/A</v>
      </c>
      <c r="J563" t="e">
        <f ca="1"/>
        <v>#N/A</v>
      </c>
      <c r="K563" s="49" t="e">
        <f ca="1"/>
        <v>#N/A</v>
      </c>
    </row>
    <row r="564" spans="1:11" x14ac:dyDescent="0.25">
      <c r="A564" s="2" t="e">
        <f ca="1"/>
        <v>#N/A</v>
      </c>
      <c r="C564" t="e">
        <f ca="1"/>
        <v>#N/A</v>
      </c>
      <c r="D564" t="e">
        <f ca="1"/>
        <v>#N/A</v>
      </c>
      <c r="E564" t="e">
        <f ca="1"/>
        <v>#N/A</v>
      </c>
      <c r="F564" t="e">
        <f ca="1"/>
        <v>#N/A</v>
      </c>
      <c r="G564" t="e">
        <f ca="1"/>
        <v>#N/A</v>
      </c>
      <c r="H564" t="e">
        <f ca="1"/>
        <v>#N/A</v>
      </c>
      <c r="I564" t="e">
        <f ca="1"/>
        <v>#N/A</v>
      </c>
      <c r="J564" t="e">
        <f ca="1"/>
        <v>#N/A</v>
      </c>
      <c r="K564" s="49" t="e">
        <f ca="1"/>
        <v>#N/A</v>
      </c>
    </row>
    <row r="565" spans="1:11" x14ac:dyDescent="0.25">
      <c r="A565" s="2" t="e">
        <f ca="1"/>
        <v>#N/A</v>
      </c>
      <c r="C565" t="e">
        <f ca="1"/>
        <v>#N/A</v>
      </c>
      <c r="D565" t="e">
        <f ca="1"/>
        <v>#N/A</v>
      </c>
      <c r="E565" t="e">
        <f ca="1"/>
        <v>#N/A</v>
      </c>
      <c r="F565" t="e">
        <f ca="1"/>
        <v>#N/A</v>
      </c>
      <c r="G565" t="e">
        <f ca="1"/>
        <v>#N/A</v>
      </c>
      <c r="H565" t="e">
        <f ca="1"/>
        <v>#N/A</v>
      </c>
      <c r="I565" t="e">
        <f ca="1"/>
        <v>#N/A</v>
      </c>
      <c r="J565" t="e">
        <f ca="1"/>
        <v>#N/A</v>
      </c>
      <c r="K565" s="49" t="e">
        <f ca="1"/>
        <v>#N/A</v>
      </c>
    </row>
    <row r="566" spans="1:11" x14ac:dyDescent="0.25">
      <c r="A566" s="2" t="e">
        <f ca="1"/>
        <v>#N/A</v>
      </c>
      <c r="C566" t="e">
        <f ca="1"/>
        <v>#N/A</v>
      </c>
      <c r="D566" t="e">
        <f ca="1"/>
        <v>#N/A</v>
      </c>
      <c r="E566" t="e">
        <f ca="1"/>
        <v>#N/A</v>
      </c>
      <c r="F566" t="e">
        <f ca="1"/>
        <v>#N/A</v>
      </c>
      <c r="G566" t="e">
        <f ca="1"/>
        <v>#N/A</v>
      </c>
      <c r="H566" t="e">
        <f ca="1"/>
        <v>#N/A</v>
      </c>
      <c r="I566" t="e">
        <f ca="1"/>
        <v>#N/A</v>
      </c>
      <c r="J566" t="e">
        <f ca="1"/>
        <v>#N/A</v>
      </c>
      <c r="K566" s="49" t="e">
        <f ca="1"/>
        <v>#N/A</v>
      </c>
    </row>
    <row r="567" spans="1:11" x14ac:dyDescent="0.25">
      <c r="A567" s="2" t="e">
        <f ca="1"/>
        <v>#N/A</v>
      </c>
      <c r="C567" t="e">
        <f ca="1"/>
        <v>#N/A</v>
      </c>
      <c r="D567" t="e">
        <f ca="1"/>
        <v>#N/A</v>
      </c>
      <c r="E567" t="e">
        <f ca="1"/>
        <v>#N/A</v>
      </c>
      <c r="F567" t="e">
        <f ca="1"/>
        <v>#N/A</v>
      </c>
      <c r="G567" t="e">
        <f ca="1"/>
        <v>#N/A</v>
      </c>
      <c r="H567" t="e">
        <f ca="1"/>
        <v>#N/A</v>
      </c>
      <c r="I567" t="e">
        <f ca="1"/>
        <v>#N/A</v>
      </c>
      <c r="J567" t="e">
        <f ca="1"/>
        <v>#N/A</v>
      </c>
      <c r="K567" s="49" t="e">
        <f ca="1"/>
        <v>#N/A</v>
      </c>
    </row>
    <row r="568" spans="1:11" x14ac:dyDescent="0.25">
      <c r="A568" s="2" t="e">
        <f ca="1"/>
        <v>#N/A</v>
      </c>
      <c r="C568" t="e">
        <f ca="1"/>
        <v>#N/A</v>
      </c>
      <c r="D568" t="e">
        <f ca="1"/>
        <v>#N/A</v>
      </c>
      <c r="E568" t="e">
        <f ca="1"/>
        <v>#N/A</v>
      </c>
      <c r="F568" t="e">
        <f ca="1"/>
        <v>#N/A</v>
      </c>
      <c r="G568" t="e">
        <f ca="1"/>
        <v>#N/A</v>
      </c>
      <c r="H568" t="e">
        <f ca="1"/>
        <v>#N/A</v>
      </c>
      <c r="I568" t="e">
        <f ca="1"/>
        <v>#N/A</v>
      </c>
      <c r="J568" t="e">
        <f ca="1"/>
        <v>#N/A</v>
      </c>
      <c r="K568" s="49" t="e">
        <f ca="1"/>
        <v>#N/A</v>
      </c>
    </row>
    <row r="569" spans="1:11" x14ac:dyDescent="0.25">
      <c r="A569" s="2" t="e">
        <f ca="1"/>
        <v>#N/A</v>
      </c>
      <c r="C569" t="e">
        <f ca="1"/>
        <v>#N/A</v>
      </c>
      <c r="D569" t="e">
        <f ca="1"/>
        <v>#N/A</v>
      </c>
      <c r="E569" t="e">
        <f ca="1"/>
        <v>#N/A</v>
      </c>
      <c r="F569" t="e">
        <f ca="1"/>
        <v>#N/A</v>
      </c>
      <c r="G569" t="e">
        <f ca="1"/>
        <v>#N/A</v>
      </c>
      <c r="H569" t="e">
        <f ca="1"/>
        <v>#N/A</v>
      </c>
      <c r="I569" t="e">
        <f ca="1"/>
        <v>#N/A</v>
      </c>
      <c r="J569" t="e">
        <f ca="1"/>
        <v>#N/A</v>
      </c>
      <c r="K569" s="49" t="e">
        <f ca="1"/>
        <v>#N/A</v>
      </c>
    </row>
    <row r="570" spans="1:11" x14ac:dyDescent="0.25">
      <c r="A570" s="2" t="e">
        <f ca="1"/>
        <v>#N/A</v>
      </c>
      <c r="C570" t="e">
        <f ca="1"/>
        <v>#N/A</v>
      </c>
      <c r="D570" t="e">
        <f ca="1"/>
        <v>#N/A</v>
      </c>
      <c r="E570" t="e">
        <f ca="1"/>
        <v>#N/A</v>
      </c>
      <c r="F570" t="e">
        <f ca="1"/>
        <v>#N/A</v>
      </c>
      <c r="G570" t="e">
        <f ca="1"/>
        <v>#N/A</v>
      </c>
      <c r="H570" t="e">
        <f ca="1"/>
        <v>#N/A</v>
      </c>
      <c r="I570" t="e">
        <f ca="1"/>
        <v>#N/A</v>
      </c>
      <c r="J570" t="e">
        <f ca="1"/>
        <v>#N/A</v>
      </c>
      <c r="K570" s="49" t="e">
        <f ca="1"/>
        <v>#N/A</v>
      </c>
    </row>
    <row r="571" spans="1:11" x14ac:dyDescent="0.25">
      <c r="A571" s="2" t="e">
        <f ca="1"/>
        <v>#N/A</v>
      </c>
      <c r="C571" t="e">
        <f ca="1"/>
        <v>#N/A</v>
      </c>
      <c r="D571" t="e">
        <f ca="1"/>
        <v>#N/A</v>
      </c>
      <c r="E571" t="e">
        <f ca="1"/>
        <v>#N/A</v>
      </c>
      <c r="F571" t="e">
        <f ca="1"/>
        <v>#N/A</v>
      </c>
      <c r="G571" t="e">
        <f ca="1"/>
        <v>#N/A</v>
      </c>
      <c r="H571" t="e">
        <f ca="1"/>
        <v>#N/A</v>
      </c>
      <c r="I571" t="e">
        <f ca="1"/>
        <v>#N/A</v>
      </c>
      <c r="J571" t="e">
        <f ca="1"/>
        <v>#N/A</v>
      </c>
      <c r="K571" s="49" t="e">
        <f ca="1"/>
        <v>#N/A</v>
      </c>
    </row>
    <row r="572" spans="1:11" x14ac:dyDescent="0.25">
      <c r="A572" s="2" t="e">
        <f ca="1"/>
        <v>#N/A</v>
      </c>
      <c r="C572" t="e">
        <f ca="1"/>
        <v>#N/A</v>
      </c>
      <c r="D572" t="e">
        <f ca="1"/>
        <v>#N/A</v>
      </c>
      <c r="E572" t="e">
        <f ca="1"/>
        <v>#N/A</v>
      </c>
      <c r="F572" t="e">
        <f ca="1"/>
        <v>#N/A</v>
      </c>
      <c r="G572" t="e">
        <f ca="1"/>
        <v>#N/A</v>
      </c>
      <c r="H572" t="e">
        <f ca="1"/>
        <v>#N/A</v>
      </c>
      <c r="I572" t="e">
        <f ca="1"/>
        <v>#N/A</v>
      </c>
      <c r="J572" t="e">
        <f ca="1"/>
        <v>#N/A</v>
      </c>
      <c r="K572" s="49" t="e">
        <f ca="1"/>
        <v>#N/A</v>
      </c>
    </row>
    <row r="573" spans="1:11" x14ac:dyDescent="0.25">
      <c r="A573" s="2" t="e">
        <f ca="1"/>
        <v>#N/A</v>
      </c>
      <c r="C573" t="e">
        <f ca="1"/>
        <v>#N/A</v>
      </c>
      <c r="D573" t="e">
        <f ca="1"/>
        <v>#N/A</v>
      </c>
      <c r="E573" t="e">
        <f ca="1"/>
        <v>#N/A</v>
      </c>
      <c r="F573" t="e">
        <f ca="1"/>
        <v>#N/A</v>
      </c>
      <c r="G573" t="e">
        <f ca="1"/>
        <v>#N/A</v>
      </c>
      <c r="H573" t="e">
        <f ca="1"/>
        <v>#N/A</v>
      </c>
      <c r="I573" t="e">
        <f ca="1"/>
        <v>#N/A</v>
      </c>
      <c r="J573" t="e">
        <f ca="1"/>
        <v>#N/A</v>
      </c>
      <c r="K573" s="49" t="e">
        <f ca="1"/>
        <v>#N/A</v>
      </c>
    </row>
    <row r="574" spans="1:11" x14ac:dyDescent="0.25">
      <c r="A574" s="2" t="e">
        <f ca="1"/>
        <v>#N/A</v>
      </c>
      <c r="C574" t="e">
        <f ca="1"/>
        <v>#N/A</v>
      </c>
      <c r="D574" t="e">
        <f ca="1"/>
        <v>#N/A</v>
      </c>
      <c r="E574" t="e">
        <f ca="1"/>
        <v>#N/A</v>
      </c>
      <c r="F574" t="e">
        <f ca="1"/>
        <v>#N/A</v>
      </c>
      <c r="G574" t="e">
        <f ca="1"/>
        <v>#N/A</v>
      </c>
      <c r="H574" t="e">
        <f ca="1"/>
        <v>#N/A</v>
      </c>
      <c r="I574" t="e">
        <f ca="1"/>
        <v>#N/A</v>
      </c>
      <c r="J574" t="e">
        <f ca="1"/>
        <v>#N/A</v>
      </c>
      <c r="K574" s="49" t="e">
        <f ca="1"/>
        <v>#N/A</v>
      </c>
    </row>
    <row r="575" spans="1:11" x14ac:dyDescent="0.25">
      <c r="A575" s="2" t="e">
        <f ca="1"/>
        <v>#N/A</v>
      </c>
      <c r="C575" t="e">
        <f ca="1"/>
        <v>#N/A</v>
      </c>
      <c r="D575" t="e">
        <f ca="1"/>
        <v>#N/A</v>
      </c>
      <c r="E575" t="e">
        <f ca="1"/>
        <v>#N/A</v>
      </c>
      <c r="F575" t="e">
        <f ca="1"/>
        <v>#N/A</v>
      </c>
      <c r="G575" t="e">
        <f ca="1"/>
        <v>#N/A</v>
      </c>
      <c r="H575" t="e">
        <f ca="1"/>
        <v>#N/A</v>
      </c>
      <c r="I575" t="e">
        <f ca="1"/>
        <v>#N/A</v>
      </c>
      <c r="J575" t="e">
        <f ca="1"/>
        <v>#N/A</v>
      </c>
      <c r="K575" s="49" t="e">
        <f ca="1"/>
        <v>#N/A</v>
      </c>
    </row>
    <row r="576" spans="1:11" x14ac:dyDescent="0.25">
      <c r="A576" s="2" t="e">
        <f ca="1"/>
        <v>#N/A</v>
      </c>
      <c r="C576" t="e">
        <f ca="1"/>
        <v>#N/A</v>
      </c>
      <c r="D576" t="e">
        <f ca="1"/>
        <v>#N/A</v>
      </c>
      <c r="E576" t="e">
        <f ca="1"/>
        <v>#N/A</v>
      </c>
      <c r="F576" t="e">
        <f ca="1"/>
        <v>#N/A</v>
      </c>
      <c r="G576" t="e">
        <f ca="1"/>
        <v>#N/A</v>
      </c>
      <c r="H576" t="e">
        <f ca="1"/>
        <v>#N/A</v>
      </c>
      <c r="I576" t="e">
        <f ca="1"/>
        <v>#N/A</v>
      </c>
      <c r="J576" t="e">
        <f ca="1"/>
        <v>#N/A</v>
      </c>
      <c r="K576" s="49" t="e">
        <f ca="1"/>
        <v>#N/A</v>
      </c>
    </row>
    <row r="577" spans="1:11" x14ac:dyDescent="0.25">
      <c r="A577" s="2" t="e">
        <f ca="1"/>
        <v>#N/A</v>
      </c>
      <c r="C577" t="e">
        <f ca="1"/>
        <v>#N/A</v>
      </c>
      <c r="D577" t="e">
        <f ca="1"/>
        <v>#N/A</v>
      </c>
      <c r="E577" t="e">
        <f ca="1"/>
        <v>#N/A</v>
      </c>
      <c r="F577" t="e">
        <f ca="1"/>
        <v>#N/A</v>
      </c>
      <c r="G577" t="e">
        <f ca="1"/>
        <v>#N/A</v>
      </c>
      <c r="H577" t="e">
        <f ca="1"/>
        <v>#N/A</v>
      </c>
      <c r="I577" t="e">
        <f ca="1"/>
        <v>#N/A</v>
      </c>
      <c r="J577" t="e">
        <f ca="1"/>
        <v>#N/A</v>
      </c>
      <c r="K577" s="49" t="e">
        <f ca="1"/>
        <v>#N/A</v>
      </c>
    </row>
    <row r="578" spans="1:11" x14ac:dyDescent="0.25">
      <c r="A578" s="2" t="e">
        <f ca="1"/>
        <v>#N/A</v>
      </c>
      <c r="C578" t="e">
        <f ca="1"/>
        <v>#N/A</v>
      </c>
      <c r="D578" t="e">
        <f ca="1"/>
        <v>#N/A</v>
      </c>
      <c r="E578" t="e">
        <f ca="1"/>
        <v>#N/A</v>
      </c>
      <c r="F578" t="e">
        <f ca="1"/>
        <v>#N/A</v>
      </c>
      <c r="G578" t="e">
        <f ca="1"/>
        <v>#N/A</v>
      </c>
      <c r="H578" t="e">
        <f ca="1"/>
        <v>#N/A</v>
      </c>
      <c r="I578" t="e">
        <f ca="1"/>
        <v>#N/A</v>
      </c>
      <c r="J578" t="e">
        <f ca="1"/>
        <v>#N/A</v>
      </c>
      <c r="K578" s="49" t="e">
        <f ca="1"/>
        <v>#N/A</v>
      </c>
    </row>
    <row r="579" spans="1:11" x14ac:dyDescent="0.25">
      <c r="A579" s="2" t="e">
        <f ca="1"/>
        <v>#N/A</v>
      </c>
      <c r="C579" t="e">
        <f ca="1"/>
        <v>#N/A</v>
      </c>
      <c r="D579" t="e">
        <f ca="1"/>
        <v>#N/A</v>
      </c>
      <c r="E579" t="e">
        <f ca="1"/>
        <v>#N/A</v>
      </c>
      <c r="F579" t="e">
        <f ca="1"/>
        <v>#N/A</v>
      </c>
      <c r="G579" t="e">
        <f ca="1"/>
        <v>#N/A</v>
      </c>
      <c r="H579" t="e">
        <f ca="1"/>
        <v>#N/A</v>
      </c>
      <c r="I579" t="e">
        <f ca="1"/>
        <v>#N/A</v>
      </c>
      <c r="J579" t="e">
        <f ca="1"/>
        <v>#N/A</v>
      </c>
      <c r="K579" s="49" t="e">
        <f ca="1"/>
        <v>#N/A</v>
      </c>
    </row>
    <row r="580" spans="1:11" x14ac:dyDescent="0.25">
      <c r="A580" s="2" t="e">
        <f ca="1"/>
        <v>#N/A</v>
      </c>
      <c r="C580" t="e">
        <f ca="1"/>
        <v>#N/A</v>
      </c>
      <c r="D580" t="e">
        <f ca="1"/>
        <v>#N/A</v>
      </c>
      <c r="E580" t="e">
        <f ca="1"/>
        <v>#N/A</v>
      </c>
      <c r="F580" t="e">
        <f ca="1"/>
        <v>#N/A</v>
      </c>
      <c r="G580" t="e">
        <f ca="1"/>
        <v>#N/A</v>
      </c>
      <c r="H580" t="e">
        <f ca="1"/>
        <v>#N/A</v>
      </c>
      <c r="I580" t="e">
        <f ca="1"/>
        <v>#N/A</v>
      </c>
      <c r="J580" t="e">
        <f ca="1"/>
        <v>#N/A</v>
      </c>
      <c r="K580" s="49" t="e">
        <f ca="1"/>
        <v>#N/A</v>
      </c>
    </row>
    <row r="581" spans="1:11" x14ac:dyDescent="0.25">
      <c r="A581" s="2" t="e">
        <f ca="1"/>
        <v>#N/A</v>
      </c>
      <c r="C581" t="e">
        <f ca="1"/>
        <v>#N/A</v>
      </c>
      <c r="D581" t="e">
        <f ca="1"/>
        <v>#N/A</v>
      </c>
      <c r="E581" t="e">
        <f ca="1"/>
        <v>#N/A</v>
      </c>
      <c r="F581" t="e">
        <f ca="1"/>
        <v>#N/A</v>
      </c>
      <c r="G581" t="e">
        <f ca="1"/>
        <v>#N/A</v>
      </c>
      <c r="H581" t="e">
        <f ca="1"/>
        <v>#N/A</v>
      </c>
      <c r="I581" t="e">
        <f ca="1"/>
        <v>#N/A</v>
      </c>
      <c r="J581" t="e">
        <f ca="1"/>
        <v>#N/A</v>
      </c>
      <c r="K581" s="49" t="e">
        <f ca="1"/>
        <v>#N/A</v>
      </c>
    </row>
    <row r="582" spans="1:11" x14ac:dyDescent="0.25">
      <c r="A582" s="2" t="e">
        <f ca="1"/>
        <v>#N/A</v>
      </c>
      <c r="C582" t="e">
        <f ca="1"/>
        <v>#N/A</v>
      </c>
      <c r="D582" t="e">
        <f ca="1"/>
        <v>#N/A</v>
      </c>
      <c r="E582" t="e">
        <f ca="1"/>
        <v>#N/A</v>
      </c>
      <c r="F582" t="e">
        <f ca="1"/>
        <v>#N/A</v>
      </c>
      <c r="G582" t="e">
        <f ca="1"/>
        <v>#N/A</v>
      </c>
      <c r="H582" t="e">
        <f ca="1"/>
        <v>#N/A</v>
      </c>
      <c r="I582" t="e">
        <f ca="1"/>
        <v>#N/A</v>
      </c>
      <c r="J582" t="e">
        <f ca="1"/>
        <v>#N/A</v>
      </c>
      <c r="K582" s="49" t="e">
        <f ca="1"/>
        <v>#N/A</v>
      </c>
    </row>
    <row r="583" spans="1:11" x14ac:dyDescent="0.25">
      <c r="A583" s="2" t="e">
        <f ca="1"/>
        <v>#N/A</v>
      </c>
      <c r="C583" t="e">
        <f ca="1"/>
        <v>#N/A</v>
      </c>
      <c r="D583" t="e">
        <f ca="1"/>
        <v>#N/A</v>
      </c>
      <c r="E583" t="e">
        <f ca="1"/>
        <v>#N/A</v>
      </c>
      <c r="F583" t="e">
        <f ca="1"/>
        <v>#N/A</v>
      </c>
      <c r="G583" t="e">
        <f ca="1"/>
        <v>#N/A</v>
      </c>
      <c r="H583" t="e">
        <f ca="1"/>
        <v>#N/A</v>
      </c>
      <c r="I583" t="e">
        <f ca="1"/>
        <v>#N/A</v>
      </c>
      <c r="J583" t="e">
        <f ca="1"/>
        <v>#N/A</v>
      </c>
      <c r="K583" s="49" t="e">
        <f ca="1"/>
        <v>#N/A</v>
      </c>
    </row>
    <row r="584" spans="1:11" x14ac:dyDescent="0.25">
      <c r="A584" s="2" t="e">
        <f ca="1"/>
        <v>#N/A</v>
      </c>
      <c r="C584" t="e">
        <f ca="1"/>
        <v>#N/A</v>
      </c>
      <c r="D584" t="e">
        <f ca="1"/>
        <v>#N/A</v>
      </c>
      <c r="E584" t="e">
        <f ca="1"/>
        <v>#N/A</v>
      </c>
      <c r="F584" t="e">
        <f ca="1"/>
        <v>#N/A</v>
      </c>
      <c r="G584" t="e">
        <f ca="1"/>
        <v>#N/A</v>
      </c>
      <c r="H584" t="e">
        <f ca="1"/>
        <v>#N/A</v>
      </c>
      <c r="I584" t="e">
        <f ca="1"/>
        <v>#N/A</v>
      </c>
      <c r="J584" t="e">
        <f ca="1"/>
        <v>#N/A</v>
      </c>
      <c r="K584" s="49" t="e">
        <f ca="1"/>
        <v>#N/A</v>
      </c>
    </row>
    <row r="585" spans="1:11" x14ac:dyDescent="0.25">
      <c r="A585" s="2" t="e">
        <f ca="1"/>
        <v>#N/A</v>
      </c>
      <c r="C585" t="e">
        <f ca="1"/>
        <v>#N/A</v>
      </c>
      <c r="D585" t="e">
        <f ca="1"/>
        <v>#N/A</v>
      </c>
      <c r="E585" t="e">
        <f ca="1"/>
        <v>#N/A</v>
      </c>
      <c r="F585" t="e">
        <f ca="1"/>
        <v>#N/A</v>
      </c>
      <c r="G585" t="e">
        <f ca="1"/>
        <v>#N/A</v>
      </c>
      <c r="H585" t="e">
        <f ca="1"/>
        <v>#N/A</v>
      </c>
      <c r="I585" t="e">
        <f ca="1"/>
        <v>#N/A</v>
      </c>
      <c r="J585" t="e">
        <f ca="1"/>
        <v>#N/A</v>
      </c>
      <c r="K585" s="49" t="e">
        <f ca="1"/>
        <v>#N/A</v>
      </c>
    </row>
    <row r="586" spans="1:11" x14ac:dyDescent="0.25">
      <c r="A586" s="2" t="e">
        <f ca="1"/>
        <v>#N/A</v>
      </c>
      <c r="C586" t="e">
        <f ca="1"/>
        <v>#N/A</v>
      </c>
      <c r="D586" t="e">
        <f ca="1"/>
        <v>#N/A</v>
      </c>
      <c r="E586" t="e">
        <f ca="1"/>
        <v>#N/A</v>
      </c>
      <c r="F586" t="e">
        <f ca="1"/>
        <v>#N/A</v>
      </c>
      <c r="G586" t="e">
        <f ca="1"/>
        <v>#N/A</v>
      </c>
      <c r="H586" t="e">
        <f ca="1"/>
        <v>#N/A</v>
      </c>
      <c r="I586" t="e">
        <f ca="1"/>
        <v>#N/A</v>
      </c>
      <c r="J586" t="e">
        <f ca="1"/>
        <v>#N/A</v>
      </c>
      <c r="K586" s="49" t="e">
        <f ca="1"/>
        <v>#N/A</v>
      </c>
    </row>
    <row r="587" spans="1:11" x14ac:dyDescent="0.25">
      <c r="A587" s="2" t="e">
        <f ca="1"/>
        <v>#N/A</v>
      </c>
      <c r="C587" t="e">
        <f ca="1"/>
        <v>#N/A</v>
      </c>
      <c r="D587" t="e">
        <f ca="1"/>
        <v>#N/A</v>
      </c>
      <c r="E587" t="e">
        <f ca="1"/>
        <v>#N/A</v>
      </c>
      <c r="F587" t="e">
        <f ca="1"/>
        <v>#N/A</v>
      </c>
      <c r="G587" t="e">
        <f ca="1"/>
        <v>#N/A</v>
      </c>
      <c r="H587" t="e">
        <f ca="1"/>
        <v>#N/A</v>
      </c>
      <c r="I587" t="e">
        <f ca="1"/>
        <v>#N/A</v>
      </c>
      <c r="J587" t="e">
        <f ca="1"/>
        <v>#N/A</v>
      </c>
      <c r="K587" s="49" t="e">
        <f ca="1"/>
        <v>#N/A</v>
      </c>
    </row>
    <row r="588" spans="1:11" x14ac:dyDescent="0.25">
      <c r="A588" s="2" t="e">
        <f ca="1"/>
        <v>#N/A</v>
      </c>
      <c r="C588" t="e">
        <f ca="1"/>
        <v>#N/A</v>
      </c>
      <c r="D588" t="e">
        <f ca="1"/>
        <v>#N/A</v>
      </c>
      <c r="E588" t="e">
        <f ca="1"/>
        <v>#N/A</v>
      </c>
      <c r="F588" t="e">
        <f ca="1"/>
        <v>#N/A</v>
      </c>
      <c r="G588" t="e">
        <f ca="1"/>
        <v>#N/A</v>
      </c>
      <c r="H588" t="e">
        <f ca="1"/>
        <v>#N/A</v>
      </c>
      <c r="I588" t="e">
        <f ca="1"/>
        <v>#N/A</v>
      </c>
      <c r="J588" t="e">
        <f ca="1"/>
        <v>#N/A</v>
      </c>
      <c r="K588" s="49" t="e">
        <f ca="1"/>
        <v>#N/A</v>
      </c>
    </row>
    <row r="589" spans="1:11" x14ac:dyDescent="0.25">
      <c r="A589" s="2" t="e">
        <f ca="1"/>
        <v>#N/A</v>
      </c>
      <c r="C589" t="e">
        <f ca="1"/>
        <v>#N/A</v>
      </c>
      <c r="D589" t="e">
        <f ca="1"/>
        <v>#N/A</v>
      </c>
      <c r="E589" t="e">
        <f ca="1"/>
        <v>#N/A</v>
      </c>
      <c r="F589" t="e">
        <f ca="1"/>
        <v>#N/A</v>
      </c>
      <c r="G589" t="e">
        <f ca="1"/>
        <v>#N/A</v>
      </c>
      <c r="H589" t="e">
        <f ca="1"/>
        <v>#N/A</v>
      </c>
      <c r="I589" t="e">
        <f ca="1"/>
        <v>#N/A</v>
      </c>
      <c r="J589" t="e">
        <f ca="1"/>
        <v>#N/A</v>
      </c>
      <c r="K589" s="49" t="e">
        <f ca="1"/>
        <v>#N/A</v>
      </c>
    </row>
    <row r="590" spans="1:11" x14ac:dyDescent="0.25">
      <c r="A590" s="2" t="e">
        <f ca="1"/>
        <v>#N/A</v>
      </c>
      <c r="C590" t="e">
        <f ca="1"/>
        <v>#N/A</v>
      </c>
      <c r="D590" t="e">
        <f ca="1"/>
        <v>#N/A</v>
      </c>
      <c r="E590" t="e">
        <f ca="1"/>
        <v>#N/A</v>
      </c>
      <c r="F590" t="e">
        <f ca="1"/>
        <v>#N/A</v>
      </c>
      <c r="G590" t="e">
        <f ca="1"/>
        <v>#N/A</v>
      </c>
      <c r="H590" t="e">
        <f ca="1"/>
        <v>#N/A</v>
      </c>
      <c r="I590" t="e">
        <f ca="1"/>
        <v>#N/A</v>
      </c>
      <c r="J590" t="e">
        <f ca="1"/>
        <v>#N/A</v>
      </c>
      <c r="K590" s="49" t="e">
        <f ca="1"/>
        <v>#N/A</v>
      </c>
    </row>
    <row r="591" spans="1:11" x14ac:dyDescent="0.25">
      <c r="A591" s="2" t="e">
        <f ca="1"/>
        <v>#N/A</v>
      </c>
      <c r="C591" t="e">
        <f ca="1"/>
        <v>#N/A</v>
      </c>
      <c r="D591" t="e">
        <f ca="1"/>
        <v>#N/A</v>
      </c>
      <c r="E591" t="e">
        <f ca="1"/>
        <v>#N/A</v>
      </c>
      <c r="F591" t="e">
        <f ca="1"/>
        <v>#N/A</v>
      </c>
      <c r="G591" t="e">
        <f ca="1"/>
        <v>#N/A</v>
      </c>
      <c r="H591" t="e">
        <f ca="1"/>
        <v>#N/A</v>
      </c>
      <c r="I591" t="e">
        <f ca="1"/>
        <v>#N/A</v>
      </c>
      <c r="J591" t="e">
        <f ca="1"/>
        <v>#N/A</v>
      </c>
      <c r="K591" s="49" t="e">
        <f ca="1"/>
        <v>#N/A</v>
      </c>
    </row>
    <row r="592" spans="1:11" x14ac:dyDescent="0.25">
      <c r="A592" s="2" t="e">
        <f ca="1"/>
        <v>#N/A</v>
      </c>
      <c r="C592" t="e">
        <f ca="1"/>
        <v>#N/A</v>
      </c>
      <c r="D592" t="e">
        <f ca="1"/>
        <v>#N/A</v>
      </c>
      <c r="E592" t="e">
        <f ca="1"/>
        <v>#N/A</v>
      </c>
      <c r="F592" t="e">
        <f ca="1"/>
        <v>#N/A</v>
      </c>
      <c r="G592" t="e">
        <f ca="1"/>
        <v>#N/A</v>
      </c>
      <c r="H592" t="e">
        <f ca="1"/>
        <v>#N/A</v>
      </c>
      <c r="I592" t="e">
        <f ca="1"/>
        <v>#N/A</v>
      </c>
      <c r="J592" t="e">
        <f ca="1"/>
        <v>#N/A</v>
      </c>
      <c r="K592" s="49" t="e">
        <f ca="1"/>
        <v>#N/A</v>
      </c>
    </row>
    <row r="593" spans="1:11" x14ac:dyDescent="0.25">
      <c r="A593" s="2" t="e">
        <f ca="1"/>
        <v>#N/A</v>
      </c>
      <c r="C593" t="e">
        <f ca="1"/>
        <v>#N/A</v>
      </c>
      <c r="D593" t="e">
        <f ca="1"/>
        <v>#N/A</v>
      </c>
      <c r="E593" t="e">
        <f ca="1"/>
        <v>#N/A</v>
      </c>
      <c r="F593" t="e">
        <f ca="1"/>
        <v>#N/A</v>
      </c>
      <c r="G593" t="e">
        <f ca="1"/>
        <v>#N/A</v>
      </c>
      <c r="H593" t="e">
        <f ca="1"/>
        <v>#N/A</v>
      </c>
      <c r="I593" t="e">
        <f ca="1"/>
        <v>#N/A</v>
      </c>
      <c r="J593" t="e">
        <f ca="1"/>
        <v>#N/A</v>
      </c>
      <c r="K593" s="49" t="e">
        <f ca="1"/>
        <v>#N/A</v>
      </c>
    </row>
    <row r="594" spans="1:11" x14ac:dyDescent="0.25">
      <c r="A594" s="2" t="e">
        <f ca="1"/>
        <v>#N/A</v>
      </c>
      <c r="C594" t="e">
        <f ca="1"/>
        <v>#N/A</v>
      </c>
      <c r="D594" t="e">
        <f ca="1"/>
        <v>#N/A</v>
      </c>
      <c r="E594" t="e">
        <f ca="1"/>
        <v>#N/A</v>
      </c>
      <c r="F594" t="e">
        <f ca="1"/>
        <v>#N/A</v>
      </c>
      <c r="G594" t="e">
        <f ca="1"/>
        <v>#N/A</v>
      </c>
      <c r="H594" t="e">
        <f ca="1"/>
        <v>#N/A</v>
      </c>
      <c r="I594" t="e">
        <f ca="1"/>
        <v>#N/A</v>
      </c>
      <c r="J594" t="e">
        <f ca="1"/>
        <v>#N/A</v>
      </c>
      <c r="K594" s="49" t="e">
        <f ca="1"/>
        <v>#N/A</v>
      </c>
    </row>
    <row r="595" spans="1:11" x14ac:dyDescent="0.25">
      <c r="A595" s="2" t="e">
        <f ca="1"/>
        <v>#N/A</v>
      </c>
      <c r="C595" t="e">
        <f ca="1"/>
        <v>#N/A</v>
      </c>
      <c r="D595" t="e">
        <f ca="1"/>
        <v>#N/A</v>
      </c>
      <c r="E595" t="e">
        <f ca="1"/>
        <v>#N/A</v>
      </c>
      <c r="F595" t="e">
        <f ca="1"/>
        <v>#N/A</v>
      </c>
      <c r="G595" t="e">
        <f ca="1"/>
        <v>#N/A</v>
      </c>
      <c r="H595" t="e">
        <f ca="1"/>
        <v>#N/A</v>
      </c>
      <c r="I595" t="e">
        <f ca="1"/>
        <v>#N/A</v>
      </c>
      <c r="J595" t="e">
        <f ca="1"/>
        <v>#N/A</v>
      </c>
      <c r="K595" s="49" t="e">
        <f ca="1"/>
        <v>#N/A</v>
      </c>
    </row>
    <row r="596" spans="1:11" x14ac:dyDescent="0.25">
      <c r="A596" s="2" t="e">
        <f ca="1"/>
        <v>#N/A</v>
      </c>
      <c r="C596" t="e">
        <f ca="1"/>
        <v>#N/A</v>
      </c>
      <c r="D596" t="e">
        <f ca="1"/>
        <v>#N/A</v>
      </c>
      <c r="E596" t="e">
        <f ca="1"/>
        <v>#N/A</v>
      </c>
      <c r="F596" t="e">
        <f ca="1"/>
        <v>#N/A</v>
      </c>
      <c r="G596" t="e">
        <f ca="1"/>
        <v>#N/A</v>
      </c>
      <c r="H596" t="e">
        <f ca="1"/>
        <v>#N/A</v>
      </c>
      <c r="I596" t="e">
        <f ca="1"/>
        <v>#N/A</v>
      </c>
      <c r="J596" t="e">
        <f ca="1"/>
        <v>#N/A</v>
      </c>
      <c r="K596" s="49" t="e">
        <f ca="1"/>
        <v>#N/A</v>
      </c>
    </row>
    <row r="597" spans="1:11" x14ac:dyDescent="0.25">
      <c r="A597" s="2" t="e">
        <f ca="1"/>
        <v>#N/A</v>
      </c>
      <c r="C597" t="e">
        <f ca="1"/>
        <v>#N/A</v>
      </c>
      <c r="D597" t="e">
        <f ca="1"/>
        <v>#N/A</v>
      </c>
      <c r="E597" t="e">
        <f ca="1"/>
        <v>#N/A</v>
      </c>
      <c r="F597" t="e">
        <f ca="1"/>
        <v>#N/A</v>
      </c>
      <c r="G597" t="e">
        <f ca="1"/>
        <v>#N/A</v>
      </c>
      <c r="H597" t="e">
        <f ca="1"/>
        <v>#N/A</v>
      </c>
      <c r="I597" t="e">
        <f ca="1"/>
        <v>#N/A</v>
      </c>
      <c r="J597" t="e">
        <f ca="1"/>
        <v>#N/A</v>
      </c>
      <c r="K597" s="49" t="e">
        <f ca="1"/>
        <v>#N/A</v>
      </c>
    </row>
    <row r="598" spans="1:11" x14ac:dyDescent="0.25">
      <c r="A598" s="2" t="e">
        <f ca="1"/>
        <v>#N/A</v>
      </c>
      <c r="C598" t="e">
        <f ca="1"/>
        <v>#N/A</v>
      </c>
      <c r="D598" t="e">
        <f ca="1"/>
        <v>#N/A</v>
      </c>
      <c r="E598" t="e">
        <f ca="1"/>
        <v>#N/A</v>
      </c>
      <c r="F598" t="e">
        <f ca="1"/>
        <v>#N/A</v>
      </c>
      <c r="G598" t="e">
        <f ca="1"/>
        <v>#N/A</v>
      </c>
      <c r="H598" t="e">
        <f ca="1"/>
        <v>#N/A</v>
      </c>
      <c r="I598" t="e">
        <f ca="1"/>
        <v>#N/A</v>
      </c>
      <c r="J598" t="e">
        <f ca="1"/>
        <v>#N/A</v>
      </c>
      <c r="K598" s="49" t="e">
        <f ca="1"/>
        <v>#N/A</v>
      </c>
    </row>
    <row r="599" spans="1:11" x14ac:dyDescent="0.25">
      <c r="A599" s="2" t="e">
        <f ca="1"/>
        <v>#N/A</v>
      </c>
      <c r="C599" t="e">
        <f ca="1"/>
        <v>#N/A</v>
      </c>
      <c r="D599" t="e">
        <f ca="1"/>
        <v>#N/A</v>
      </c>
      <c r="E599" t="e">
        <f ca="1"/>
        <v>#N/A</v>
      </c>
      <c r="F599" t="e">
        <f ca="1"/>
        <v>#N/A</v>
      </c>
      <c r="G599" t="e">
        <f ca="1"/>
        <v>#N/A</v>
      </c>
      <c r="H599" t="e">
        <f ca="1"/>
        <v>#N/A</v>
      </c>
      <c r="I599" t="e">
        <f ca="1"/>
        <v>#N/A</v>
      </c>
      <c r="J599" t="e">
        <f ca="1"/>
        <v>#N/A</v>
      </c>
      <c r="K599" s="49" t="e">
        <f ca="1"/>
        <v>#N/A</v>
      </c>
    </row>
    <row r="600" spans="1:11" x14ac:dyDescent="0.25">
      <c r="A600" s="2" t="e">
        <f ca="1"/>
        <v>#N/A</v>
      </c>
      <c r="C600" t="e">
        <f ca="1"/>
        <v>#N/A</v>
      </c>
      <c r="D600" t="e">
        <f ca="1"/>
        <v>#N/A</v>
      </c>
      <c r="E600" t="e">
        <f ca="1"/>
        <v>#N/A</v>
      </c>
      <c r="F600" t="e">
        <f ca="1"/>
        <v>#N/A</v>
      </c>
      <c r="G600" t="e">
        <f ca="1"/>
        <v>#N/A</v>
      </c>
      <c r="H600" t="e">
        <f ca="1"/>
        <v>#N/A</v>
      </c>
      <c r="I600" t="e">
        <f ca="1"/>
        <v>#N/A</v>
      </c>
      <c r="J600" t="e">
        <f ca="1"/>
        <v>#N/A</v>
      </c>
      <c r="K600" s="49" t="e">
        <f ca="1"/>
        <v>#N/A</v>
      </c>
    </row>
    <row r="601" spans="1:11" x14ac:dyDescent="0.25">
      <c r="A601" s="2" t="e">
        <f ca="1"/>
        <v>#N/A</v>
      </c>
      <c r="C601" t="e">
        <f ca="1"/>
        <v>#N/A</v>
      </c>
      <c r="D601" t="e">
        <f ca="1"/>
        <v>#N/A</v>
      </c>
      <c r="E601" t="e">
        <f ca="1"/>
        <v>#N/A</v>
      </c>
      <c r="F601" t="e">
        <f ca="1"/>
        <v>#N/A</v>
      </c>
      <c r="G601" t="e">
        <f ca="1"/>
        <v>#N/A</v>
      </c>
      <c r="H601" t="e">
        <f ca="1"/>
        <v>#N/A</v>
      </c>
      <c r="I601" t="e">
        <f ca="1"/>
        <v>#N/A</v>
      </c>
      <c r="J601" t="e">
        <f ca="1"/>
        <v>#N/A</v>
      </c>
      <c r="K601" s="49" t="e">
        <f ca="1"/>
        <v>#N/A</v>
      </c>
    </row>
    <row r="602" spans="1:11" x14ac:dyDescent="0.25">
      <c r="A602" s="2" t="e">
        <f ca="1"/>
        <v>#N/A</v>
      </c>
      <c r="C602" t="e">
        <f ca="1"/>
        <v>#N/A</v>
      </c>
      <c r="D602" t="e">
        <f ca="1"/>
        <v>#N/A</v>
      </c>
      <c r="E602" t="e">
        <f ca="1"/>
        <v>#N/A</v>
      </c>
      <c r="F602" t="e">
        <f ca="1"/>
        <v>#N/A</v>
      </c>
      <c r="G602" t="e">
        <f ca="1"/>
        <v>#N/A</v>
      </c>
      <c r="H602" t="e">
        <f ca="1"/>
        <v>#N/A</v>
      </c>
      <c r="I602" t="e">
        <f ca="1"/>
        <v>#N/A</v>
      </c>
      <c r="J602" t="e">
        <f ca="1"/>
        <v>#N/A</v>
      </c>
      <c r="K602" s="49" t="e">
        <f ca="1"/>
        <v>#N/A</v>
      </c>
    </row>
    <row r="603" spans="1:11" x14ac:dyDescent="0.25">
      <c r="A603" s="2" t="e">
        <f ca="1"/>
        <v>#N/A</v>
      </c>
      <c r="C603" t="e">
        <f ca="1"/>
        <v>#N/A</v>
      </c>
      <c r="D603" t="e">
        <f ca="1"/>
        <v>#N/A</v>
      </c>
      <c r="E603" t="e">
        <f ca="1"/>
        <v>#N/A</v>
      </c>
      <c r="F603" t="e">
        <f ca="1"/>
        <v>#N/A</v>
      </c>
      <c r="G603" t="e">
        <f ca="1"/>
        <v>#N/A</v>
      </c>
      <c r="H603" t="e">
        <f ca="1"/>
        <v>#N/A</v>
      </c>
      <c r="I603" t="e">
        <f ca="1"/>
        <v>#N/A</v>
      </c>
      <c r="J603" t="e">
        <f ca="1"/>
        <v>#N/A</v>
      </c>
      <c r="K603" s="49" t="e">
        <f ca="1"/>
        <v>#N/A</v>
      </c>
    </row>
    <row r="604" spans="1:11" x14ac:dyDescent="0.25">
      <c r="A604" s="2" t="e">
        <f ca="1"/>
        <v>#N/A</v>
      </c>
      <c r="C604" t="e">
        <f ca="1"/>
        <v>#N/A</v>
      </c>
      <c r="D604" t="e">
        <f ca="1"/>
        <v>#N/A</v>
      </c>
      <c r="E604" t="e">
        <f ca="1"/>
        <v>#N/A</v>
      </c>
      <c r="F604" t="e">
        <f ca="1"/>
        <v>#N/A</v>
      </c>
      <c r="G604" t="e">
        <f ca="1"/>
        <v>#N/A</v>
      </c>
      <c r="H604" t="e">
        <f ca="1"/>
        <v>#N/A</v>
      </c>
      <c r="I604" t="e">
        <f ca="1"/>
        <v>#N/A</v>
      </c>
      <c r="J604" t="e">
        <f ca="1"/>
        <v>#N/A</v>
      </c>
      <c r="K604" s="49" t="e">
        <f ca="1"/>
        <v>#N/A</v>
      </c>
    </row>
    <row r="605" spans="1:11" x14ac:dyDescent="0.25">
      <c r="A605" s="2" t="e">
        <f ca="1"/>
        <v>#N/A</v>
      </c>
      <c r="C605" t="e">
        <f ca="1"/>
        <v>#N/A</v>
      </c>
      <c r="D605" t="e">
        <f ca="1"/>
        <v>#N/A</v>
      </c>
      <c r="E605" t="e">
        <f ca="1"/>
        <v>#N/A</v>
      </c>
      <c r="F605" t="e">
        <f ca="1"/>
        <v>#N/A</v>
      </c>
      <c r="G605" t="e">
        <f ca="1"/>
        <v>#N/A</v>
      </c>
      <c r="H605" t="e">
        <f ca="1"/>
        <v>#N/A</v>
      </c>
      <c r="I605" t="e">
        <f ca="1"/>
        <v>#N/A</v>
      </c>
      <c r="J605" t="e">
        <f ca="1"/>
        <v>#N/A</v>
      </c>
      <c r="K605" s="49" t="e">
        <f ca="1"/>
        <v>#N/A</v>
      </c>
    </row>
    <row r="606" spans="1:11" x14ac:dyDescent="0.25">
      <c r="A606" s="2" t="e">
        <f ca="1"/>
        <v>#N/A</v>
      </c>
      <c r="C606" t="e">
        <f ca="1"/>
        <v>#N/A</v>
      </c>
      <c r="D606" t="e">
        <f ca="1"/>
        <v>#N/A</v>
      </c>
      <c r="E606" t="e">
        <f ca="1"/>
        <v>#N/A</v>
      </c>
      <c r="F606" t="e">
        <f ca="1"/>
        <v>#N/A</v>
      </c>
      <c r="G606" t="e">
        <f ca="1"/>
        <v>#N/A</v>
      </c>
      <c r="H606" t="e">
        <f ca="1"/>
        <v>#N/A</v>
      </c>
      <c r="I606" t="e">
        <f ca="1"/>
        <v>#N/A</v>
      </c>
      <c r="J606" t="e">
        <f ca="1"/>
        <v>#N/A</v>
      </c>
      <c r="K606" s="49" t="e">
        <f ca="1"/>
        <v>#N/A</v>
      </c>
    </row>
    <row r="607" spans="1:11" x14ac:dyDescent="0.25">
      <c r="A607" s="2" t="e">
        <f ca="1"/>
        <v>#N/A</v>
      </c>
      <c r="C607" t="e">
        <f ca="1"/>
        <v>#N/A</v>
      </c>
      <c r="D607" t="e">
        <f ca="1"/>
        <v>#N/A</v>
      </c>
      <c r="E607" t="e">
        <f ca="1"/>
        <v>#N/A</v>
      </c>
      <c r="F607" t="e">
        <f ca="1"/>
        <v>#N/A</v>
      </c>
      <c r="G607" t="e">
        <f ca="1"/>
        <v>#N/A</v>
      </c>
      <c r="H607" t="e">
        <f ca="1"/>
        <v>#N/A</v>
      </c>
      <c r="I607" t="e">
        <f ca="1"/>
        <v>#N/A</v>
      </c>
      <c r="J607" t="e">
        <f ca="1"/>
        <v>#N/A</v>
      </c>
      <c r="K607" s="49" t="e">
        <f ca="1"/>
        <v>#N/A</v>
      </c>
    </row>
    <row r="608" spans="1:11" x14ac:dyDescent="0.25">
      <c r="A608" s="2" t="e">
        <f ca="1"/>
        <v>#N/A</v>
      </c>
      <c r="C608" t="e">
        <f ca="1"/>
        <v>#N/A</v>
      </c>
      <c r="D608" t="e">
        <f ca="1"/>
        <v>#N/A</v>
      </c>
      <c r="E608" t="e">
        <f ca="1"/>
        <v>#N/A</v>
      </c>
      <c r="F608" t="e">
        <f ca="1"/>
        <v>#N/A</v>
      </c>
      <c r="G608" t="e">
        <f ca="1"/>
        <v>#N/A</v>
      </c>
      <c r="H608" t="e">
        <f ca="1"/>
        <v>#N/A</v>
      </c>
      <c r="I608" t="e">
        <f ca="1"/>
        <v>#N/A</v>
      </c>
      <c r="J608" t="e">
        <f ca="1"/>
        <v>#N/A</v>
      </c>
      <c r="K608" s="49" t="e">
        <f ca="1"/>
        <v>#N/A</v>
      </c>
    </row>
    <row r="609" spans="1:11" x14ac:dyDescent="0.25">
      <c r="A609" s="2" t="e">
        <f ca="1"/>
        <v>#N/A</v>
      </c>
      <c r="C609" t="e">
        <f ca="1"/>
        <v>#N/A</v>
      </c>
      <c r="D609" t="e">
        <f ca="1"/>
        <v>#N/A</v>
      </c>
      <c r="E609" t="e">
        <f ca="1"/>
        <v>#N/A</v>
      </c>
      <c r="F609" t="e">
        <f ca="1"/>
        <v>#N/A</v>
      </c>
      <c r="G609" t="e">
        <f ca="1"/>
        <v>#N/A</v>
      </c>
      <c r="H609" t="e">
        <f ca="1"/>
        <v>#N/A</v>
      </c>
      <c r="I609" t="e">
        <f ca="1"/>
        <v>#N/A</v>
      </c>
      <c r="J609" t="e">
        <f ca="1"/>
        <v>#N/A</v>
      </c>
      <c r="K609" s="49" t="e">
        <f ca="1"/>
        <v>#N/A</v>
      </c>
    </row>
    <row r="610" spans="1:11" x14ac:dyDescent="0.25">
      <c r="A610" s="2" t="e">
        <f ca="1"/>
        <v>#N/A</v>
      </c>
      <c r="C610" t="e">
        <f ca="1"/>
        <v>#N/A</v>
      </c>
      <c r="D610" t="e">
        <f ca="1"/>
        <v>#N/A</v>
      </c>
      <c r="E610" t="e">
        <f ca="1"/>
        <v>#N/A</v>
      </c>
      <c r="F610" t="e">
        <f ca="1"/>
        <v>#N/A</v>
      </c>
      <c r="G610" t="e">
        <f ca="1"/>
        <v>#N/A</v>
      </c>
      <c r="H610" t="e">
        <f ca="1"/>
        <v>#N/A</v>
      </c>
      <c r="I610" t="e">
        <f ca="1"/>
        <v>#N/A</v>
      </c>
      <c r="J610" t="e">
        <f ca="1"/>
        <v>#N/A</v>
      </c>
      <c r="K610" s="49" t="e">
        <f ca="1"/>
        <v>#N/A</v>
      </c>
    </row>
    <row r="611" spans="1:11" x14ac:dyDescent="0.25">
      <c r="A611" s="2" t="e">
        <f ca="1"/>
        <v>#N/A</v>
      </c>
      <c r="C611" t="e">
        <f ca="1"/>
        <v>#N/A</v>
      </c>
      <c r="D611" t="e">
        <f ca="1"/>
        <v>#N/A</v>
      </c>
      <c r="E611" t="e">
        <f ca="1"/>
        <v>#N/A</v>
      </c>
      <c r="F611" t="e">
        <f ca="1"/>
        <v>#N/A</v>
      </c>
      <c r="G611" t="e">
        <f ca="1"/>
        <v>#N/A</v>
      </c>
      <c r="H611" t="e">
        <f ca="1"/>
        <v>#N/A</v>
      </c>
      <c r="I611" t="e">
        <f ca="1"/>
        <v>#N/A</v>
      </c>
      <c r="J611" t="e">
        <f ca="1"/>
        <v>#N/A</v>
      </c>
      <c r="K611" s="49" t="e">
        <f ca="1"/>
        <v>#N/A</v>
      </c>
    </row>
    <row r="612" spans="1:11" x14ac:dyDescent="0.25">
      <c r="A612" s="2" t="e">
        <f ca="1"/>
        <v>#N/A</v>
      </c>
      <c r="C612" t="e">
        <f ca="1"/>
        <v>#N/A</v>
      </c>
      <c r="D612" t="e">
        <f ca="1"/>
        <v>#N/A</v>
      </c>
      <c r="E612" t="e">
        <f ca="1"/>
        <v>#N/A</v>
      </c>
      <c r="F612" t="e">
        <f ca="1"/>
        <v>#N/A</v>
      </c>
      <c r="G612" t="e">
        <f ca="1"/>
        <v>#N/A</v>
      </c>
      <c r="H612" t="e">
        <f ca="1"/>
        <v>#N/A</v>
      </c>
      <c r="I612" t="e">
        <f ca="1"/>
        <v>#N/A</v>
      </c>
      <c r="J612" t="e">
        <f ca="1"/>
        <v>#N/A</v>
      </c>
      <c r="K612" s="49" t="e">
        <f ca="1"/>
        <v>#N/A</v>
      </c>
    </row>
    <row r="613" spans="1:11" x14ac:dyDescent="0.25">
      <c r="A613" s="2" t="e">
        <f ca="1"/>
        <v>#N/A</v>
      </c>
      <c r="C613" t="e">
        <f ca="1"/>
        <v>#N/A</v>
      </c>
      <c r="D613" t="e">
        <f ca="1"/>
        <v>#N/A</v>
      </c>
      <c r="E613" t="e">
        <f ca="1"/>
        <v>#N/A</v>
      </c>
      <c r="F613" t="e">
        <f ca="1"/>
        <v>#N/A</v>
      </c>
      <c r="G613" t="e">
        <f ca="1"/>
        <v>#N/A</v>
      </c>
      <c r="H613" t="e">
        <f ca="1"/>
        <v>#N/A</v>
      </c>
      <c r="I613" t="e">
        <f ca="1"/>
        <v>#N/A</v>
      </c>
      <c r="J613" t="e">
        <f ca="1"/>
        <v>#N/A</v>
      </c>
      <c r="K613" s="49" t="e">
        <f ca="1"/>
        <v>#N/A</v>
      </c>
    </row>
    <row r="614" spans="1:11" x14ac:dyDescent="0.25">
      <c r="A614" s="2" t="e">
        <f ca="1"/>
        <v>#N/A</v>
      </c>
      <c r="C614" t="e">
        <f ca="1"/>
        <v>#N/A</v>
      </c>
      <c r="D614" t="e">
        <f ca="1"/>
        <v>#N/A</v>
      </c>
      <c r="E614" t="e">
        <f ca="1"/>
        <v>#N/A</v>
      </c>
      <c r="F614" t="e">
        <f ca="1"/>
        <v>#N/A</v>
      </c>
      <c r="G614" t="e">
        <f ca="1"/>
        <v>#N/A</v>
      </c>
      <c r="H614" t="e">
        <f ca="1"/>
        <v>#N/A</v>
      </c>
      <c r="I614" t="e">
        <f ca="1"/>
        <v>#N/A</v>
      </c>
      <c r="J614" t="e">
        <f ca="1"/>
        <v>#N/A</v>
      </c>
      <c r="K614" s="49" t="e">
        <f ca="1"/>
        <v>#N/A</v>
      </c>
    </row>
    <row r="615" spans="1:11" x14ac:dyDescent="0.25">
      <c r="A615" s="2" t="e">
        <f ca="1"/>
        <v>#N/A</v>
      </c>
      <c r="C615" t="e">
        <f ca="1"/>
        <v>#N/A</v>
      </c>
      <c r="D615" t="e">
        <f ca="1"/>
        <v>#N/A</v>
      </c>
      <c r="E615" t="e">
        <f ca="1"/>
        <v>#N/A</v>
      </c>
      <c r="F615" t="e">
        <f ca="1"/>
        <v>#N/A</v>
      </c>
      <c r="G615" t="e">
        <f ca="1"/>
        <v>#N/A</v>
      </c>
      <c r="H615" t="e">
        <f ca="1"/>
        <v>#N/A</v>
      </c>
      <c r="I615" t="e">
        <f ca="1"/>
        <v>#N/A</v>
      </c>
      <c r="J615" t="e">
        <f ca="1"/>
        <v>#N/A</v>
      </c>
      <c r="K615" s="49" t="e">
        <f ca="1"/>
        <v>#N/A</v>
      </c>
    </row>
    <row r="616" spans="1:11" x14ac:dyDescent="0.25">
      <c r="A616" s="2" t="e">
        <f ca="1"/>
        <v>#N/A</v>
      </c>
      <c r="C616" t="e">
        <f ca="1"/>
        <v>#N/A</v>
      </c>
      <c r="D616" t="e">
        <f ca="1"/>
        <v>#N/A</v>
      </c>
      <c r="E616" t="e">
        <f ca="1"/>
        <v>#N/A</v>
      </c>
      <c r="F616" t="e">
        <f ca="1"/>
        <v>#N/A</v>
      </c>
      <c r="G616" t="e">
        <f ca="1"/>
        <v>#N/A</v>
      </c>
      <c r="H616" t="e">
        <f ca="1"/>
        <v>#N/A</v>
      </c>
      <c r="I616" t="e">
        <f ca="1"/>
        <v>#N/A</v>
      </c>
      <c r="J616" t="e">
        <f ca="1"/>
        <v>#N/A</v>
      </c>
      <c r="K616" s="49" t="e">
        <f ca="1"/>
        <v>#N/A</v>
      </c>
    </row>
    <row r="617" spans="1:11" x14ac:dyDescent="0.25">
      <c r="A617" s="2" t="e">
        <f ca="1"/>
        <v>#N/A</v>
      </c>
      <c r="C617" t="e">
        <f ca="1"/>
        <v>#N/A</v>
      </c>
      <c r="D617" t="e">
        <f ca="1"/>
        <v>#N/A</v>
      </c>
      <c r="E617" t="e">
        <f ca="1"/>
        <v>#N/A</v>
      </c>
      <c r="F617" t="e">
        <f ca="1"/>
        <v>#N/A</v>
      </c>
      <c r="G617" t="e">
        <f ca="1"/>
        <v>#N/A</v>
      </c>
      <c r="H617" t="e">
        <f ca="1"/>
        <v>#N/A</v>
      </c>
      <c r="I617" t="e">
        <f ca="1"/>
        <v>#N/A</v>
      </c>
      <c r="J617" t="e">
        <f ca="1"/>
        <v>#N/A</v>
      </c>
      <c r="K617" s="49" t="e">
        <f ca="1"/>
        <v>#N/A</v>
      </c>
    </row>
    <row r="618" spans="1:11" x14ac:dyDescent="0.25">
      <c r="A618" s="2" t="e">
        <f ca="1"/>
        <v>#N/A</v>
      </c>
      <c r="C618" t="e">
        <f ca="1"/>
        <v>#N/A</v>
      </c>
      <c r="D618" t="e">
        <f ca="1"/>
        <v>#N/A</v>
      </c>
      <c r="E618" t="e">
        <f ca="1"/>
        <v>#N/A</v>
      </c>
      <c r="F618" t="e">
        <f ca="1"/>
        <v>#N/A</v>
      </c>
      <c r="G618" t="e">
        <f ca="1"/>
        <v>#N/A</v>
      </c>
      <c r="H618" t="e">
        <f ca="1"/>
        <v>#N/A</v>
      </c>
      <c r="I618" t="e">
        <f ca="1"/>
        <v>#N/A</v>
      </c>
      <c r="J618" t="e">
        <f ca="1"/>
        <v>#N/A</v>
      </c>
      <c r="K618" s="49" t="e">
        <f ca="1"/>
        <v>#N/A</v>
      </c>
    </row>
    <row r="619" spans="1:11" x14ac:dyDescent="0.25">
      <c r="A619" s="2" t="e">
        <f ca="1"/>
        <v>#N/A</v>
      </c>
      <c r="C619" t="e">
        <f ca="1"/>
        <v>#N/A</v>
      </c>
      <c r="D619" t="e">
        <f ca="1"/>
        <v>#N/A</v>
      </c>
      <c r="E619" t="e">
        <f ca="1"/>
        <v>#N/A</v>
      </c>
      <c r="F619" t="e">
        <f ca="1"/>
        <v>#N/A</v>
      </c>
      <c r="G619" t="e">
        <f ca="1"/>
        <v>#N/A</v>
      </c>
      <c r="H619" t="e">
        <f ca="1"/>
        <v>#N/A</v>
      </c>
      <c r="I619" t="e">
        <f ca="1"/>
        <v>#N/A</v>
      </c>
      <c r="J619" t="e">
        <f ca="1"/>
        <v>#N/A</v>
      </c>
      <c r="K619" s="49" t="e">
        <f ca="1"/>
        <v>#N/A</v>
      </c>
    </row>
    <row r="620" spans="1:11" x14ac:dyDescent="0.25">
      <c r="A620" s="2" t="e">
        <f ca="1"/>
        <v>#N/A</v>
      </c>
      <c r="C620" t="e">
        <f ca="1"/>
        <v>#N/A</v>
      </c>
      <c r="D620" t="e">
        <f ca="1"/>
        <v>#N/A</v>
      </c>
      <c r="E620" t="e">
        <f ca="1"/>
        <v>#N/A</v>
      </c>
      <c r="F620" t="e">
        <f ca="1"/>
        <v>#N/A</v>
      </c>
      <c r="G620" t="e">
        <f ca="1"/>
        <v>#N/A</v>
      </c>
      <c r="H620" t="e">
        <f ca="1"/>
        <v>#N/A</v>
      </c>
      <c r="I620" t="e">
        <f ca="1"/>
        <v>#N/A</v>
      </c>
      <c r="J620" t="e">
        <f ca="1"/>
        <v>#N/A</v>
      </c>
      <c r="K620" s="49" t="e">
        <f ca="1"/>
        <v>#N/A</v>
      </c>
    </row>
    <row r="621" spans="1:11" x14ac:dyDescent="0.25">
      <c r="A621" s="2" t="e">
        <f ca="1"/>
        <v>#N/A</v>
      </c>
      <c r="C621" t="e">
        <f ca="1"/>
        <v>#N/A</v>
      </c>
      <c r="D621" t="e">
        <f ca="1"/>
        <v>#N/A</v>
      </c>
      <c r="E621" t="e">
        <f ca="1"/>
        <v>#N/A</v>
      </c>
      <c r="F621" t="e">
        <f ca="1"/>
        <v>#N/A</v>
      </c>
      <c r="G621" t="e">
        <f ca="1"/>
        <v>#N/A</v>
      </c>
      <c r="H621" t="e">
        <f ca="1"/>
        <v>#N/A</v>
      </c>
      <c r="I621" t="e">
        <f ca="1"/>
        <v>#N/A</v>
      </c>
      <c r="J621" t="e">
        <f ca="1"/>
        <v>#N/A</v>
      </c>
      <c r="K621" s="49" t="e">
        <f ca="1"/>
        <v>#N/A</v>
      </c>
    </row>
    <row r="622" spans="1:11" x14ac:dyDescent="0.25">
      <c r="A622" s="2" t="e">
        <f ca="1"/>
        <v>#N/A</v>
      </c>
      <c r="C622" t="e">
        <f ca="1"/>
        <v>#N/A</v>
      </c>
      <c r="D622" t="e">
        <f ca="1"/>
        <v>#N/A</v>
      </c>
      <c r="E622" t="e">
        <f ca="1"/>
        <v>#N/A</v>
      </c>
      <c r="F622" t="e">
        <f ca="1"/>
        <v>#N/A</v>
      </c>
      <c r="G622" t="e">
        <f ca="1"/>
        <v>#N/A</v>
      </c>
      <c r="H622" t="e">
        <f ca="1"/>
        <v>#N/A</v>
      </c>
      <c r="I622" t="e">
        <f ca="1"/>
        <v>#N/A</v>
      </c>
      <c r="J622" t="e">
        <f ca="1"/>
        <v>#N/A</v>
      </c>
      <c r="K622" s="49" t="e">
        <f ca="1"/>
        <v>#N/A</v>
      </c>
    </row>
    <row r="623" spans="1:11" x14ac:dyDescent="0.25">
      <c r="A623" s="2" t="e">
        <f ca="1"/>
        <v>#N/A</v>
      </c>
      <c r="C623" t="e">
        <f ca="1"/>
        <v>#N/A</v>
      </c>
      <c r="D623" t="e">
        <f ca="1"/>
        <v>#N/A</v>
      </c>
      <c r="E623" t="e">
        <f ca="1"/>
        <v>#N/A</v>
      </c>
      <c r="F623" t="e">
        <f ca="1"/>
        <v>#N/A</v>
      </c>
      <c r="G623" t="e">
        <f ca="1"/>
        <v>#N/A</v>
      </c>
      <c r="H623" t="e">
        <f ca="1"/>
        <v>#N/A</v>
      </c>
      <c r="I623" t="e">
        <f ca="1"/>
        <v>#N/A</v>
      </c>
      <c r="J623" t="e">
        <f ca="1"/>
        <v>#N/A</v>
      </c>
      <c r="K623" s="49" t="e">
        <f ca="1"/>
        <v>#N/A</v>
      </c>
    </row>
    <row r="624" spans="1:11" x14ac:dyDescent="0.25">
      <c r="A624" s="2" t="e">
        <f ca="1"/>
        <v>#N/A</v>
      </c>
      <c r="C624" t="e">
        <f ca="1"/>
        <v>#N/A</v>
      </c>
      <c r="D624" t="e">
        <f ca="1"/>
        <v>#N/A</v>
      </c>
      <c r="E624" t="e">
        <f ca="1"/>
        <v>#N/A</v>
      </c>
      <c r="F624" t="e">
        <f ca="1"/>
        <v>#N/A</v>
      </c>
      <c r="G624" t="e">
        <f ca="1"/>
        <v>#N/A</v>
      </c>
      <c r="H624" t="e">
        <f ca="1"/>
        <v>#N/A</v>
      </c>
      <c r="I624" t="e">
        <f ca="1"/>
        <v>#N/A</v>
      </c>
      <c r="J624" t="e">
        <f ca="1"/>
        <v>#N/A</v>
      </c>
      <c r="K624" s="49" t="e">
        <f ca="1"/>
        <v>#N/A</v>
      </c>
    </row>
    <row r="625" spans="1:11" x14ac:dyDescent="0.25">
      <c r="A625" s="2" t="e">
        <f ca="1"/>
        <v>#N/A</v>
      </c>
      <c r="C625" t="e">
        <f ca="1"/>
        <v>#N/A</v>
      </c>
      <c r="D625" t="e">
        <f ca="1"/>
        <v>#N/A</v>
      </c>
      <c r="E625" t="e">
        <f ca="1"/>
        <v>#N/A</v>
      </c>
      <c r="F625" t="e">
        <f ca="1"/>
        <v>#N/A</v>
      </c>
      <c r="G625" t="e">
        <f ca="1"/>
        <v>#N/A</v>
      </c>
      <c r="H625" t="e">
        <f ca="1"/>
        <v>#N/A</v>
      </c>
      <c r="I625" t="e">
        <f ca="1"/>
        <v>#N/A</v>
      </c>
      <c r="J625" t="e">
        <f ca="1"/>
        <v>#N/A</v>
      </c>
      <c r="K625" s="49" t="e">
        <f ca="1"/>
        <v>#N/A</v>
      </c>
    </row>
    <row r="626" spans="1:11" x14ac:dyDescent="0.25">
      <c r="A626" s="2" t="e">
        <f ca="1"/>
        <v>#N/A</v>
      </c>
      <c r="C626" t="e">
        <f ca="1"/>
        <v>#N/A</v>
      </c>
      <c r="D626" t="e">
        <f ca="1"/>
        <v>#N/A</v>
      </c>
      <c r="E626" t="e">
        <f ca="1"/>
        <v>#N/A</v>
      </c>
      <c r="F626" t="e">
        <f ca="1"/>
        <v>#N/A</v>
      </c>
      <c r="G626" t="e">
        <f ca="1"/>
        <v>#N/A</v>
      </c>
      <c r="H626" t="e">
        <f ca="1"/>
        <v>#N/A</v>
      </c>
      <c r="I626" t="e">
        <f ca="1"/>
        <v>#N/A</v>
      </c>
      <c r="J626" t="e">
        <f ca="1"/>
        <v>#N/A</v>
      </c>
      <c r="K626" s="49" t="e">
        <f ca="1"/>
        <v>#N/A</v>
      </c>
    </row>
    <row r="627" spans="1:11" x14ac:dyDescent="0.25">
      <c r="A627" s="2" t="e">
        <f ca="1"/>
        <v>#N/A</v>
      </c>
      <c r="C627" t="e">
        <f ca="1"/>
        <v>#N/A</v>
      </c>
      <c r="D627" t="e">
        <f ca="1"/>
        <v>#N/A</v>
      </c>
      <c r="E627" t="e">
        <f ca="1"/>
        <v>#N/A</v>
      </c>
      <c r="F627" t="e">
        <f ca="1"/>
        <v>#N/A</v>
      </c>
      <c r="G627" t="e">
        <f ca="1"/>
        <v>#N/A</v>
      </c>
      <c r="H627" t="e">
        <f ca="1"/>
        <v>#N/A</v>
      </c>
      <c r="I627" t="e">
        <f ca="1"/>
        <v>#N/A</v>
      </c>
      <c r="J627" t="e">
        <f ca="1"/>
        <v>#N/A</v>
      </c>
      <c r="K627" s="49" t="e">
        <f ca="1"/>
        <v>#N/A</v>
      </c>
    </row>
    <row r="628" spans="1:11" x14ac:dyDescent="0.25">
      <c r="A628" s="2" t="e">
        <f ca="1"/>
        <v>#N/A</v>
      </c>
      <c r="C628" t="e">
        <f ca="1"/>
        <v>#N/A</v>
      </c>
      <c r="D628" t="e">
        <f ca="1"/>
        <v>#N/A</v>
      </c>
      <c r="E628" t="e">
        <f ca="1"/>
        <v>#N/A</v>
      </c>
      <c r="F628" t="e">
        <f ca="1"/>
        <v>#N/A</v>
      </c>
      <c r="G628" t="e">
        <f ca="1"/>
        <v>#N/A</v>
      </c>
      <c r="H628" t="e">
        <f ca="1"/>
        <v>#N/A</v>
      </c>
      <c r="I628" t="e">
        <f ca="1"/>
        <v>#N/A</v>
      </c>
      <c r="J628" t="e">
        <f ca="1"/>
        <v>#N/A</v>
      </c>
      <c r="K628" s="49" t="e">
        <f ca="1"/>
        <v>#N/A</v>
      </c>
    </row>
    <row r="629" spans="1:11" x14ac:dyDescent="0.25">
      <c r="A629" s="2" t="e">
        <f ca="1"/>
        <v>#N/A</v>
      </c>
      <c r="C629" t="e">
        <f ca="1"/>
        <v>#N/A</v>
      </c>
      <c r="D629" t="e">
        <f ca="1"/>
        <v>#N/A</v>
      </c>
      <c r="E629" t="e">
        <f ca="1"/>
        <v>#N/A</v>
      </c>
      <c r="F629" t="e">
        <f ca="1"/>
        <v>#N/A</v>
      </c>
      <c r="G629" t="e">
        <f ca="1"/>
        <v>#N/A</v>
      </c>
      <c r="H629" t="e">
        <f ca="1"/>
        <v>#N/A</v>
      </c>
      <c r="I629" t="e">
        <f ca="1"/>
        <v>#N/A</v>
      </c>
      <c r="J629" t="e">
        <f ca="1"/>
        <v>#N/A</v>
      </c>
      <c r="K629" s="49" t="e">
        <f ca="1"/>
        <v>#N/A</v>
      </c>
    </row>
    <row r="630" spans="1:11" x14ac:dyDescent="0.25">
      <c r="A630" s="2" t="e">
        <f ca="1"/>
        <v>#N/A</v>
      </c>
      <c r="C630" t="e">
        <f ca="1"/>
        <v>#N/A</v>
      </c>
      <c r="D630" t="e">
        <f ca="1"/>
        <v>#N/A</v>
      </c>
      <c r="E630" t="e">
        <f ca="1"/>
        <v>#N/A</v>
      </c>
      <c r="F630" t="e">
        <f ca="1"/>
        <v>#N/A</v>
      </c>
      <c r="G630" t="e">
        <f ca="1"/>
        <v>#N/A</v>
      </c>
      <c r="H630" t="e">
        <f ca="1"/>
        <v>#N/A</v>
      </c>
      <c r="I630" t="e">
        <f ca="1"/>
        <v>#N/A</v>
      </c>
      <c r="J630" t="e">
        <f ca="1"/>
        <v>#N/A</v>
      </c>
      <c r="K630" s="49" t="e">
        <f ca="1"/>
        <v>#N/A</v>
      </c>
    </row>
    <row r="631" spans="1:11" x14ac:dyDescent="0.25">
      <c r="A631" s="2" t="e">
        <f ca="1"/>
        <v>#N/A</v>
      </c>
      <c r="C631" t="e">
        <f ca="1"/>
        <v>#N/A</v>
      </c>
      <c r="D631" t="e">
        <f ca="1"/>
        <v>#N/A</v>
      </c>
      <c r="E631" t="e">
        <f ca="1"/>
        <v>#N/A</v>
      </c>
      <c r="F631" t="e">
        <f ca="1"/>
        <v>#N/A</v>
      </c>
      <c r="G631" t="e">
        <f ca="1"/>
        <v>#N/A</v>
      </c>
      <c r="H631" t="e">
        <f ca="1"/>
        <v>#N/A</v>
      </c>
      <c r="I631" t="e">
        <f ca="1"/>
        <v>#N/A</v>
      </c>
      <c r="J631" t="e">
        <f ca="1"/>
        <v>#N/A</v>
      </c>
      <c r="K631" s="49" t="e">
        <f ca="1"/>
        <v>#N/A</v>
      </c>
    </row>
    <row r="632" spans="1:11" x14ac:dyDescent="0.25">
      <c r="A632" s="2" t="e">
        <f ca="1"/>
        <v>#N/A</v>
      </c>
      <c r="C632" t="e">
        <f ca="1"/>
        <v>#N/A</v>
      </c>
      <c r="D632" t="e">
        <f ca="1"/>
        <v>#N/A</v>
      </c>
      <c r="E632" t="e">
        <f ca="1"/>
        <v>#N/A</v>
      </c>
      <c r="F632" t="e">
        <f ca="1"/>
        <v>#N/A</v>
      </c>
      <c r="G632" t="e">
        <f ca="1"/>
        <v>#N/A</v>
      </c>
      <c r="H632" t="e">
        <f ca="1"/>
        <v>#N/A</v>
      </c>
      <c r="I632" t="e">
        <f ca="1"/>
        <v>#N/A</v>
      </c>
      <c r="J632" t="e">
        <f ca="1"/>
        <v>#N/A</v>
      </c>
      <c r="K632" s="49" t="e">
        <f ca="1"/>
        <v>#N/A</v>
      </c>
    </row>
    <row r="633" spans="1:11" x14ac:dyDescent="0.25">
      <c r="A633" s="2" t="e">
        <f ca="1"/>
        <v>#N/A</v>
      </c>
      <c r="C633" t="e">
        <f ca="1"/>
        <v>#N/A</v>
      </c>
      <c r="D633" t="e">
        <f ca="1"/>
        <v>#N/A</v>
      </c>
      <c r="E633" t="e">
        <f ca="1"/>
        <v>#N/A</v>
      </c>
      <c r="F633" t="e">
        <f ca="1"/>
        <v>#N/A</v>
      </c>
      <c r="G633" t="e">
        <f ca="1"/>
        <v>#N/A</v>
      </c>
      <c r="H633" t="e">
        <f ca="1"/>
        <v>#N/A</v>
      </c>
      <c r="I633" t="e">
        <f ca="1"/>
        <v>#N/A</v>
      </c>
      <c r="J633" t="e">
        <f ca="1"/>
        <v>#N/A</v>
      </c>
      <c r="K633" s="49" t="e">
        <f ca="1"/>
        <v>#N/A</v>
      </c>
    </row>
    <row r="634" spans="1:11" x14ac:dyDescent="0.25">
      <c r="A634" s="2" t="e">
        <f ca="1"/>
        <v>#N/A</v>
      </c>
      <c r="C634" t="e">
        <f ca="1"/>
        <v>#N/A</v>
      </c>
      <c r="D634" t="e">
        <f ca="1"/>
        <v>#N/A</v>
      </c>
      <c r="E634" t="e">
        <f ca="1"/>
        <v>#N/A</v>
      </c>
      <c r="F634" t="e">
        <f ca="1"/>
        <v>#N/A</v>
      </c>
      <c r="G634" t="e">
        <f ca="1"/>
        <v>#N/A</v>
      </c>
      <c r="H634" t="e">
        <f ca="1"/>
        <v>#N/A</v>
      </c>
      <c r="I634" t="e">
        <f ca="1"/>
        <v>#N/A</v>
      </c>
      <c r="J634" t="e">
        <f ca="1"/>
        <v>#N/A</v>
      </c>
      <c r="K634" s="49" t="e">
        <f ca="1"/>
        <v>#N/A</v>
      </c>
    </row>
    <row r="635" spans="1:11" x14ac:dyDescent="0.25">
      <c r="A635" s="2" t="e">
        <f ca="1"/>
        <v>#N/A</v>
      </c>
      <c r="C635" t="e">
        <f ca="1"/>
        <v>#N/A</v>
      </c>
      <c r="D635" t="e">
        <f ca="1"/>
        <v>#N/A</v>
      </c>
      <c r="E635" t="e">
        <f ca="1"/>
        <v>#N/A</v>
      </c>
      <c r="F635" t="e">
        <f ca="1"/>
        <v>#N/A</v>
      </c>
      <c r="G635" t="e">
        <f ca="1"/>
        <v>#N/A</v>
      </c>
      <c r="H635" t="e">
        <f ca="1"/>
        <v>#N/A</v>
      </c>
      <c r="I635" t="e">
        <f ca="1"/>
        <v>#N/A</v>
      </c>
      <c r="J635" t="e">
        <f ca="1"/>
        <v>#N/A</v>
      </c>
      <c r="K635" s="49" t="e">
        <f ca="1"/>
        <v>#N/A</v>
      </c>
    </row>
    <row r="636" spans="1:11" x14ac:dyDescent="0.25">
      <c r="A636" s="2" t="e">
        <f ca="1"/>
        <v>#N/A</v>
      </c>
      <c r="C636" t="e">
        <f ca="1"/>
        <v>#N/A</v>
      </c>
      <c r="D636" t="e">
        <f ca="1"/>
        <v>#N/A</v>
      </c>
      <c r="E636" t="e">
        <f ca="1"/>
        <v>#N/A</v>
      </c>
      <c r="F636" t="e">
        <f ca="1"/>
        <v>#N/A</v>
      </c>
      <c r="G636" t="e">
        <f ca="1"/>
        <v>#N/A</v>
      </c>
      <c r="H636" t="e">
        <f ca="1"/>
        <v>#N/A</v>
      </c>
      <c r="I636" t="e">
        <f ca="1"/>
        <v>#N/A</v>
      </c>
      <c r="J636" t="e">
        <f ca="1"/>
        <v>#N/A</v>
      </c>
      <c r="K636" s="49" t="e">
        <f ca="1"/>
        <v>#N/A</v>
      </c>
    </row>
    <row r="637" spans="1:11" x14ac:dyDescent="0.25">
      <c r="A637" s="2" t="e">
        <f ca="1"/>
        <v>#N/A</v>
      </c>
      <c r="C637" t="e">
        <f ca="1"/>
        <v>#N/A</v>
      </c>
      <c r="D637" t="e">
        <f ca="1"/>
        <v>#N/A</v>
      </c>
      <c r="E637" t="e">
        <f ca="1"/>
        <v>#N/A</v>
      </c>
      <c r="F637" t="e">
        <f ca="1"/>
        <v>#N/A</v>
      </c>
      <c r="G637" t="e">
        <f ca="1"/>
        <v>#N/A</v>
      </c>
      <c r="H637" t="e">
        <f ca="1"/>
        <v>#N/A</v>
      </c>
      <c r="I637" t="e">
        <f ca="1"/>
        <v>#N/A</v>
      </c>
      <c r="J637" t="e">
        <f ca="1"/>
        <v>#N/A</v>
      </c>
      <c r="K637" s="49" t="e">
        <f ca="1"/>
        <v>#N/A</v>
      </c>
    </row>
    <row r="638" spans="1:11" x14ac:dyDescent="0.25">
      <c r="A638" s="2" t="e">
        <f ca="1"/>
        <v>#N/A</v>
      </c>
      <c r="C638" t="e">
        <f ca="1"/>
        <v>#N/A</v>
      </c>
      <c r="D638" t="e">
        <f ca="1"/>
        <v>#N/A</v>
      </c>
      <c r="E638" t="e">
        <f ca="1"/>
        <v>#N/A</v>
      </c>
      <c r="F638" t="e">
        <f ca="1"/>
        <v>#N/A</v>
      </c>
      <c r="G638" t="e">
        <f ca="1"/>
        <v>#N/A</v>
      </c>
      <c r="H638" t="e">
        <f ca="1"/>
        <v>#N/A</v>
      </c>
      <c r="I638" t="e">
        <f ca="1"/>
        <v>#N/A</v>
      </c>
      <c r="J638" t="e">
        <f ca="1"/>
        <v>#N/A</v>
      </c>
      <c r="K638" s="49" t="e">
        <f ca="1"/>
        <v>#N/A</v>
      </c>
    </row>
    <row r="639" spans="1:11" x14ac:dyDescent="0.25">
      <c r="A639" s="2" t="e">
        <f ca="1"/>
        <v>#N/A</v>
      </c>
      <c r="C639" t="e">
        <f ca="1"/>
        <v>#N/A</v>
      </c>
      <c r="D639" t="e">
        <f ca="1"/>
        <v>#N/A</v>
      </c>
      <c r="E639" t="e">
        <f ca="1"/>
        <v>#N/A</v>
      </c>
      <c r="F639" t="e">
        <f ca="1"/>
        <v>#N/A</v>
      </c>
      <c r="G639" t="e">
        <f ca="1"/>
        <v>#N/A</v>
      </c>
      <c r="H639" t="e">
        <f ca="1"/>
        <v>#N/A</v>
      </c>
      <c r="I639" t="e">
        <f ca="1"/>
        <v>#N/A</v>
      </c>
      <c r="J639" t="e">
        <f ca="1"/>
        <v>#N/A</v>
      </c>
      <c r="K639" s="49" t="e">
        <f ca="1"/>
        <v>#N/A</v>
      </c>
    </row>
    <row r="640" spans="1:11" x14ac:dyDescent="0.25">
      <c r="A640" s="2" t="e">
        <f ca="1"/>
        <v>#N/A</v>
      </c>
      <c r="C640" t="e">
        <f ca="1"/>
        <v>#N/A</v>
      </c>
      <c r="D640" t="e">
        <f ca="1"/>
        <v>#N/A</v>
      </c>
      <c r="E640" t="e">
        <f ca="1"/>
        <v>#N/A</v>
      </c>
      <c r="F640" t="e">
        <f ca="1"/>
        <v>#N/A</v>
      </c>
      <c r="G640" t="e">
        <f ca="1"/>
        <v>#N/A</v>
      </c>
      <c r="H640" t="e">
        <f ca="1"/>
        <v>#N/A</v>
      </c>
      <c r="I640" t="e">
        <f ca="1"/>
        <v>#N/A</v>
      </c>
      <c r="J640" t="e">
        <f ca="1"/>
        <v>#N/A</v>
      </c>
      <c r="K640" s="49" t="e">
        <f ca="1"/>
        <v>#N/A</v>
      </c>
    </row>
    <row r="641" spans="1:11" x14ac:dyDescent="0.25">
      <c r="A641" s="2" t="e">
        <f ca="1"/>
        <v>#N/A</v>
      </c>
      <c r="C641" t="e">
        <f ca="1"/>
        <v>#N/A</v>
      </c>
      <c r="D641" t="e">
        <f ca="1"/>
        <v>#N/A</v>
      </c>
      <c r="E641" t="e">
        <f ca="1"/>
        <v>#N/A</v>
      </c>
      <c r="F641" t="e">
        <f ca="1"/>
        <v>#N/A</v>
      </c>
      <c r="G641" t="e">
        <f ca="1"/>
        <v>#N/A</v>
      </c>
      <c r="H641" t="e">
        <f ca="1"/>
        <v>#N/A</v>
      </c>
      <c r="I641" t="e">
        <f ca="1"/>
        <v>#N/A</v>
      </c>
      <c r="J641" t="e">
        <f ca="1"/>
        <v>#N/A</v>
      </c>
      <c r="K641" s="49" t="e">
        <f ca="1"/>
        <v>#N/A</v>
      </c>
    </row>
    <row r="642" spans="1:11" x14ac:dyDescent="0.25">
      <c r="A642" s="2" t="e">
        <f ca="1"/>
        <v>#N/A</v>
      </c>
      <c r="C642" t="e">
        <f ca="1"/>
        <v>#N/A</v>
      </c>
      <c r="D642" t="e">
        <f ca="1"/>
        <v>#N/A</v>
      </c>
      <c r="E642" t="e">
        <f ca="1"/>
        <v>#N/A</v>
      </c>
      <c r="F642" t="e">
        <f ca="1"/>
        <v>#N/A</v>
      </c>
      <c r="G642" t="e">
        <f ca="1"/>
        <v>#N/A</v>
      </c>
      <c r="H642" t="e">
        <f ca="1"/>
        <v>#N/A</v>
      </c>
      <c r="I642" t="e">
        <f ca="1"/>
        <v>#N/A</v>
      </c>
      <c r="J642" t="e">
        <f ca="1"/>
        <v>#N/A</v>
      </c>
      <c r="K642" s="49" t="e">
        <f ca="1"/>
        <v>#N/A</v>
      </c>
    </row>
    <row r="643" spans="1:11" x14ac:dyDescent="0.25">
      <c r="A643" s="2" t="e">
        <f ca="1"/>
        <v>#N/A</v>
      </c>
      <c r="C643" t="e">
        <f ca="1"/>
        <v>#N/A</v>
      </c>
      <c r="D643" t="e">
        <f ca="1"/>
        <v>#N/A</v>
      </c>
      <c r="E643" t="e">
        <f ca="1"/>
        <v>#N/A</v>
      </c>
      <c r="F643" t="e">
        <f ca="1"/>
        <v>#N/A</v>
      </c>
      <c r="G643" t="e">
        <f ca="1"/>
        <v>#N/A</v>
      </c>
      <c r="H643" t="e">
        <f ca="1"/>
        <v>#N/A</v>
      </c>
      <c r="I643" t="e">
        <f ca="1"/>
        <v>#N/A</v>
      </c>
      <c r="J643" t="e">
        <f ca="1"/>
        <v>#N/A</v>
      </c>
      <c r="K643" s="49" t="e">
        <f ca="1"/>
        <v>#N/A</v>
      </c>
    </row>
    <row r="644" spans="1:11" x14ac:dyDescent="0.25">
      <c r="A644" s="2" t="e">
        <f ca="1"/>
        <v>#N/A</v>
      </c>
      <c r="C644" t="e">
        <f ca="1"/>
        <v>#N/A</v>
      </c>
      <c r="D644" t="e">
        <f ca="1"/>
        <v>#N/A</v>
      </c>
      <c r="E644" t="e">
        <f ca="1"/>
        <v>#N/A</v>
      </c>
      <c r="F644" t="e">
        <f ca="1"/>
        <v>#N/A</v>
      </c>
      <c r="G644" t="e">
        <f ca="1"/>
        <v>#N/A</v>
      </c>
      <c r="H644" t="e">
        <f ca="1"/>
        <v>#N/A</v>
      </c>
      <c r="I644" t="e">
        <f ca="1"/>
        <v>#N/A</v>
      </c>
      <c r="J644" t="e">
        <f ca="1"/>
        <v>#N/A</v>
      </c>
      <c r="K644" s="49" t="e">
        <f ca="1"/>
        <v>#N/A</v>
      </c>
    </row>
    <row r="645" spans="1:11" x14ac:dyDescent="0.25">
      <c r="A645" s="2" t="e">
        <f ca="1"/>
        <v>#N/A</v>
      </c>
      <c r="C645" t="e">
        <f ca="1"/>
        <v>#N/A</v>
      </c>
      <c r="D645" t="e">
        <f ca="1"/>
        <v>#N/A</v>
      </c>
      <c r="E645" t="e">
        <f ca="1"/>
        <v>#N/A</v>
      </c>
      <c r="F645" t="e">
        <f ca="1"/>
        <v>#N/A</v>
      </c>
      <c r="G645" t="e">
        <f ca="1"/>
        <v>#N/A</v>
      </c>
      <c r="H645" t="e">
        <f ca="1"/>
        <v>#N/A</v>
      </c>
      <c r="I645" t="e">
        <f ca="1"/>
        <v>#N/A</v>
      </c>
      <c r="J645" t="e">
        <f ca="1"/>
        <v>#N/A</v>
      </c>
      <c r="K645" s="49" t="e">
        <f ca="1"/>
        <v>#N/A</v>
      </c>
    </row>
    <row r="646" spans="1:11" x14ac:dyDescent="0.25">
      <c r="A646" s="2" t="e">
        <f ca="1"/>
        <v>#N/A</v>
      </c>
      <c r="C646" t="e">
        <f ca="1"/>
        <v>#N/A</v>
      </c>
      <c r="D646" t="e">
        <f ca="1"/>
        <v>#N/A</v>
      </c>
      <c r="E646" t="e">
        <f ca="1"/>
        <v>#N/A</v>
      </c>
      <c r="F646" t="e">
        <f ca="1"/>
        <v>#N/A</v>
      </c>
      <c r="G646" t="e">
        <f ca="1"/>
        <v>#N/A</v>
      </c>
      <c r="H646" t="e">
        <f ca="1"/>
        <v>#N/A</v>
      </c>
      <c r="I646" t="e">
        <f ca="1"/>
        <v>#N/A</v>
      </c>
      <c r="J646" t="e">
        <f ca="1"/>
        <v>#N/A</v>
      </c>
      <c r="K646" s="49" t="e">
        <f ca="1"/>
        <v>#N/A</v>
      </c>
    </row>
    <row r="647" spans="1:11" x14ac:dyDescent="0.25">
      <c r="A647" s="2" t="e">
        <f ca="1"/>
        <v>#N/A</v>
      </c>
      <c r="C647" t="e">
        <f ca="1"/>
        <v>#N/A</v>
      </c>
      <c r="D647" t="e">
        <f ca="1"/>
        <v>#N/A</v>
      </c>
      <c r="E647" t="e">
        <f ca="1"/>
        <v>#N/A</v>
      </c>
      <c r="F647" t="e">
        <f ca="1"/>
        <v>#N/A</v>
      </c>
      <c r="G647" t="e">
        <f ca="1"/>
        <v>#N/A</v>
      </c>
      <c r="H647" t="e">
        <f ca="1"/>
        <v>#N/A</v>
      </c>
      <c r="I647" t="e">
        <f ca="1"/>
        <v>#N/A</v>
      </c>
      <c r="J647" t="e">
        <f ca="1"/>
        <v>#N/A</v>
      </c>
      <c r="K647" s="49" t="e">
        <f ca="1"/>
        <v>#N/A</v>
      </c>
    </row>
    <row r="648" spans="1:11" x14ac:dyDescent="0.25">
      <c r="A648" s="2" t="e">
        <f ca="1"/>
        <v>#N/A</v>
      </c>
      <c r="C648" t="e">
        <f ca="1"/>
        <v>#N/A</v>
      </c>
      <c r="D648" t="e">
        <f ca="1"/>
        <v>#N/A</v>
      </c>
      <c r="E648" t="e">
        <f ca="1"/>
        <v>#N/A</v>
      </c>
      <c r="F648" t="e">
        <f ca="1"/>
        <v>#N/A</v>
      </c>
      <c r="G648" t="e">
        <f ca="1"/>
        <v>#N/A</v>
      </c>
      <c r="H648" t="e">
        <f ca="1"/>
        <v>#N/A</v>
      </c>
      <c r="I648" t="e">
        <f ca="1"/>
        <v>#N/A</v>
      </c>
      <c r="J648" t="e">
        <f ca="1"/>
        <v>#N/A</v>
      </c>
      <c r="K648" s="49" t="e">
        <f ca="1"/>
        <v>#N/A</v>
      </c>
    </row>
    <row r="649" spans="1:11" x14ac:dyDescent="0.25">
      <c r="A649" s="2" t="e">
        <f ca="1"/>
        <v>#N/A</v>
      </c>
      <c r="C649" t="e">
        <f ca="1"/>
        <v>#N/A</v>
      </c>
      <c r="D649" t="e">
        <f ca="1"/>
        <v>#N/A</v>
      </c>
      <c r="E649" t="e">
        <f ca="1"/>
        <v>#N/A</v>
      </c>
      <c r="F649" t="e">
        <f ca="1"/>
        <v>#N/A</v>
      </c>
      <c r="G649" t="e">
        <f ca="1"/>
        <v>#N/A</v>
      </c>
      <c r="H649" t="e">
        <f ca="1"/>
        <v>#N/A</v>
      </c>
      <c r="I649" t="e">
        <f ca="1"/>
        <v>#N/A</v>
      </c>
      <c r="J649" t="e">
        <f ca="1"/>
        <v>#N/A</v>
      </c>
      <c r="K649" s="49" t="e">
        <f ca="1"/>
        <v>#N/A</v>
      </c>
    </row>
    <row r="650" spans="1:11" x14ac:dyDescent="0.25">
      <c r="A650" s="2" t="e">
        <f ca="1"/>
        <v>#N/A</v>
      </c>
      <c r="C650" t="e">
        <f ca="1"/>
        <v>#N/A</v>
      </c>
      <c r="D650" t="e">
        <f ca="1"/>
        <v>#N/A</v>
      </c>
      <c r="E650" t="e">
        <f ca="1"/>
        <v>#N/A</v>
      </c>
      <c r="F650" t="e">
        <f ca="1"/>
        <v>#N/A</v>
      </c>
      <c r="G650" t="e">
        <f ca="1"/>
        <v>#N/A</v>
      </c>
      <c r="H650" t="e">
        <f ca="1"/>
        <v>#N/A</v>
      </c>
      <c r="I650" t="e">
        <f ca="1"/>
        <v>#N/A</v>
      </c>
      <c r="J650" t="e">
        <f ca="1"/>
        <v>#N/A</v>
      </c>
      <c r="K650" s="49" t="e">
        <f ca="1"/>
        <v>#N/A</v>
      </c>
    </row>
    <row r="651" spans="1:11" x14ac:dyDescent="0.25">
      <c r="A651" s="2" t="e">
        <f ca="1"/>
        <v>#N/A</v>
      </c>
      <c r="C651" t="e">
        <f ca="1"/>
        <v>#N/A</v>
      </c>
      <c r="D651" t="e">
        <f ca="1"/>
        <v>#N/A</v>
      </c>
      <c r="E651" t="e">
        <f ca="1"/>
        <v>#N/A</v>
      </c>
      <c r="F651" t="e">
        <f ca="1"/>
        <v>#N/A</v>
      </c>
      <c r="G651" t="e">
        <f ca="1"/>
        <v>#N/A</v>
      </c>
      <c r="H651" t="e">
        <f ca="1"/>
        <v>#N/A</v>
      </c>
      <c r="I651" t="e">
        <f ca="1"/>
        <v>#N/A</v>
      </c>
      <c r="J651" t="e">
        <f ca="1"/>
        <v>#N/A</v>
      </c>
      <c r="K651" s="49" t="e">
        <f ca="1"/>
        <v>#N/A</v>
      </c>
    </row>
    <row r="652" spans="1:11" x14ac:dyDescent="0.25">
      <c r="A652" s="2" t="e">
        <f ca="1"/>
        <v>#N/A</v>
      </c>
      <c r="C652" t="e">
        <f ca="1"/>
        <v>#N/A</v>
      </c>
      <c r="D652" t="e">
        <f ca="1"/>
        <v>#N/A</v>
      </c>
      <c r="E652" t="e">
        <f ca="1"/>
        <v>#N/A</v>
      </c>
      <c r="F652" t="e">
        <f ca="1"/>
        <v>#N/A</v>
      </c>
      <c r="G652" t="e">
        <f ca="1"/>
        <v>#N/A</v>
      </c>
      <c r="H652" t="e">
        <f ca="1"/>
        <v>#N/A</v>
      </c>
      <c r="I652" t="e">
        <f ca="1"/>
        <v>#N/A</v>
      </c>
      <c r="J652" t="e">
        <f ca="1"/>
        <v>#N/A</v>
      </c>
      <c r="K652" s="49" t="e">
        <f ca="1"/>
        <v>#N/A</v>
      </c>
    </row>
    <row r="653" spans="1:11" x14ac:dyDescent="0.25">
      <c r="A653" s="2" t="e">
        <f ca="1"/>
        <v>#N/A</v>
      </c>
      <c r="C653" t="e">
        <f ca="1"/>
        <v>#N/A</v>
      </c>
      <c r="D653" t="e">
        <f ca="1"/>
        <v>#N/A</v>
      </c>
      <c r="E653" t="e">
        <f ca="1"/>
        <v>#N/A</v>
      </c>
      <c r="F653" t="e">
        <f ca="1"/>
        <v>#N/A</v>
      </c>
      <c r="G653" t="e">
        <f ca="1"/>
        <v>#N/A</v>
      </c>
      <c r="H653" t="e">
        <f ca="1"/>
        <v>#N/A</v>
      </c>
      <c r="I653" t="e">
        <f ca="1"/>
        <v>#N/A</v>
      </c>
      <c r="J653" t="e">
        <f ca="1"/>
        <v>#N/A</v>
      </c>
      <c r="K653" s="49" t="e">
        <f ca="1"/>
        <v>#N/A</v>
      </c>
    </row>
    <row r="654" spans="1:11" x14ac:dyDescent="0.25">
      <c r="A654" s="2" t="e">
        <f ca="1"/>
        <v>#N/A</v>
      </c>
      <c r="C654" t="e">
        <f ca="1"/>
        <v>#N/A</v>
      </c>
      <c r="D654" t="e">
        <f ca="1"/>
        <v>#N/A</v>
      </c>
      <c r="E654" t="e">
        <f ca="1"/>
        <v>#N/A</v>
      </c>
      <c r="F654" t="e">
        <f ca="1"/>
        <v>#N/A</v>
      </c>
      <c r="G654" t="e">
        <f ca="1"/>
        <v>#N/A</v>
      </c>
      <c r="H654" t="e">
        <f ca="1"/>
        <v>#N/A</v>
      </c>
      <c r="I654" t="e">
        <f ca="1"/>
        <v>#N/A</v>
      </c>
      <c r="J654" t="e">
        <f ca="1"/>
        <v>#N/A</v>
      </c>
      <c r="K654" s="49" t="e">
        <f ca="1"/>
        <v>#N/A</v>
      </c>
    </row>
    <row r="655" spans="1:11" x14ac:dyDescent="0.25">
      <c r="A655" s="2" t="e">
        <f ca="1"/>
        <v>#N/A</v>
      </c>
      <c r="C655" t="e">
        <f ca="1"/>
        <v>#N/A</v>
      </c>
      <c r="D655" t="e">
        <f ca="1"/>
        <v>#N/A</v>
      </c>
      <c r="E655" t="e">
        <f ca="1"/>
        <v>#N/A</v>
      </c>
      <c r="F655" t="e">
        <f ca="1"/>
        <v>#N/A</v>
      </c>
      <c r="G655" t="e">
        <f ca="1"/>
        <v>#N/A</v>
      </c>
      <c r="H655" t="e">
        <f ca="1"/>
        <v>#N/A</v>
      </c>
      <c r="I655" t="e">
        <f ca="1"/>
        <v>#N/A</v>
      </c>
      <c r="J655" t="e">
        <f ca="1"/>
        <v>#N/A</v>
      </c>
      <c r="K655" s="49" t="e">
        <f ca="1"/>
        <v>#N/A</v>
      </c>
    </row>
    <row r="656" spans="1:11" x14ac:dyDescent="0.25">
      <c r="A656" s="2" t="e">
        <f ca="1"/>
        <v>#N/A</v>
      </c>
      <c r="C656" t="e">
        <f ca="1"/>
        <v>#N/A</v>
      </c>
      <c r="D656" t="e">
        <f ca="1"/>
        <v>#N/A</v>
      </c>
      <c r="E656" t="e">
        <f ca="1"/>
        <v>#N/A</v>
      </c>
      <c r="F656" t="e">
        <f ca="1"/>
        <v>#N/A</v>
      </c>
      <c r="G656" t="e">
        <f ca="1"/>
        <v>#N/A</v>
      </c>
      <c r="H656" t="e">
        <f ca="1"/>
        <v>#N/A</v>
      </c>
      <c r="I656" t="e">
        <f ca="1"/>
        <v>#N/A</v>
      </c>
      <c r="J656" t="e">
        <f ca="1"/>
        <v>#N/A</v>
      </c>
      <c r="K656" s="49" t="e">
        <f ca="1"/>
        <v>#N/A</v>
      </c>
    </row>
    <row r="657" spans="1:11" x14ac:dyDescent="0.25">
      <c r="A657" s="2" t="e">
        <f ca="1"/>
        <v>#N/A</v>
      </c>
      <c r="C657" t="e">
        <f ca="1"/>
        <v>#N/A</v>
      </c>
      <c r="D657" t="e">
        <f ca="1"/>
        <v>#N/A</v>
      </c>
      <c r="E657" t="e">
        <f ca="1"/>
        <v>#N/A</v>
      </c>
      <c r="F657" t="e">
        <f ca="1"/>
        <v>#N/A</v>
      </c>
      <c r="G657" t="e">
        <f ca="1"/>
        <v>#N/A</v>
      </c>
      <c r="H657" t="e">
        <f ca="1"/>
        <v>#N/A</v>
      </c>
      <c r="I657" t="e">
        <f ca="1"/>
        <v>#N/A</v>
      </c>
      <c r="J657" t="e">
        <f ca="1"/>
        <v>#N/A</v>
      </c>
      <c r="K657" s="49" t="e">
        <f ca="1"/>
        <v>#N/A</v>
      </c>
    </row>
    <row r="658" spans="1:11" x14ac:dyDescent="0.25">
      <c r="A658" s="2" t="e">
        <f ca="1"/>
        <v>#N/A</v>
      </c>
      <c r="C658" t="e">
        <f ca="1"/>
        <v>#N/A</v>
      </c>
      <c r="D658" t="e">
        <f ca="1"/>
        <v>#N/A</v>
      </c>
      <c r="E658" t="e">
        <f ca="1"/>
        <v>#N/A</v>
      </c>
      <c r="F658" t="e">
        <f ca="1"/>
        <v>#N/A</v>
      </c>
      <c r="G658" t="e">
        <f ca="1"/>
        <v>#N/A</v>
      </c>
      <c r="H658" t="e">
        <f ca="1"/>
        <v>#N/A</v>
      </c>
      <c r="I658" t="e">
        <f ca="1"/>
        <v>#N/A</v>
      </c>
      <c r="J658" t="e">
        <f ca="1"/>
        <v>#N/A</v>
      </c>
      <c r="K658" s="49" t="e">
        <f ca="1"/>
        <v>#N/A</v>
      </c>
    </row>
    <row r="659" spans="1:11" x14ac:dyDescent="0.25">
      <c r="A659" s="2" t="e">
        <f ca="1"/>
        <v>#N/A</v>
      </c>
      <c r="C659" t="e">
        <f ca="1"/>
        <v>#N/A</v>
      </c>
      <c r="D659" t="e">
        <f ca="1"/>
        <v>#N/A</v>
      </c>
      <c r="E659" t="e">
        <f ca="1"/>
        <v>#N/A</v>
      </c>
      <c r="F659" t="e">
        <f ca="1"/>
        <v>#N/A</v>
      </c>
      <c r="G659" t="e">
        <f ca="1"/>
        <v>#N/A</v>
      </c>
      <c r="H659" t="e">
        <f ca="1"/>
        <v>#N/A</v>
      </c>
      <c r="I659" t="e">
        <f ca="1"/>
        <v>#N/A</v>
      </c>
      <c r="J659" t="e">
        <f ca="1"/>
        <v>#N/A</v>
      </c>
      <c r="K659" s="49" t="e">
        <f ca="1"/>
        <v>#N/A</v>
      </c>
    </row>
    <row r="660" spans="1:11" x14ac:dyDescent="0.25">
      <c r="A660" s="2" t="e">
        <f ca="1"/>
        <v>#N/A</v>
      </c>
      <c r="C660" t="e">
        <f ca="1"/>
        <v>#N/A</v>
      </c>
      <c r="D660" t="e">
        <f ca="1"/>
        <v>#N/A</v>
      </c>
      <c r="E660" t="e">
        <f ca="1"/>
        <v>#N/A</v>
      </c>
      <c r="F660" t="e">
        <f ca="1"/>
        <v>#N/A</v>
      </c>
      <c r="G660" t="e">
        <f ca="1"/>
        <v>#N/A</v>
      </c>
      <c r="H660" t="e">
        <f ca="1"/>
        <v>#N/A</v>
      </c>
      <c r="I660" t="e">
        <f ca="1"/>
        <v>#N/A</v>
      </c>
      <c r="J660" t="e">
        <f ca="1"/>
        <v>#N/A</v>
      </c>
      <c r="K660" s="49" t="e">
        <f ca="1"/>
        <v>#N/A</v>
      </c>
    </row>
    <row r="661" spans="1:11" x14ac:dyDescent="0.25">
      <c r="A661" s="2" t="e">
        <f ca="1"/>
        <v>#N/A</v>
      </c>
      <c r="C661" t="e">
        <f ca="1"/>
        <v>#N/A</v>
      </c>
      <c r="D661" t="e">
        <f ca="1"/>
        <v>#N/A</v>
      </c>
      <c r="E661" t="e">
        <f ca="1"/>
        <v>#N/A</v>
      </c>
      <c r="F661" t="e">
        <f ca="1"/>
        <v>#N/A</v>
      </c>
      <c r="G661" t="e">
        <f ca="1"/>
        <v>#N/A</v>
      </c>
      <c r="H661" t="e">
        <f ca="1"/>
        <v>#N/A</v>
      </c>
      <c r="I661" t="e">
        <f ca="1"/>
        <v>#N/A</v>
      </c>
      <c r="J661" t="e">
        <f ca="1"/>
        <v>#N/A</v>
      </c>
      <c r="K661" s="49" t="e">
        <f ca="1"/>
        <v>#N/A</v>
      </c>
    </row>
    <row r="662" spans="1:11" x14ac:dyDescent="0.25">
      <c r="A662" s="2" t="e">
        <f ca="1"/>
        <v>#N/A</v>
      </c>
      <c r="C662" t="e">
        <f ca="1"/>
        <v>#N/A</v>
      </c>
      <c r="D662" t="e">
        <f ca="1"/>
        <v>#N/A</v>
      </c>
      <c r="E662" t="e">
        <f ca="1"/>
        <v>#N/A</v>
      </c>
      <c r="F662" t="e">
        <f ca="1"/>
        <v>#N/A</v>
      </c>
      <c r="G662" t="e">
        <f ca="1"/>
        <v>#N/A</v>
      </c>
      <c r="H662" t="e">
        <f ca="1"/>
        <v>#N/A</v>
      </c>
      <c r="I662" t="e">
        <f ca="1"/>
        <v>#N/A</v>
      </c>
      <c r="J662" t="e">
        <f ca="1"/>
        <v>#N/A</v>
      </c>
      <c r="K662" s="49" t="e">
        <f ca="1"/>
        <v>#N/A</v>
      </c>
    </row>
    <row r="663" spans="1:11" x14ac:dyDescent="0.25">
      <c r="A663" s="2" t="e">
        <f ca="1"/>
        <v>#N/A</v>
      </c>
      <c r="C663" t="e">
        <f ca="1"/>
        <v>#N/A</v>
      </c>
      <c r="D663" t="e">
        <f ca="1"/>
        <v>#N/A</v>
      </c>
      <c r="E663" t="e">
        <f ca="1"/>
        <v>#N/A</v>
      </c>
      <c r="F663" t="e">
        <f ca="1"/>
        <v>#N/A</v>
      </c>
      <c r="G663" t="e">
        <f ca="1"/>
        <v>#N/A</v>
      </c>
      <c r="H663" t="e">
        <f ca="1"/>
        <v>#N/A</v>
      </c>
      <c r="I663" t="e">
        <f ca="1"/>
        <v>#N/A</v>
      </c>
      <c r="J663" t="e">
        <f ca="1"/>
        <v>#N/A</v>
      </c>
      <c r="K663" s="49" t="e">
        <f ca="1"/>
        <v>#N/A</v>
      </c>
    </row>
    <row r="664" spans="1:11" x14ac:dyDescent="0.25">
      <c r="A664" s="2" t="e">
        <f ca="1"/>
        <v>#N/A</v>
      </c>
      <c r="C664" t="e">
        <f ca="1"/>
        <v>#N/A</v>
      </c>
      <c r="D664" t="e">
        <f ca="1"/>
        <v>#N/A</v>
      </c>
      <c r="E664" t="e">
        <f ca="1"/>
        <v>#N/A</v>
      </c>
      <c r="F664" t="e">
        <f ca="1"/>
        <v>#N/A</v>
      </c>
      <c r="G664" t="e">
        <f ca="1"/>
        <v>#N/A</v>
      </c>
      <c r="H664" t="e">
        <f ca="1"/>
        <v>#N/A</v>
      </c>
      <c r="I664" t="e">
        <f ca="1"/>
        <v>#N/A</v>
      </c>
      <c r="J664" t="e">
        <f ca="1"/>
        <v>#N/A</v>
      </c>
      <c r="K664" s="49" t="e">
        <f ca="1"/>
        <v>#N/A</v>
      </c>
    </row>
    <row r="665" spans="1:11" x14ac:dyDescent="0.25">
      <c r="A665" s="2" t="e">
        <f ca="1"/>
        <v>#N/A</v>
      </c>
      <c r="C665" t="e">
        <f ca="1"/>
        <v>#N/A</v>
      </c>
      <c r="D665" t="e">
        <f ca="1"/>
        <v>#N/A</v>
      </c>
      <c r="E665" t="e">
        <f ca="1"/>
        <v>#N/A</v>
      </c>
      <c r="F665" t="e">
        <f ca="1"/>
        <v>#N/A</v>
      </c>
      <c r="G665" t="e">
        <f ca="1"/>
        <v>#N/A</v>
      </c>
      <c r="H665" t="e">
        <f ca="1"/>
        <v>#N/A</v>
      </c>
      <c r="I665" t="e">
        <f ca="1"/>
        <v>#N/A</v>
      </c>
      <c r="J665" t="e">
        <f ca="1"/>
        <v>#N/A</v>
      </c>
      <c r="K665" s="49" t="e">
        <f ca="1"/>
        <v>#N/A</v>
      </c>
    </row>
    <row r="666" spans="1:11" x14ac:dyDescent="0.25">
      <c r="A666" s="2" t="e">
        <f ca="1"/>
        <v>#N/A</v>
      </c>
      <c r="C666" t="e">
        <f ca="1"/>
        <v>#N/A</v>
      </c>
      <c r="D666" t="e">
        <f ca="1"/>
        <v>#N/A</v>
      </c>
      <c r="E666" t="e">
        <f ca="1"/>
        <v>#N/A</v>
      </c>
      <c r="F666" t="e">
        <f ca="1"/>
        <v>#N/A</v>
      </c>
      <c r="G666" t="e">
        <f ca="1"/>
        <v>#N/A</v>
      </c>
      <c r="H666" t="e">
        <f ca="1"/>
        <v>#N/A</v>
      </c>
      <c r="I666" t="e">
        <f ca="1"/>
        <v>#N/A</v>
      </c>
      <c r="J666" t="e">
        <f ca="1"/>
        <v>#N/A</v>
      </c>
      <c r="K666" s="49" t="e">
        <f ca="1"/>
        <v>#N/A</v>
      </c>
    </row>
    <row r="667" spans="1:11" x14ac:dyDescent="0.25">
      <c r="A667" s="2" t="e">
        <f ca="1"/>
        <v>#N/A</v>
      </c>
      <c r="C667" t="e">
        <f ca="1"/>
        <v>#N/A</v>
      </c>
      <c r="D667" t="e">
        <f ca="1"/>
        <v>#N/A</v>
      </c>
      <c r="E667" t="e">
        <f ca="1"/>
        <v>#N/A</v>
      </c>
      <c r="F667" t="e">
        <f ca="1"/>
        <v>#N/A</v>
      </c>
      <c r="G667" t="e">
        <f ca="1"/>
        <v>#N/A</v>
      </c>
      <c r="H667" t="e">
        <f ca="1"/>
        <v>#N/A</v>
      </c>
      <c r="I667" t="e">
        <f ca="1"/>
        <v>#N/A</v>
      </c>
      <c r="J667" t="e">
        <f ca="1"/>
        <v>#N/A</v>
      </c>
      <c r="K667" s="49" t="e">
        <f ca="1"/>
        <v>#N/A</v>
      </c>
    </row>
    <row r="668" spans="1:11" x14ac:dyDescent="0.25">
      <c r="A668" s="2" t="e">
        <f ca="1"/>
        <v>#N/A</v>
      </c>
      <c r="C668" t="e">
        <f ca="1"/>
        <v>#N/A</v>
      </c>
      <c r="D668" t="e">
        <f ca="1"/>
        <v>#N/A</v>
      </c>
      <c r="E668" t="e">
        <f ca="1"/>
        <v>#N/A</v>
      </c>
      <c r="F668" t="e">
        <f ca="1"/>
        <v>#N/A</v>
      </c>
      <c r="G668" t="e">
        <f ca="1"/>
        <v>#N/A</v>
      </c>
      <c r="H668" t="e">
        <f ca="1"/>
        <v>#N/A</v>
      </c>
      <c r="I668" t="e">
        <f ca="1"/>
        <v>#N/A</v>
      </c>
      <c r="J668" t="e">
        <f ca="1"/>
        <v>#N/A</v>
      </c>
      <c r="K668" s="49" t="e">
        <f ca="1"/>
        <v>#N/A</v>
      </c>
    </row>
    <row r="669" spans="1:11" x14ac:dyDescent="0.25">
      <c r="A669" s="2" t="e">
        <f ca="1"/>
        <v>#N/A</v>
      </c>
      <c r="C669" t="e">
        <f ca="1"/>
        <v>#N/A</v>
      </c>
      <c r="D669" t="e">
        <f ca="1"/>
        <v>#N/A</v>
      </c>
      <c r="E669" t="e">
        <f ca="1"/>
        <v>#N/A</v>
      </c>
      <c r="F669" t="e">
        <f ca="1"/>
        <v>#N/A</v>
      </c>
      <c r="G669" t="e">
        <f ca="1"/>
        <v>#N/A</v>
      </c>
      <c r="H669" t="e">
        <f ca="1"/>
        <v>#N/A</v>
      </c>
      <c r="I669" t="e">
        <f ca="1"/>
        <v>#N/A</v>
      </c>
      <c r="J669" t="e">
        <f ca="1"/>
        <v>#N/A</v>
      </c>
      <c r="K669" s="49" t="e">
        <f ca="1"/>
        <v>#N/A</v>
      </c>
    </row>
    <row r="670" spans="1:11" x14ac:dyDescent="0.25">
      <c r="A670" s="2" t="e">
        <f ca="1"/>
        <v>#N/A</v>
      </c>
      <c r="C670" t="e">
        <f ca="1"/>
        <v>#N/A</v>
      </c>
      <c r="D670" t="e">
        <f ca="1"/>
        <v>#N/A</v>
      </c>
      <c r="E670" t="e">
        <f ca="1"/>
        <v>#N/A</v>
      </c>
      <c r="F670" t="e">
        <f ca="1"/>
        <v>#N/A</v>
      </c>
      <c r="G670" t="e">
        <f ca="1"/>
        <v>#N/A</v>
      </c>
      <c r="H670" t="e">
        <f ca="1"/>
        <v>#N/A</v>
      </c>
      <c r="I670" t="e">
        <f ca="1"/>
        <v>#N/A</v>
      </c>
      <c r="J670" t="e">
        <f ca="1"/>
        <v>#N/A</v>
      </c>
      <c r="K670" s="49" t="e">
        <f ca="1"/>
        <v>#N/A</v>
      </c>
    </row>
    <row r="671" spans="1:11" x14ac:dyDescent="0.25">
      <c r="A671" s="2" t="e">
        <f ca="1"/>
        <v>#N/A</v>
      </c>
      <c r="C671" t="e">
        <f ca="1"/>
        <v>#N/A</v>
      </c>
      <c r="D671" t="e">
        <f ca="1"/>
        <v>#N/A</v>
      </c>
      <c r="E671" t="e">
        <f ca="1"/>
        <v>#N/A</v>
      </c>
      <c r="F671" t="e">
        <f ca="1"/>
        <v>#N/A</v>
      </c>
      <c r="G671" t="e">
        <f ca="1"/>
        <v>#N/A</v>
      </c>
      <c r="H671" t="e">
        <f ca="1"/>
        <v>#N/A</v>
      </c>
      <c r="I671" t="e">
        <f ca="1"/>
        <v>#N/A</v>
      </c>
      <c r="J671" t="e">
        <f ca="1"/>
        <v>#N/A</v>
      </c>
      <c r="K671" s="49" t="e">
        <f ca="1"/>
        <v>#N/A</v>
      </c>
    </row>
    <row r="672" spans="1:11" x14ac:dyDescent="0.25">
      <c r="A672" s="2" t="e">
        <f ca="1"/>
        <v>#N/A</v>
      </c>
      <c r="C672" t="e">
        <f ca="1"/>
        <v>#N/A</v>
      </c>
      <c r="D672" t="e">
        <f ca="1"/>
        <v>#N/A</v>
      </c>
      <c r="E672" t="e">
        <f ca="1"/>
        <v>#N/A</v>
      </c>
      <c r="F672" t="e">
        <f ca="1"/>
        <v>#N/A</v>
      </c>
      <c r="G672" t="e">
        <f ca="1"/>
        <v>#N/A</v>
      </c>
      <c r="H672" t="e">
        <f ca="1"/>
        <v>#N/A</v>
      </c>
      <c r="I672" t="e">
        <f ca="1"/>
        <v>#N/A</v>
      </c>
      <c r="J672" t="e">
        <f ca="1"/>
        <v>#N/A</v>
      </c>
      <c r="K672" s="49" t="e">
        <f ca="1"/>
        <v>#N/A</v>
      </c>
    </row>
    <row r="673" spans="1:11" x14ac:dyDescent="0.25">
      <c r="A673" s="2" t="e">
        <f ca="1"/>
        <v>#N/A</v>
      </c>
      <c r="C673" t="e">
        <f ca="1"/>
        <v>#N/A</v>
      </c>
      <c r="D673" t="e">
        <f ca="1"/>
        <v>#N/A</v>
      </c>
      <c r="E673" t="e">
        <f ca="1"/>
        <v>#N/A</v>
      </c>
      <c r="F673" t="e">
        <f ca="1"/>
        <v>#N/A</v>
      </c>
      <c r="G673" t="e">
        <f ca="1"/>
        <v>#N/A</v>
      </c>
      <c r="H673" t="e">
        <f ca="1"/>
        <v>#N/A</v>
      </c>
      <c r="I673" t="e">
        <f ca="1"/>
        <v>#N/A</v>
      </c>
      <c r="J673" t="e">
        <f ca="1"/>
        <v>#N/A</v>
      </c>
      <c r="K673" s="49" t="e">
        <f ca="1"/>
        <v>#N/A</v>
      </c>
    </row>
    <row r="674" spans="1:11" x14ac:dyDescent="0.25">
      <c r="A674" s="2" t="e">
        <f ca="1"/>
        <v>#N/A</v>
      </c>
      <c r="C674" t="e">
        <f ca="1"/>
        <v>#N/A</v>
      </c>
      <c r="D674" t="e">
        <f ca="1"/>
        <v>#N/A</v>
      </c>
      <c r="E674" t="e">
        <f ca="1"/>
        <v>#N/A</v>
      </c>
      <c r="F674" t="e">
        <f ca="1"/>
        <v>#N/A</v>
      </c>
      <c r="G674" t="e">
        <f ca="1"/>
        <v>#N/A</v>
      </c>
      <c r="H674" t="e">
        <f ca="1"/>
        <v>#N/A</v>
      </c>
      <c r="I674" t="e">
        <f ca="1"/>
        <v>#N/A</v>
      </c>
      <c r="J674" t="e">
        <f ca="1"/>
        <v>#N/A</v>
      </c>
      <c r="K674" s="49" t="e">
        <f ca="1"/>
        <v>#N/A</v>
      </c>
    </row>
    <row r="675" spans="1:11" x14ac:dyDescent="0.25">
      <c r="A675" s="2" t="e">
        <f ca="1"/>
        <v>#N/A</v>
      </c>
      <c r="C675" t="e">
        <f ca="1"/>
        <v>#N/A</v>
      </c>
      <c r="D675" t="e">
        <f ca="1"/>
        <v>#N/A</v>
      </c>
      <c r="E675" t="e">
        <f ca="1"/>
        <v>#N/A</v>
      </c>
      <c r="F675" t="e">
        <f ca="1"/>
        <v>#N/A</v>
      </c>
      <c r="G675" t="e">
        <f ca="1"/>
        <v>#N/A</v>
      </c>
      <c r="H675" t="e">
        <f ca="1"/>
        <v>#N/A</v>
      </c>
      <c r="I675" t="e">
        <f ca="1"/>
        <v>#N/A</v>
      </c>
      <c r="J675" t="e">
        <f ca="1"/>
        <v>#N/A</v>
      </c>
      <c r="K675" s="49" t="e">
        <f ca="1"/>
        <v>#N/A</v>
      </c>
    </row>
    <row r="676" spans="1:11" x14ac:dyDescent="0.25">
      <c r="A676" s="2" t="e">
        <f ca="1"/>
        <v>#N/A</v>
      </c>
      <c r="C676" t="e">
        <f ca="1"/>
        <v>#N/A</v>
      </c>
      <c r="D676" t="e">
        <f ca="1"/>
        <v>#N/A</v>
      </c>
      <c r="E676" t="e">
        <f ca="1"/>
        <v>#N/A</v>
      </c>
      <c r="F676" t="e">
        <f ca="1"/>
        <v>#N/A</v>
      </c>
      <c r="G676" t="e">
        <f ca="1"/>
        <v>#N/A</v>
      </c>
      <c r="H676" t="e">
        <f ca="1"/>
        <v>#N/A</v>
      </c>
      <c r="I676" t="e">
        <f ca="1"/>
        <v>#N/A</v>
      </c>
      <c r="J676" t="e">
        <f ca="1"/>
        <v>#N/A</v>
      </c>
      <c r="K676" s="49" t="e">
        <f ca="1"/>
        <v>#N/A</v>
      </c>
    </row>
    <row r="677" spans="1:11" x14ac:dyDescent="0.25">
      <c r="A677" s="2" t="e">
        <f ca="1"/>
        <v>#N/A</v>
      </c>
      <c r="C677" t="e">
        <f ca="1"/>
        <v>#N/A</v>
      </c>
      <c r="D677" t="e">
        <f ca="1"/>
        <v>#N/A</v>
      </c>
      <c r="E677" t="e">
        <f ca="1"/>
        <v>#N/A</v>
      </c>
      <c r="F677" t="e">
        <f ca="1"/>
        <v>#N/A</v>
      </c>
      <c r="G677" t="e">
        <f ca="1"/>
        <v>#N/A</v>
      </c>
      <c r="H677" t="e">
        <f ca="1"/>
        <v>#N/A</v>
      </c>
      <c r="I677" t="e">
        <f ca="1"/>
        <v>#N/A</v>
      </c>
      <c r="J677" t="e">
        <f ca="1"/>
        <v>#N/A</v>
      </c>
      <c r="K677" s="49" t="e">
        <f ca="1"/>
        <v>#N/A</v>
      </c>
    </row>
    <row r="678" spans="1:11" x14ac:dyDescent="0.25">
      <c r="A678" s="2" t="e">
        <f ca="1"/>
        <v>#N/A</v>
      </c>
      <c r="C678" t="e">
        <f ca="1"/>
        <v>#N/A</v>
      </c>
      <c r="D678" t="e">
        <f ca="1"/>
        <v>#N/A</v>
      </c>
      <c r="E678" t="e">
        <f ca="1"/>
        <v>#N/A</v>
      </c>
      <c r="F678" t="e">
        <f ca="1"/>
        <v>#N/A</v>
      </c>
      <c r="G678" t="e">
        <f ca="1"/>
        <v>#N/A</v>
      </c>
      <c r="H678" t="e">
        <f ca="1"/>
        <v>#N/A</v>
      </c>
      <c r="I678" t="e">
        <f ca="1"/>
        <v>#N/A</v>
      </c>
      <c r="J678" t="e">
        <f ca="1"/>
        <v>#N/A</v>
      </c>
      <c r="K678" s="49" t="e">
        <f ca="1"/>
        <v>#N/A</v>
      </c>
    </row>
    <row r="679" spans="1:11" x14ac:dyDescent="0.25">
      <c r="A679" s="2" t="e">
        <f ca="1"/>
        <v>#N/A</v>
      </c>
      <c r="C679" t="e">
        <f ca="1"/>
        <v>#N/A</v>
      </c>
      <c r="D679" t="e">
        <f ca="1"/>
        <v>#N/A</v>
      </c>
      <c r="E679" t="e">
        <f ca="1"/>
        <v>#N/A</v>
      </c>
      <c r="F679" t="e">
        <f ca="1"/>
        <v>#N/A</v>
      </c>
      <c r="G679" t="e">
        <f ca="1"/>
        <v>#N/A</v>
      </c>
      <c r="H679" t="e">
        <f ca="1"/>
        <v>#N/A</v>
      </c>
      <c r="I679" t="e">
        <f ca="1"/>
        <v>#N/A</v>
      </c>
      <c r="J679" t="e">
        <f ca="1"/>
        <v>#N/A</v>
      </c>
      <c r="K679" s="49" t="e">
        <f ca="1"/>
        <v>#N/A</v>
      </c>
    </row>
    <row r="680" spans="1:11" x14ac:dyDescent="0.25">
      <c r="A680" s="2" t="e">
        <f ca="1"/>
        <v>#N/A</v>
      </c>
      <c r="C680" t="e">
        <f ca="1"/>
        <v>#N/A</v>
      </c>
      <c r="D680" t="e">
        <f ca="1"/>
        <v>#N/A</v>
      </c>
      <c r="E680" t="e">
        <f ca="1"/>
        <v>#N/A</v>
      </c>
      <c r="F680" t="e">
        <f ca="1"/>
        <v>#N/A</v>
      </c>
      <c r="G680" t="e">
        <f ca="1"/>
        <v>#N/A</v>
      </c>
      <c r="H680" t="e">
        <f ca="1"/>
        <v>#N/A</v>
      </c>
      <c r="I680" t="e">
        <f ca="1"/>
        <v>#N/A</v>
      </c>
      <c r="J680" t="e">
        <f ca="1"/>
        <v>#N/A</v>
      </c>
      <c r="K680" s="49" t="e">
        <f ca="1"/>
        <v>#N/A</v>
      </c>
    </row>
    <row r="681" spans="1:11" x14ac:dyDescent="0.25">
      <c r="A681" s="2" t="e">
        <f ca="1"/>
        <v>#N/A</v>
      </c>
      <c r="C681" t="e">
        <f ca="1"/>
        <v>#N/A</v>
      </c>
      <c r="D681" t="e">
        <f ca="1"/>
        <v>#N/A</v>
      </c>
      <c r="E681" t="e">
        <f ca="1"/>
        <v>#N/A</v>
      </c>
      <c r="F681" t="e">
        <f ca="1"/>
        <v>#N/A</v>
      </c>
      <c r="G681" t="e">
        <f ca="1"/>
        <v>#N/A</v>
      </c>
      <c r="H681" t="e">
        <f ca="1"/>
        <v>#N/A</v>
      </c>
      <c r="I681" t="e">
        <f ca="1"/>
        <v>#N/A</v>
      </c>
      <c r="J681" t="e">
        <f ca="1"/>
        <v>#N/A</v>
      </c>
      <c r="K681" s="49" t="e">
        <f ca="1"/>
        <v>#N/A</v>
      </c>
    </row>
    <row r="682" spans="1:11" x14ac:dyDescent="0.25">
      <c r="A682" s="2" t="e">
        <f ca="1"/>
        <v>#N/A</v>
      </c>
      <c r="C682" t="e">
        <f ca="1"/>
        <v>#N/A</v>
      </c>
      <c r="D682" t="e">
        <f ca="1"/>
        <v>#N/A</v>
      </c>
      <c r="E682" t="e">
        <f ca="1"/>
        <v>#N/A</v>
      </c>
      <c r="F682" t="e">
        <f ca="1"/>
        <v>#N/A</v>
      </c>
      <c r="G682" t="e">
        <f ca="1"/>
        <v>#N/A</v>
      </c>
      <c r="H682" t="e">
        <f ca="1"/>
        <v>#N/A</v>
      </c>
      <c r="I682" t="e">
        <f ca="1"/>
        <v>#N/A</v>
      </c>
      <c r="J682" t="e">
        <f ca="1"/>
        <v>#N/A</v>
      </c>
      <c r="K682" s="49" t="e">
        <f ca="1"/>
        <v>#N/A</v>
      </c>
    </row>
    <row r="683" spans="1:11" x14ac:dyDescent="0.25">
      <c r="A683" s="2" t="e">
        <f ca="1"/>
        <v>#N/A</v>
      </c>
      <c r="C683" t="e">
        <f ca="1"/>
        <v>#N/A</v>
      </c>
      <c r="D683" t="e">
        <f ca="1"/>
        <v>#N/A</v>
      </c>
      <c r="E683" t="e">
        <f ca="1"/>
        <v>#N/A</v>
      </c>
      <c r="F683" t="e">
        <f ca="1"/>
        <v>#N/A</v>
      </c>
      <c r="G683" t="e">
        <f ca="1"/>
        <v>#N/A</v>
      </c>
      <c r="H683" t="e">
        <f ca="1"/>
        <v>#N/A</v>
      </c>
      <c r="I683" t="e">
        <f ca="1"/>
        <v>#N/A</v>
      </c>
      <c r="J683" t="e">
        <f ca="1"/>
        <v>#N/A</v>
      </c>
      <c r="K683" s="49" t="e">
        <f ca="1"/>
        <v>#N/A</v>
      </c>
    </row>
    <row r="684" spans="1:11" x14ac:dyDescent="0.25">
      <c r="A684" s="2" t="e">
        <f ca="1"/>
        <v>#N/A</v>
      </c>
      <c r="C684" t="e">
        <f ca="1"/>
        <v>#N/A</v>
      </c>
      <c r="D684" t="e">
        <f ca="1"/>
        <v>#N/A</v>
      </c>
      <c r="E684" t="e">
        <f ca="1"/>
        <v>#N/A</v>
      </c>
      <c r="F684" t="e">
        <f ca="1"/>
        <v>#N/A</v>
      </c>
      <c r="G684" t="e">
        <f ca="1"/>
        <v>#N/A</v>
      </c>
      <c r="H684" t="e">
        <f ca="1"/>
        <v>#N/A</v>
      </c>
      <c r="I684" t="e">
        <f ca="1"/>
        <v>#N/A</v>
      </c>
      <c r="J684" t="e">
        <f ca="1"/>
        <v>#N/A</v>
      </c>
      <c r="K684" s="49" t="e">
        <f ca="1"/>
        <v>#N/A</v>
      </c>
    </row>
    <row r="685" spans="1:11" x14ac:dyDescent="0.25">
      <c r="A685" s="2" t="e">
        <f ca="1"/>
        <v>#N/A</v>
      </c>
      <c r="C685" t="e">
        <f ca="1"/>
        <v>#N/A</v>
      </c>
      <c r="D685" t="e">
        <f ca="1"/>
        <v>#N/A</v>
      </c>
      <c r="E685" t="e">
        <f ca="1"/>
        <v>#N/A</v>
      </c>
      <c r="F685" t="e">
        <f ca="1"/>
        <v>#N/A</v>
      </c>
      <c r="G685" t="e">
        <f ca="1"/>
        <v>#N/A</v>
      </c>
      <c r="H685" t="e">
        <f ca="1"/>
        <v>#N/A</v>
      </c>
      <c r="I685" t="e">
        <f ca="1"/>
        <v>#N/A</v>
      </c>
      <c r="J685" t="e">
        <f ca="1"/>
        <v>#N/A</v>
      </c>
      <c r="K685" s="49" t="e">
        <f ca="1"/>
        <v>#N/A</v>
      </c>
    </row>
    <row r="686" spans="1:11" x14ac:dyDescent="0.25">
      <c r="A686" s="2" t="e">
        <f ca="1"/>
        <v>#N/A</v>
      </c>
      <c r="C686" t="e">
        <f ca="1"/>
        <v>#N/A</v>
      </c>
      <c r="D686" t="e">
        <f ca="1"/>
        <v>#N/A</v>
      </c>
      <c r="E686" t="e">
        <f ca="1"/>
        <v>#N/A</v>
      </c>
      <c r="F686" t="e">
        <f ca="1"/>
        <v>#N/A</v>
      </c>
      <c r="G686" t="e">
        <f ca="1"/>
        <v>#N/A</v>
      </c>
      <c r="H686" t="e">
        <f ca="1"/>
        <v>#N/A</v>
      </c>
      <c r="I686" t="e">
        <f ca="1"/>
        <v>#N/A</v>
      </c>
      <c r="J686" t="e">
        <f ca="1"/>
        <v>#N/A</v>
      </c>
      <c r="K686" s="49" t="e">
        <f ca="1"/>
        <v>#N/A</v>
      </c>
    </row>
    <row r="687" spans="1:11" x14ac:dyDescent="0.25">
      <c r="A687" s="2" t="e">
        <f ca="1"/>
        <v>#N/A</v>
      </c>
      <c r="C687" t="e">
        <f ca="1"/>
        <v>#N/A</v>
      </c>
      <c r="D687" t="e">
        <f ca="1"/>
        <v>#N/A</v>
      </c>
      <c r="E687" t="e">
        <f ca="1"/>
        <v>#N/A</v>
      </c>
      <c r="F687" t="e">
        <f ca="1"/>
        <v>#N/A</v>
      </c>
      <c r="G687" t="e">
        <f ca="1"/>
        <v>#N/A</v>
      </c>
      <c r="H687" t="e">
        <f ca="1"/>
        <v>#N/A</v>
      </c>
      <c r="I687" t="e">
        <f ca="1"/>
        <v>#N/A</v>
      </c>
      <c r="J687" t="e">
        <f ca="1"/>
        <v>#N/A</v>
      </c>
      <c r="K687" s="49" t="e">
        <f ca="1"/>
        <v>#N/A</v>
      </c>
    </row>
    <row r="688" spans="1:11" x14ac:dyDescent="0.25">
      <c r="A688" s="2" t="e">
        <f ca="1"/>
        <v>#N/A</v>
      </c>
      <c r="C688" t="e">
        <f ca="1"/>
        <v>#N/A</v>
      </c>
      <c r="D688" t="e">
        <f ca="1"/>
        <v>#N/A</v>
      </c>
      <c r="E688" t="e">
        <f ca="1"/>
        <v>#N/A</v>
      </c>
      <c r="F688" t="e">
        <f ca="1"/>
        <v>#N/A</v>
      </c>
      <c r="G688" t="e">
        <f ca="1"/>
        <v>#N/A</v>
      </c>
      <c r="H688" t="e">
        <f ca="1"/>
        <v>#N/A</v>
      </c>
      <c r="I688" t="e">
        <f ca="1"/>
        <v>#N/A</v>
      </c>
      <c r="J688" t="e">
        <f ca="1"/>
        <v>#N/A</v>
      </c>
      <c r="K688" s="49" t="e">
        <f ca="1"/>
        <v>#N/A</v>
      </c>
    </row>
    <row r="689" spans="1:11" x14ac:dyDescent="0.25">
      <c r="A689" s="2" t="e">
        <f ca="1"/>
        <v>#N/A</v>
      </c>
      <c r="C689" t="e">
        <f ca="1"/>
        <v>#N/A</v>
      </c>
      <c r="D689" t="e">
        <f ca="1"/>
        <v>#N/A</v>
      </c>
      <c r="E689" t="e">
        <f ca="1"/>
        <v>#N/A</v>
      </c>
      <c r="F689" t="e">
        <f ca="1"/>
        <v>#N/A</v>
      </c>
      <c r="G689" t="e">
        <f ca="1"/>
        <v>#N/A</v>
      </c>
      <c r="H689" t="e">
        <f ca="1"/>
        <v>#N/A</v>
      </c>
      <c r="I689" t="e">
        <f ca="1"/>
        <v>#N/A</v>
      </c>
      <c r="J689" t="e">
        <f ca="1"/>
        <v>#N/A</v>
      </c>
      <c r="K689" s="49" t="e">
        <f ca="1"/>
        <v>#N/A</v>
      </c>
    </row>
    <row r="690" spans="1:11" x14ac:dyDescent="0.25">
      <c r="A690" s="2" t="e">
        <f ca="1"/>
        <v>#N/A</v>
      </c>
      <c r="C690" t="e">
        <f ca="1"/>
        <v>#N/A</v>
      </c>
      <c r="D690" t="e">
        <f ca="1"/>
        <v>#N/A</v>
      </c>
      <c r="E690" t="e">
        <f ca="1"/>
        <v>#N/A</v>
      </c>
      <c r="F690" t="e">
        <f ca="1"/>
        <v>#N/A</v>
      </c>
      <c r="G690" t="e">
        <f ca="1"/>
        <v>#N/A</v>
      </c>
      <c r="H690" t="e">
        <f ca="1"/>
        <v>#N/A</v>
      </c>
      <c r="I690" t="e">
        <f ca="1"/>
        <v>#N/A</v>
      </c>
      <c r="J690" t="e">
        <f ca="1"/>
        <v>#N/A</v>
      </c>
      <c r="K690" s="49" t="e">
        <f ca="1"/>
        <v>#N/A</v>
      </c>
    </row>
    <row r="691" spans="1:11" x14ac:dyDescent="0.25">
      <c r="A691" s="2" t="e">
        <f ca="1"/>
        <v>#N/A</v>
      </c>
      <c r="C691" t="e">
        <f ca="1"/>
        <v>#N/A</v>
      </c>
      <c r="D691" t="e">
        <f ca="1"/>
        <v>#N/A</v>
      </c>
      <c r="E691" t="e">
        <f ca="1"/>
        <v>#N/A</v>
      </c>
      <c r="F691" t="e">
        <f ca="1"/>
        <v>#N/A</v>
      </c>
      <c r="G691" t="e">
        <f ca="1"/>
        <v>#N/A</v>
      </c>
      <c r="H691" t="e">
        <f ca="1"/>
        <v>#N/A</v>
      </c>
      <c r="I691" t="e">
        <f ca="1"/>
        <v>#N/A</v>
      </c>
      <c r="J691" t="e">
        <f ca="1"/>
        <v>#N/A</v>
      </c>
      <c r="K691" s="49" t="e">
        <f ca="1"/>
        <v>#N/A</v>
      </c>
    </row>
    <row r="692" spans="1:11" x14ac:dyDescent="0.25">
      <c r="A692" s="2" t="e">
        <f ca="1"/>
        <v>#N/A</v>
      </c>
      <c r="C692" t="e">
        <f ca="1"/>
        <v>#N/A</v>
      </c>
      <c r="D692" t="e">
        <f ca="1"/>
        <v>#N/A</v>
      </c>
      <c r="E692" t="e">
        <f ca="1"/>
        <v>#N/A</v>
      </c>
      <c r="F692" t="e">
        <f ca="1"/>
        <v>#N/A</v>
      </c>
      <c r="G692" t="e">
        <f ca="1"/>
        <v>#N/A</v>
      </c>
      <c r="H692" t="e">
        <f ca="1"/>
        <v>#N/A</v>
      </c>
      <c r="I692" t="e">
        <f ca="1"/>
        <v>#N/A</v>
      </c>
      <c r="J692" t="e">
        <f ca="1"/>
        <v>#N/A</v>
      </c>
      <c r="K692" s="49" t="e">
        <f ca="1"/>
        <v>#N/A</v>
      </c>
    </row>
    <row r="693" spans="1:11" x14ac:dyDescent="0.25">
      <c r="A693" s="2" t="e">
        <f ca="1"/>
        <v>#N/A</v>
      </c>
      <c r="C693" t="e">
        <f ca="1"/>
        <v>#N/A</v>
      </c>
      <c r="D693" t="e">
        <f ca="1"/>
        <v>#N/A</v>
      </c>
      <c r="E693" t="e">
        <f ca="1"/>
        <v>#N/A</v>
      </c>
      <c r="F693" t="e">
        <f ca="1"/>
        <v>#N/A</v>
      </c>
      <c r="G693" t="e">
        <f ca="1"/>
        <v>#N/A</v>
      </c>
      <c r="H693" t="e">
        <f ca="1"/>
        <v>#N/A</v>
      </c>
      <c r="I693" t="e">
        <f ca="1"/>
        <v>#N/A</v>
      </c>
      <c r="J693" t="e">
        <f ca="1"/>
        <v>#N/A</v>
      </c>
      <c r="K693" s="49" t="e">
        <f ca="1"/>
        <v>#N/A</v>
      </c>
    </row>
    <row r="694" spans="1:11" x14ac:dyDescent="0.25">
      <c r="A694" s="2" t="e">
        <f ca="1"/>
        <v>#N/A</v>
      </c>
      <c r="C694" t="e">
        <f ca="1"/>
        <v>#N/A</v>
      </c>
      <c r="D694" t="e">
        <f ca="1"/>
        <v>#N/A</v>
      </c>
      <c r="E694" t="e">
        <f ca="1"/>
        <v>#N/A</v>
      </c>
      <c r="F694" t="e">
        <f ca="1"/>
        <v>#N/A</v>
      </c>
      <c r="G694" t="e">
        <f ca="1"/>
        <v>#N/A</v>
      </c>
      <c r="H694" t="e">
        <f ca="1"/>
        <v>#N/A</v>
      </c>
      <c r="I694" t="e">
        <f ca="1"/>
        <v>#N/A</v>
      </c>
      <c r="J694" t="e">
        <f ca="1"/>
        <v>#N/A</v>
      </c>
      <c r="K694" s="49" t="e">
        <f ca="1"/>
        <v>#N/A</v>
      </c>
    </row>
    <row r="695" spans="1:11" x14ac:dyDescent="0.25">
      <c r="A695" s="2" t="e">
        <f ca="1"/>
        <v>#N/A</v>
      </c>
      <c r="C695" t="e">
        <f ca="1"/>
        <v>#N/A</v>
      </c>
      <c r="D695" t="e">
        <f ca="1"/>
        <v>#N/A</v>
      </c>
      <c r="E695" t="e">
        <f ca="1"/>
        <v>#N/A</v>
      </c>
      <c r="F695" t="e">
        <f ca="1"/>
        <v>#N/A</v>
      </c>
      <c r="G695" t="e">
        <f ca="1"/>
        <v>#N/A</v>
      </c>
      <c r="H695" t="e">
        <f ca="1"/>
        <v>#N/A</v>
      </c>
      <c r="I695" t="e">
        <f ca="1"/>
        <v>#N/A</v>
      </c>
      <c r="J695" t="e">
        <f ca="1"/>
        <v>#N/A</v>
      </c>
      <c r="K695" s="49" t="e">
        <f ca="1"/>
        <v>#N/A</v>
      </c>
    </row>
    <row r="696" spans="1:11" x14ac:dyDescent="0.25">
      <c r="A696" s="2" t="e">
        <f ca="1"/>
        <v>#N/A</v>
      </c>
      <c r="C696" t="e">
        <f ca="1"/>
        <v>#N/A</v>
      </c>
      <c r="D696" t="e">
        <f ca="1"/>
        <v>#N/A</v>
      </c>
      <c r="E696" t="e">
        <f ca="1"/>
        <v>#N/A</v>
      </c>
      <c r="F696" t="e">
        <f ca="1"/>
        <v>#N/A</v>
      </c>
      <c r="G696" t="e">
        <f ca="1"/>
        <v>#N/A</v>
      </c>
      <c r="H696" t="e">
        <f ca="1"/>
        <v>#N/A</v>
      </c>
      <c r="I696" t="e">
        <f ca="1"/>
        <v>#N/A</v>
      </c>
      <c r="J696" t="e">
        <f ca="1"/>
        <v>#N/A</v>
      </c>
      <c r="K696" s="49" t="e">
        <f ca="1"/>
        <v>#N/A</v>
      </c>
    </row>
    <row r="697" spans="1:11" x14ac:dyDescent="0.25">
      <c r="A697" s="2" t="e">
        <f ca="1"/>
        <v>#N/A</v>
      </c>
      <c r="C697" t="e">
        <f ca="1"/>
        <v>#N/A</v>
      </c>
      <c r="D697" t="e">
        <f ca="1"/>
        <v>#N/A</v>
      </c>
      <c r="E697" t="e">
        <f ca="1"/>
        <v>#N/A</v>
      </c>
      <c r="F697" t="e">
        <f ca="1"/>
        <v>#N/A</v>
      </c>
      <c r="G697" t="e">
        <f ca="1"/>
        <v>#N/A</v>
      </c>
      <c r="H697" t="e">
        <f ca="1"/>
        <v>#N/A</v>
      </c>
      <c r="I697" t="e">
        <f ca="1"/>
        <v>#N/A</v>
      </c>
      <c r="J697" t="e">
        <f ca="1"/>
        <v>#N/A</v>
      </c>
      <c r="K697" s="49" t="e">
        <f ca="1"/>
        <v>#N/A</v>
      </c>
    </row>
    <row r="698" spans="1:11" x14ac:dyDescent="0.25">
      <c r="A698" s="2" t="e">
        <f ca="1"/>
        <v>#N/A</v>
      </c>
      <c r="C698" t="e">
        <f ca="1"/>
        <v>#N/A</v>
      </c>
      <c r="D698" t="e">
        <f ca="1"/>
        <v>#N/A</v>
      </c>
      <c r="E698" t="e">
        <f ca="1"/>
        <v>#N/A</v>
      </c>
      <c r="F698" t="e">
        <f ca="1"/>
        <v>#N/A</v>
      </c>
      <c r="G698" t="e">
        <f ca="1"/>
        <v>#N/A</v>
      </c>
      <c r="H698" t="e">
        <f ca="1"/>
        <v>#N/A</v>
      </c>
      <c r="I698" t="e">
        <f ca="1"/>
        <v>#N/A</v>
      </c>
      <c r="J698" t="e">
        <f ca="1"/>
        <v>#N/A</v>
      </c>
      <c r="K698" s="49" t="e">
        <f ca="1"/>
        <v>#N/A</v>
      </c>
    </row>
    <row r="699" spans="1:11" x14ac:dyDescent="0.25">
      <c r="A699" s="2" t="e">
        <f ca="1"/>
        <v>#N/A</v>
      </c>
      <c r="C699" t="e">
        <f ca="1"/>
        <v>#N/A</v>
      </c>
      <c r="D699" t="e">
        <f ca="1"/>
        <v>#N/A</v>
      </c>
      <c r="E699" t="e">
        <f ca="1"/>
        <v>#N/A</v>
      </c>
      <c r="F699" t="e">
        <f ca="1"/>
        <v>#N/A</v>
      </c>
      <c r="G699" t="e">
        <f ca="1"/>
        <v>#N/A</v>
      </c>
      <c r="H699" t="e">
        <f ca="1"/>
        <v>#N/A</v>
      </c>
      <c r="I699" t="e">
        <f ca="1"/>
        <v>#N/A</v>
      </c>
      <c r="J699" t="e">
        <f ca="1"/>
        <v>#N/A</v>
      </c>
      <c r="K699" s="49" t="e">
        <f ca="1"/>
        <v>#N/A</v>
      </c>
    </row>
    <row r="700" spans="1:11" x14ac:dyDescent="0.25">
      <c r="A700" s="2" t="e">
        <f ca="1"/>
        <v>#N/A</v>
      </c>
      <c r="C700" t="e">
        <f ca="1"/>
        <v>#N/A</v>
      </c>
      <c r="D700" t="e">
        <f ca="1"/>
        <v>#N/A</v>
      </c>
      <c r="E700" t="e">
        <f ca="1"/>
        <v>#N/A</v>
      </c>
      <c r="F700" t="e">
        <f ca="1"/>
        <v>#N/A</v>
      </c>
      <c r="G700" t="e">
        <f ca="1"/>
        <v>#N/A</v>
      </c>
      <c r="H700" t="e">
        <f ca="1"/>
        <v>#N/A</v>
      </c>
      <c r="I700" t="e">
        <f ca="1"/>
        <v>#N/A</v>
      </c>
      <c r="J700" t="e">
        <f ca="1"/>
        <v>#N/A</v>
      </c>
      <c r="K700" s="49" t="e">
        <f ca="1"/>
        <v>#N/A</v>
      </c>
    </row>
    <row r="701" spans="1:11" x14ac:dyDescent="0.25">
      <c r="A701" s="2" t="e">
        <f ca="1"/>
        <v>#N/A</v>
      </c>
      <c r="C701" t="e">
        <f ca="1"/>
        <v>#N/A</v>
      </c>
      <c r="D701" t="e">
        <f ca="1"/>
        <v>#N/A</v>
      </c>
      <c r="E701" t="e">
        <f ca="1"/>
        <v>#N/A</v>
      </c>
      <c r="F701" t="e">
        <f ca="1"/>
        <v>#N/A</v>
      </c>
      <c r="G701" t="e">
        <f ca="1"/>
        <v>#N/A</v>
      </c>
      <c r="H701" t="e">
        <f ca="1"/>
        <v>#N/A</v>
      </c>
      <c r="I701" t="e">
        <f ca="1"/>
        <v>#N/A</v>
      </c>
      <c r="J701" t="e">
        <f ca="1"/>
        <v>#N/A</v>
      </c>
      <c r="K701" s="49" t="e">
        <f ca="1"/>
        <v>#N/A</v>
      </c>
    </row>
    <row r="702" spans="1:11" x14ac:dyDescent="0.25">
      <c r="A702" s="2" t="e">
        <f ca="1"/>
        <v>#N/A</v>
      </c>
      <c r="C702" t="e">
        <f ca="1"/>
        <v>#N/A</v>
      </c>
      <c r="D702" t="e">
        <f ca="1"/>
        <v>#N/A</v>
      </c>
      <c r="E702" t="e">
        <f ca="1"/>
        <v>#N/A</v>
      </c>
      <c r="F702" t="e">
        <f ca="1"/>
        <v>#N/A</v>
      </c>
      <c r="G702" t="e">
        <f ca="1"/>
        <v>#N/A</v>
      </c>
      <c r="H702" t="e">
        <f ca="1"/>
        <v>#N/A</v>
      </c>
      <c r="I702" t="e">
        <f ca="1"/>
        <v>#N/A</v>
      </c>
      <c r="J702" t="e">
        <f ca="1"/>
        <v>#N/A</v>
      </c>
      <c r="K702" s="49" t="e">
        <f ca="1"/>
        <v>#N/A</v>
      </c>
    </row>
    <row r="703" spans="1:11" x14ac:dyDescent="0.25">
      <c r="A703" s="2" t="e">
        <f ca="1"/>
        <v>#N/A</v>
      </c>
      <c r="C703" t="e">
        <f ca="1"/>
        <v>#N/A</v>
      </c>
      <c r="D703" t="e">
        <f ca="1"/>
        <v>#N/A</v>
      </c>
      <c r="E703" t="e">
        <f ca="1"/>
        <v>#N/A</v>
      </c>
      <c r="F703" t="e">
        <f ca="1"/>
        <v>#N/A</v>
      </c>
      <c r="G703" t="e">
        <f ca="1"/>
        <v>#N/A</v>
      </c>
      <c r="H703" t="e">
        <f ca="1"/>
        <v>#N/A</v>
      </c>
      <c r="I703" t="e">
        <f ca="1"/>
        <v>#N/A</v>
      </c>
      <c r="J703" t="e">
        <f ca="1"/>
        <v>#N/A</v>
      </c>
      <c r="K703" s="49" t="e">
        <f ca="1"/>
        <v>#N/A</v>
      </c>
    </row>
    <row r="704" spans="1:11" x14ac:dyDescent="0.25">
      <c r="A704" s="2" t="e">
        <f ca="1"/>
        <v>#N/A</v>
      </c>
      <c r="C704" t="e">
        <f ca="1"/>
        <v>#N/A</v>
      </c>
      <c r="D704" t="e">
        <f ca="1"/>
        <v>#N/A</v>
      </c>
      <c r="E704" t="e">
        <f ca="1"/>
        <v>#N/A</v>
      </c>
      <c r="F704" t="e">
        <f ca="1"/>
        <v>#N/A</v>
      </c>
      <c r="G704" t="e">
        <f ca="1"/>
        <v>#N/A</v>
      </c>
      <c r="H704" t="e">
        <f ca="1"/>
        <v>#N/A</v>
      </c>
      <c r="I704" t="e">
        <f ca="1"/>
        <v>#N/A</v>
      </c>
      <c r="J704" t="e">
        <f ca="1"/>
        <v>#N/A</v>
      </c>
      <c r="K704" s="49" t="e">
        <f ca="1"/>
        <v>#N/A</v>
      </c>
    </row>
    <row r="705" spans="1:11" x14ac:dyDescent="0.25">
      <c r="A705" s="2" t="e">
        <f ca="1"/>
        <v>#N/A</v>
      </c>
      <c r="C705" t="e">
        <f ca="1"/>
        <v>#N/A</v>
      </c>
      <c r="D705" t="e">
        <f ca="1"/>
        <v>#N/A</v>
      </c>
      <c r="E705" t="e">
        <f ca="1"/>
        <v>#N/A</v>
      </c>
      <c r="F705" t="e">
        <f ca="1"/>
        <v>#N/A</v>
      </c>
      <c r="G705" t="e">
        <f ca="1"/>
        <v>#N/A</v>
      </c>
      <c r="H705" t="e">
        <f ca="1"/>
        <v>#N/A</v>
      </c>
      <c r="I705" t="e">
        <f ca="1"/>
        <v>#N/A</v>
      </c>
      <c r="J705" t="e">
        <f ca="1"/>
        <v>#N/A</v>
      </c>
      <c r="K705" s="49" t="e">
        <f ca="1"/>
        <v>#N/A</v>
      </c>
    </row>
    <row r="706" spans="1:11" x14ac:dyDescent="0.25">
      <c r="A706" s="2" t="e">
        <f ca="1"/>
        <v>#N/A</v>
      </c>
      <c r="C706" t="e">
        <f ca="1"/>
        <v>#N/A</v>
      </c>
      <c r="D706" t="e">
        <f ca="1"/>
        <v>#N/A</v>
      </c>
      <c r="E706" t="e">
        <f ca="1"/>
        <v>#N/A</v>
      </c>
      <c r="F706" t="e">
        <f ca="1"/>
        <v>#N/A</v>
      </c>
      <c r="G706" t="e">
        <f ca="1"/>
        <v>#N/A</v>
      </c>
      <c r="H706" t="e">
        <f ca="1"/>
        <v>#N/A</v>
      </c>
      <c r="I706" t="e">
        <f ca="1"/>
        <v>#N/A</v>
      </c>
      <c r="J706" t="e">
        <f ca="1"/>
        <v>#N/A</v>
      </c>
      <c r="K706" s="49" t="e">
        <f ca="1"/>
        <v>#N/A</v>
      </c>
    </row>
    <row r="707" spans="1:11" x14ac:dyDescent="0.25">
      <c r="A707" s="2" t="e">
        <f ca="1"/>
        <v>#N/A</v>
      </c>
      <c r="C707" t="e">
        <f ca="1"/>
        <v>#N/A</v>
      </c>
      <c r="D707" t="e">
        <f ca="1"/>
        <v>#N/A</v>
      </c>
      <c r="E707" t="e">
        <f ca="1"/>
        <v>#N/A</v>
      </c>
      <c r="F707" t="e">
        <f ca="1"/>
        <v>#N/A</v>
      </c>
      <c r="G707" t="e">
        <f ca="1"/>
        <v>#N/A</v>
      </c>
      <c r="H707" t="e">
        <f ca="1"/>
        <v>#N/A</v>
      </c>
      <c r="I707" t="e">
        <f ca="1"/>
        <v>#N/A</v>
      </c>
      <c r="J707" t="e">
        <f ca="1"/>
        <v>#N/A</v>
      </c>
      <c r="K707" s="49" t="e">
        <f ca="1"/>
        <v>#N/A</v>
      </c>
    </row>
    <row r="708" spans="1:11" x14ac:dyDescent="0.25">
      <c r="A708" s="2" t="e">
        <f ca="1"/>
        <v>#N/A</v>
      </c>
      <c r="C708" t="e">
        <f ca="1"/>
        <v>#N/A</v>
      </c>
      <c r="D708" t="e">
        <f ca="1"/>
        <v>#N/A</v>
      </c>
      <c r="E708" t="e">
        <f ca="1"/>
        <v>#N/A</v>
      </c>
      <c r="F708" t="e">
        <f ca="1"/>
        <v>#N/A</v>
      </c>
      <c r="G708" t="e">
        <f ca="1"/>
        <v>#N/A</v>
      </c>
      <c r="H708" t="e">
        <f ca="1"/>
        <v>#N/A</v>
      </c>
      <c r="I708" t="e">
        <f ca="1"/>
        <v>#N/A</v>
      </c>
      <c r="J708" t="e">
        <f ca="1"/>
        <v>#N/A</v>
      </c>
      <c r="K708" s="49" t="e">
        <f ca="1"/>
        <v>#N/A</v>
      </c>
    </row>
    <row r="709" spans="1:11" x14ac:dyDescent="0.25">
      <c r="A709" s="2" t="e">
        <f ca="1"/>
        <v>#N/A</v>
      </c>
      <c r="C709" t="e">
        <f ca="1"/>
        <v>#N/A</v>
      </c>
      <c r="D709" t="e">
        <f ca="1"/>
        <v>#N/A</v>
      </c>
      <c r="E709" t="e">
        <f ca="1"/>
        <v>#N/A</v>
      </c>
      <c r="F709" t="e">
        <f ca="1"/>
        <v>#N/A</v>
      </c>
      <c r="G709" t="e">
        <f ca="1"/>
        <v>#N/A</v>
      </c>
      <c r="H709" t="e">
        <f ca="1"/>
        <v>#N/A</v>
      </c>
      <c r="I709" t="e">
        <f ca="1"/>
        <v>#N/A</v>
      </c>
      <c r="J709" t="e">
        <f ca="1"/>
        <v>#N/A</v>
      </c>
      <c r="K709" s="49" t="e">
        <f ca="1"/>
        <v>#N/A</v>
      </c>
    </row>
    <row r="710" spans="1:11" x14ac:dyDescent="0.25">
      <c r="A710" s="2" t="e">
        <f ca="1"/>
        <v>#N/A</v>
      </c>
      <c r="C710" t="e">
        <f ca="1"/>
        <v>#N/A</v>
      </c>
      <c r="D710" t="e">
        <f ca="1"/>
        <v>#N/A</v>
      </c>
      <c r="E710" t="e">
        <f ca="1"/>
        <v>#N/A</v>
      </c>
      <c r="F710" t="e">
        <f ca="1"/>
        <v>#N/A</v>
      </c>
      <c r="G710" t="e">
        <f ca="1"/>
        <v>#N/A</v>
      </c>
      <c r="H710" t="e">
        <f ca="1"/>
        <v>#N/A</v>
      </c>
      <c r="I710" t="e">
        <f ca="1"/>
        <v>#N/A</v>
      </c>
      <c r="J710" t="e">
        <f ca="1"/>
        <v>#N/A</v>
      </c>
      <c r="K710" s="49" t="e">
        <f ca="1"/>
        <v>#N/A</v>
      </c>
    </row>
    <row r="711" spans="1:11" x14ac:dyDescent="0.25">
      <c r="A711" s="2" t="e">
        <f ca="1"/>
        <v>#N/A</v>
      </c>
      <c r="C711" t="e">
        <f ca="1"/>
        <v>#N/A</v>
      </c>
      <c r="D711" t="e">
        <f ca="1"/>
        <v>#N/A</v>
      </c>
      <c r="E711" t="e">
        <f ca="1"/>
        <v>#N/A</v>
      </c>
      <c r="F711" t="e">
        <f ca="1"/>
        <v>#N/A</v>
      </c>
      <c r="G711" t="e">
        <f ca="1"/>
        <v>#N/A</v>
      </c>
      <c r="H711" t="e">
        <f ca="1"/>
        <v>#N/A</v>
      </c>
      <c r="I711" t="e">
        <f ca="1"/>
        <v>#N/A</v>
      </c>
      <c r="J711" t="e">
        <f ca="1"/>
        <v>#N/A</v>
      </c>
      <c r="K711" s="49" t="e">
        <f ca="1"/>
        <v>#N/A</v>
      </c>
    </row>
    <row r="712" spans="1:11" x14ac:dyDescent="0.25">
      <c r="A712" s="2" t="e">
        <f ca="1"/>
        <v>#N/A</v>
      </c>
      <c r="C712" t="e">
        <f ca="1"/>
        <v>#N/A</v>
      </c>
      <c r="D712" t="e">
        <f ca="1"/>
        <v>#N/A</v>
      </c>
      <c r="E712" t="e">
        <f ca="1"/>
        <v>#N/A</v>
      </c>
      <c r="F712" t="e">
        <f ca="1"/>
        <v>#N/A</v>
      </c>
      <c r="G712" t="e">
        <f ca="1"/>
        <v>#N/A</v>
      </c>
      <c r="H712" t="e">
        <f ca="1"/>
        <v>#N/A</v>
      </c>
      <c r="I712" t="e">
        <f ca="1"/>
        <v>#N/A</v>
      </c>
      <c r="J712" t="e">
        <f ca="1"/>
        <v>#N/A</v>
      </c>
      <c r="K712" s="49" t="e">
        <f ca="1"/>
        <v>#N/A</v>
      </c>
    </row>
    <row r="713" spans="1:11" x14ac:dyDescent="0.25">
      <c r="A713" s="2" t="e">
        <f ca="1"/>
        <v>#N/A</v>
      </c>
      <c r="C713" t="e">
        <f ca="1"/>
        <v>#N/A</v>
      </c>
      <c r="D713" t="e">
        <f ca="1"/>
        <v>#N/A</v>
      </c>
      <c r="E713" t="e">
        <f ca="1"/>
        <v>#N/A</v>
      </c>
      <c r="F713" t="e">
        <f ca="1"/>
        <v>#N/A</v>
      </c>
      <c r="G713" t="e">
        <f ca="1"/>
        <v>#N/A</v>
      </c>
      <c r="H713" t="e">
        <f ca="1"/>
        <v>#N/A</v>
      </c>
      <c r="I713" t="e">
        <f ca="1"/>
        <v>#N/A</v>
      </c>
      <c r="J713" t="e">
        <f ca="1"/>
        <v>#N/A</v>
      </c>
      <c r="K713" s="49" t="e">
        <f ca="1"/>
        <v>#N/A</v>
      </c>
    </row>
    <row r="714" spans="1:11" x14ac:dyDescent="0.25">
      <c r="A714" s="2" t="e">
        <f ca="1"/>
        <v>#N/A</v>
      </c>
      <c r="C714" t="e">
        <f ca="1"/>
        <v>#N/A</v>
      </c>
      <c r="D714" t="e">
        <f ca="1"/>
        <v>#N/A</v>
      </c>
      <c r="E714" t="e">
        <f ca="1"/>
        <v>#N/A</v>
      </c>
      <c r="F714" t="e">
        <f ca="1"/>
        <v>#N/A</v>
      </c>
      <c r="G714" t="e">
        <f ca="1"/>
        <v>#N/A</v>
      </c>
      <c r="H714" t="e">
        <f ca="1"/>
        <v>#N/A</v>
      </c>
      <c r="I714" t="e">
        <f ca="1"/>
        <v>#N/A</v>
      </c>
      <c r="J714" t="e">
        <f ca="1"/>
        <v>#N/A</v>
      </c>
      <c r="K714" s="49" t="e">
        <f ca="1"/>
        <v>#N/A</v>
      </c>
    </row>
    <row r="715" spans="1:11" x14ac:dyDescent="0.25">
      <c r="A715" s="2" t="e">
        <f ca="1"/>
        <v>#N/A</v>
      </c>
      <c r="C715" t="e">
        <f ca="1"/>
        <v>#N/A</v>
      </c>
      <c r="D715" t="e">
        <f ca="1"/>
        <v>#N/A</v>
      </c>
      <c r="E715" t="e">
        <f ca="1"/>
        <v>#N/A</v>
      </c>
      <c r="F715" t="e">
        <f ca="1"/>
        <v>#N/A</v>
      </c>
      <c r="G715" t="e">
        <f ca="1"/>
        <v>#N/A</v>
      </c>
      <c r="H715" t="e">
        <f ca="1"/>
        <v>#N/A</v>
      </c>
      <c r="I715" t="e">
        <f ca="1"/>
        <v>#N/A</v>
      </c>
      <c r="J715" t="e">
        <f ca="1"/>
        <v>#N/A</v>
      </c>
      <c r="K715" s="49" t="e">
        <f ca="1"/>
        <v>#N/A</v>
      </c>
    </row>
    <row r="716" spans="1:11" x14ac:dyDescent="0.25">
      <c r="A716" s="2" t="e">
        <f ca="1"/>
        <v>#N/A</v>
      </c>
      <c r="C716" t="e">
        <f ca="1"/>
        <v>#N/A</v>
      </c>
      <c r="D716" t="e">
        <f ca="1"/>
        <v>#N/A</v>
      </c>
      <c r="E716" t="e">
        <f ca="1"/>
        <v>#N/A</v>
      </c>
      <c r="F716" t="e">
        <f ca="1"/>
        <v>#N/A</v>
      </c>
      <c r="G716" t="e">
        <f ca="1"/>
        <v>#N/A</v>
      </c>
      <c r="H716" t="e">
        <f ca="1"/>
        <v>#N/A</v>
      </c>
      <c r="I716" t="e">
        <f ca="1"/>
        <v>#N/A</v>
      </c>
      <c r="J716" t="e">
        <f ca="1"/>
        <v>#N/A</v>
      </c>
      <c r="K716" s="49" t="e">
        <f ca="1"/>
        <v>#N/A</v>
      </c>
    </row>
    <row r="717" spans="1:11" x14ac:dyDescent="0.25">
      <c r="A717" s="2" t="e">
        <f ca="1"/>
        <v>#N/A</v>
      </c>
      <c r="C717" t="e">
        <f ca="1"/>
        <v>#N/A</v>
      </c>
      <c r="D717" t="e">
        <f ca="1"/>
        <v>#N/A</v>
      </c>
      <c r="E717" t="e">
        <f ca="1"/>
        <v>#N/A</v>
      </c>
      <c r="F717" t="e">
        <f ca="1"/>
        <v>#N/A</v>
      </c>
      <c r="G717" t="e">
        <f ca="1"/>
        <v>#N/A</v>
      </c>
      <c r="H717" t="e">
        <f ca="1"/>
        <v>#N/A</v>
      </c>
      <c r="I717" t="e">
        <f ca="1"/>
        <v>#N/A</v>
      </c>
      <c r="J717" t="e">
        <f ca="1"/>
        <v>#N/A</v>
      </c>
      <c r="K717" s="49" t="e">
        <f ca="1"/>
        <v>#N/A</v>
      </c>
    </row>
    <row r="718" spans="1:11" x14ac:dyDescent="0.25">
      <c r="A718" s="2" t="e">
        <f ca="1"/>
        <v>#N/A</v>
      </c>
      <c r="C718" t="e">
        <f ca="1"/>
        <v>#N/A</v>
      </c>
      <c r="D718" t="e">
        <f ca="1"/>
        <v>#N/A</v>
      </c>
      <c r="E718" t="e">
        <f ca="1"/>
        <v>#N/A</v>
      </c>
      <c r="F718" t="e">
        <f ca="1"/>
        <v>#N/A</v>
      </c>
      <c r="G718" t="e">
        <f ca="1"/>
        <v>#N/A</v>
      </c>
      <c r="H718" t="e">
        <f ca="1"/>
        <v>#N/A</v>
      </c>
      <c r="I718" t="e">
        <f ca="1"/>
        <v>#N/A</v>
      </c>
      <c r="J718" t="e">
        <f ca="1"/>
        <v>#N/A</v>
      </c>
      <c r="K718" s="49" t="e">
        <f ca="1"/>
        <v>#N/A</v>
      </c>
    </row>
    <row r="719" spans="1:11" x14ac:dyDescent="0.25">
      <c r="A719" s="2" t="e">
        <f ca="1"/>
        <v>#N/A</v>
      </c>
      <c r="C719" t="e">
        <f ca="1"/>
        <v>#N/A</v>
      </c>
      <c r="D719" t="e">
        <f ca="1"/>
        <v>#N/A</v>
      </c>
      <c r="E719" t="e">
        <f ca="1"/>
        <v>#N/A</v>
      </c>
      <c r="F719" t="e">
        <f ca="1"/>
        <v>#N/A</v>
      </c>
      <c r="G719" t="e">
        <f ca="1"/>
        <v>#N/A</v>
      </c>
      <c r="H719" t="e">
        <f ca="1"/>
        <v>#N/A</v>
      </c>
      <c r="I719" t="e">
        <f ca="1"/>
        <v>#N/A</v>
      </c>
      <c r="J719" t="e">
        <f ca="1"/>
        <v>#N/A</v>
      </c>
      <c r="K719" s="49" t="e">
        <f ca="1"/>
        <v>#N/A</v>
      </c>
    </row>
    <row r="720" spans="1:11" x14ac:dyDescent="0.25">
      <c r="A720" s="2" t="e">
        <f ca="1"/>
        <v>#N/A</v>
      </c>
      <c r="C720" t="e">
        <f ca="1"/>
        <v>#N/A</v>
      </c>
      <c r="D720" t="e">
        <f ca="1"/>
        <v>#N/A</v>
      </c>
      <c r="E720" t="e">
        <f ca="1"/>
        <v>#N/A</v>
      </c>
      <c r="F720" t="e">
        <f ca="1"/>
        <v>#N/A</v>
      </c>
      <c r="G720" t="e">
        <f ca="1"/>
        <v>#N/A</v>
      </c>
      <c r="H720" t="e">
        <f ca="1"/>
        <v>#N/A</v>
      </c>
      <c r="I720" t="e">
        <f ca="1"/>
        <v>#N/A</v>
      </c>
      <c r="J720" t="e">
        <f ca="1"/>
        <v>#N/A</v>
      </c>
      <c r="K720" s="49" t="e">
        <f ca="1"/>
        <v>#N/A</v>
      </c>
    </row>
    <row r="721" spans="1:11" x14ac:dyDescent="0.25">
      <c r="A721" s="2" t="e">
        <f ca="1"/>
        <v>#N/A</v>
      </c>
      <c r="C721" t="e">
        <f ca="1"/>
        <v>#N/A</v>
      </c>
      <c r="D721" t="e">
        <f ca="1"/>
        <v>#N/A</v>
      </c>
      <c r="E721" t="e">
        <f ca="1"/>
        <v>#N/A</v>
      </c>
      <c r="F721" t="e">
        <f ca="1"/>
        <v>#N/A</v>
      </c>
      <c r="G721" t="e">
        <f ca="1"/>
        <v>#N/A</v>
      </c>
      <c r="H721" t="e">
        <f ca="1"/>
        <v>#N/A</v>
      </c>
      <c r="I721" t="e">
        <f ca="1"/>
        <v>#N/A</v>
      </c>
      <c r="J721" t="e">
        <f ca="1"/>
        <v>#N/A</v>
      </c>
      <c r="K721" s="49" t="e">
        <f ca="1"/>
        <v>#N/A</v>
      </c>
    </row>
    <row r="722" spans="1:11" x14ac:dyDescent="0.25">
      <c r="A722" s="2" t="e">
        <f ca="1"/>
        <v>#N/A</v>
      </c>
      <c r="C722" t="e">
        <f ca="1"/>
        <v>#N/A</v>
      </c>
      <c r="D722" t="e">
        <f ca="1"/>
        <v>#N/A</v>
      </c>
      <c r="E722" t="e">
        <f ca="1"/>
        <v>#N/A</v>
      </c>
      <c r="F722" t="e">
        <f ca="1"/>
        <v>#N/A</v>
      </c>
      <c r="G722" t="e">
        <f ca="1"/>
        <v>#N/A</v>
      </c>
      <c r="H722" t="e">
        <f ca="1"/>
        <v>#N/A</v>
      </c>
      <c r="I722" t="e">
        <f ca="1"/>
        <v>#N/A</v>
      </c>
      <c r="J722" t="e">
        <f ca="1"/>
        <v>#N/A</v>
      </c>
      <c r="K722" s="49" t="e">
        <f ca="1"/>
        <v>#N/A</v>
      </c>
    </row>
    <row r="723" spans="1:11" x14ac:dyDescent="0.25">
      <c r="A723" s="2" t="e">
        <f ca="1"/>
        <v>#N/A</v>
      </c>
      <c r="C723" t="e">
        <f ca="1"/>
        <v>#N/A</v>
      </c>
      <c r="D723" t="e">
        <f ca="1"/>
        <v>#N/A</v>
      </c>
      <c r="E723" t="e">
        <f ca="1"/>
        <v>#N/A</v>
      </c>
      <c r="F723" t="e">
        <f ca="1"/>
        <v>#N/A</v>
      </c>
      <c r="G723" t="e">
        <f ca="1"/>
        <v>#N/A</v>
      </c>
      <c r="H723" t="e">
        <f ca="1"/>
        <v>#N/A</v>
      </c>
      <c r="I723" t="e">
        <f ca="1"/>
        <v>#N/A</v>
      </c>
      <c r="J723" t="e">
        <f ca="1"/>
        <v>#N/A</v>
      </c>
      <c r="K723" s="49" t="e">
        <f ca="1"/>
        <v>#N/A</v>
      </c>
    </row>
    <row r="724" spans="1:11" x14ac:dyDescent="0.25">
      <c r="A724" s="2" t="e">
        <f ca="1"/>
        <v>#N/A</v>
      </c>
      <c r="C724" t="e">
        <f ca="1"/>
        <v>#N/A</v>
      </c>
      <c r="D724" t="e">
        <f ca="1"/>
        <v>#N/A</v>
      </c>
      <c r="E724" t="e">
        <f ca="1"/>
        <v>#N/A</v>
      </c>
      <c r="F724" t="e">
        <f ca="1"/>
        <v>#N/A</v>
      </c>
      <c r="G724" t="e">
        <f ca="1"/>
        <v>#N/A</v>
      </c>
      <c r="H724" t="e">
        <f ca="1"/>
        <v>#N/A</v>
      </c>
      <c r="I724" t="e">
        <f ca="1"/>
        <v>#N/A</v>
      </c>
      <c r="J724" t="e">
        <f ca="1"/>
        <v>#N/A</v>
      </c>
      <c r="K724" s="49" t="e">
        <f ca="1"/>
        <v>#N/A</v>
      </c>
    </row>
    <row r="725" spans="1:11" x14ac:dyDescent="0.25">
      <c r="A725" s="2" t="e">
        <f ca="1"/>
        <v>#N/A</v>
      </c>
      <c r="C725" t="e">
        <f ca="1"/>
        <v>#N/A</v>
      </c>
      <c r="D725" t="e">
        <f ca="1"/>
        <v>#N/A</v>
      </c>
      <c r="E725" t="e">
        <f ca="1"/>
        <v>#N/A</v>
      </c>
      <c r="F725" t="e">
        <f ca="1"/>
        <v>#N/A</v>
      </c>
      <c r="G725" t="e">
        <f ca="1"/>
        <v>#N/A</v>
      </c>
      <c r="H725" t="e">
        <f ca="1"/>
        <v>#N/A</v>
      </c>
      <c r="I725" t="e">
        <f ca="1"/>
        <v>#N/A</v>
      </c>
      <c r="J725" t="e">
        <f ca="1"/>
        <v>#N/A</v>
      </c>
      <c r="K725" s="49" t="e">
        <f ca="1"/>
        <v>#N/A</v>
      </c>
    </row>
    <row r="726" spans="1:11" x14ac:dyDescent="0.25">
      <c r="A726" s="2" t="e">
        <f ca="1"/>
        <v>#N/A</v>
      </c>
      <c r="C726" t="e">
        <f ca="1"/>
        <v>#N/A</v>
      </c>
      <c r="D726" t="e">
        <f ca="1"/>
        <v>#N/A</v>
      </c>
      <c r="E726" t="e">
        <f ca="1"/>
        <v>#N/A</v>
      </c>
      <c r="F726" t="e">
        <f ca="1"/>
        <v>#N/A</v>
      </c>
      <c r="G726" t="e">
        <f ca="1"/>
        <v>#N/A</v>
      </c>
      <c r="H726" t="e">
        <f ca="1"/>
        <v>#N/A</v>
      </c>
      <c r="I726" t="e">
        <f ca="1"/>
        <v>#N/A</v>
      </c>
      <c r="J726" t="e">
        <f ca="1"/>
        <v>#N/A</v>
      </c>
      <c r="K726" s="49" t="e">
        <f ca="1"/>
        <v>#N/A</v>
      </c>
    </row>
    <row r="727" spans="1:11" x14ac:dyDescent="0.25">
      <c r="A727" s="2" t="e">
        <f ca="1"/>
        <v>#N/A</v>
      </c>
      <c r="C727" t="e">
        <f ca="1"/>
        <v>#N/A</v>
      </c>
      <c r="D727" t="e">
        <f ca="1"/>
        <v>#N/A</v>
      </c>
      <c r="E727" t="e">
        <f ca="1"/>
        <v>#N/A</v>
      </c>
      <c r="F727" t="e">
        <f ca="1"/>
        <v>#N/A</v>
      </c>
      <c r="G727" t="e">
        <f ca="1"/>
        <v>#N/A</v>
      </c>
      <c r="H727" t="e">
        <f ca="1"/>
        <v>#N/A</v>
      </c>
      <c r="I727" t="e">
        <f ca="1"/>
        <v>#N/A</v>
      </c>
      <c r="J727" t="e">
        <f ca="1"/>
        <v>#N/A</v>
      </c>
      <c r="K727" s="49" t="e">
        <f ca="1"/>
        <v>#N/A</v>
      </c>
    </row>
    <row r="728" spans="1:11" x14ac:dyDescent="0.25">
      <c r="A728" s="2" t="e">
        <f ca="1"/>
        <v>#N/A</v>
      </c>
      <c r="C728" t="e">
        <f ca="1"/>
        <v>#N/A</v>
      </c>
      <c r="D728" t="e">
        <f ca="1"/>
        <v>#N/A</v>
      </c>
      <c r="E728" t="e">
        <f ca="1"/>
        <v>#N/A</v>
      </c>
      <c r="F728" t="e">
        <f ca="1"/>
        <v>#N/A</v>
      </c>
      <c r="G728" t="e">
        <f ca="1"/>
        <v>#N/A</v>
      </c>
      <c r="H728" t="e">
        <f ca="1"/>
        <v>#N/A</v>
      </c>
      <c r="I728" t="e">
        <f ca="1"/>
        <v>#N/A</v>
      </c>
      <c r="J728" t="e">
        <f ca="1"/>
        <v>#N/A</v>
      </c>
      <c r="K728" s="49" t="e">
        <f ca="1"/>
        <v>#N/A</v>
      </c>
    </row>
    <row r="729" spans="1:11" x14ac:dyDescent="0.25">
      <c r="A729" s="2" t="e">
        <f ca="1"/>
        <v>#N/A</v>
      </c>
      <c r="C729" t="e">
        <f ca="1"/>
        <v>#N/A</v>
      </c>
      <c r="D729" t="e">
        <f ca="1"/>
        <v>#N/A</v>
      </c>
      <c r="E729" t="e">
        <f ca="1"/>
        <v>#N/A</v>
      </c>
      <c r="F729" t="e">
        <f ca="1"/>
        <v>#N/A</v>
      </c>
      <c r="G729" t="e">
        <f ca="1"/>
        <v>#N/A</v>
      </c>
      <c r="H729" t="e">
        <f ca="1"/>
        <v>#N/A</v>
      </c>
      <c r="I729" t="e">
        <f ca="1"/>
        <v>#N/A</v>
      </c>
      <c r="J729" t="e">
        <f ca="1"/>
        <v>#N/A</v>
      </c>
      <c r="K729" s="49" t="e">
        <f ca="1"/>
        <v>#N/A</v>
      </c>
    </row>
    <row r="730" spans="1:11" x14ac:dyDescent="0.25">
      <c r="A730" s="2" t="e">
        <f ca="1"/>
        <v>#N/A</v>
      </c>
      <c r="C730" t="e">
        <f ca="1"/>
        <v>#N/A</v>
      </c>
      <c r="D730" t="e">
        <f ca="1"/>
        <v>#N/A</v>
      </c>
      <c r="E730" t="e">
        <f ca="1"/>
        <v>#N/A</v>
      </c>
      <c r="F730" t="e">
        <f ca="1"/>
        <v>#N/A</v>
      </c>
      <c r="G730" t="e">
        <f ca="1"/>
        <v>#N/A</v>
      </c>
      <c r="H730" t="e">
        <f ca="1"/>
        <v>#N/A</v>
      </c>
      <c r="I730" t="e">
        <f ca="1"/>
        <v>#N/A</v>
      </c>
      <c r="J730" t="e">
        <f ca="1"/>
        <v>#N/A</v>
      </c>
      <c r="K730" s="49" t="e">
        <f ca="1"/>
        <v>#N/A</v>
      </c>
    </row>
    <row r="731" spans="1:11" x14ac:dyDescent="0.25">
      <c r="A731" s="2" t="e">
        <f ca="1"/>
        <v>#N/A</v>
      </c>
      <c r="C731" t="e">
        <f ca="1"/>
        <v>#N/A</v>
      </c>
      <c r="D731" t="e">
        <f ca="1"/>
        <v>#N/A</v>
      </c>
      <c r="E731" t="e">
        <f ca="1"/>
        <v>#N/A</v>
      </c>
      <c r="F731" t="e">
        <f ca="1"/>
        <v>#N/A</v>
      </c>
      <c r="G731" t="e">
        <f ca="1"/>
        <v>#N/A</v>
      </c>
      <c r="H731" t="e">
        <f ca="1"/>
        <v>#N/A</v>
      </c>
      <c r="I731" t="e">
        <f ca="1"/>
        <v>#N/A</v>
      </c>
      <c r="J731" t="e">
        <f ca="1"/>
        <v>#N/A</v>
      </c>
      <c r="K731" s="49" t="e">
        <f ca="1"/>
        <v>#N/A</v>
      </c>
    </row>
    <row r="732" spans="1:11" x14ac:dyDescent="0.25">
      <c r="A732" s="2" t="e">
        <f ca="1"/>
        <v>#N/A</v>
      </c>
      <c r="C732" t="e">
        <f ca="1"/>
        <v>#N/A</v>
      </c>
      <c r="D732" t="e">
        <f ca="1"/>
        <v>#N/A</v>
      </c>
      <c r="E732" t="e">
        <f ca="1"/>
        <v>#N/A</v>
      </c>
      <c r="F732" t="e">
        <f ca="1"/>
        <v>#N/A</v>
      </c>
      <c r="G732" t="e">
        <f ca="1"/>
        <v>#N/A</v>
      </c>
      <c r="H732" t="e">
        <f ca="1"/>
        <v>#N/A</v>
      </c>
      <c r="I732" t="e">
        <f ca="1"/>
        <v>#N/A</v>
      </c>
      <c r="J732" t="e">
        <f ca="1"/>
        <v>#N/A</v>
      </c>
      <c r="K732" s="49" t="e">
        <f ca="1"/>
        <v>#N/A</v>
      </c>
    </row>
    <row r="733" spans="1:11" x14ac:dyDescent="0.25">
      <c r="A733" s="2" t="e">
        <f ca="1"/>
        <v>#N/A</v>
      </c>
      <c r="C733" t="e">
        <f ca="1"/>
        <v>#N/A</v>
      </c>
      <c r="D733" t="e">
        <f ca="1"/>
        <v>#N/A</v>
      </c>
      <c r="E733" t="e">
        <f ca="1"/>
        <v>#N/A</v>
      </c>
      <c r="F733" t="e">
        <f ca="1"/>
        <v>#N/A</v>
      </c>
      <c r="G733" t="e">
        <f ca="1"/>
        <v>#N/A</v>
      </c>
      <c r="H733" t="e">
        <f ca="1"/>
        <v>#N/A</v>
      </c>
      <c r="I733" t="e">
        <f ca="1"/>
        <v>#N/A</v>
      </c>
      <c r="J733" t="e">
        <f ca="1"/>
        <v>#N/A</v>
      </c>
      <c r="K733" s="49" t="e">
        <f ca="1"/>
        <v>#N/A</v>
      </c>
    </row>
    <row r="734" spans="1:11" x14ac:dyDescent="0.25">
      <c r="A734" s="2" t="e">
        <f ca="1"/>
        <v>#N/A</v>
      </c>
      <c r="C734" t="e">
        <f ca="1"/>
        <v>#N/A</v>
      </c>
      <c r="D734" t="e">
        <f ca="1"/>
        <v>#N/A</v>
      </c>
      <c r="E734" t="e">
        <f ca="1"/>
        <v>#N/A</v>
      </c>
      <c r="F734" t="e">
        <f ca="1"/>
        <v>#N/A</v>
      </c>
      <c r="G734" t="e">
        <f ca="1"/>
        <v>#N/A</v>
      </c>
      <c r="H734" t="e">
        <f ca="1"/>
        <v>#N/A</v>
      </c>
      <c r="I734" t="e">
        <f ca="1"/>
        <v>#N/A</v>
      </c>
      <c r="J734" t="e">
        <f ca="1"/>
        <v>#N/A</v>
      </c>
      <c r="K734" s="49" t="e">
        <f ca="1"/>
        <v>#N/A</v>
      </c>
    </row>
    <row r="735" spans="1:11" x14ac:dyDescent="0.25">
      <c r="A735" s="2" t="e">
        <f ca="1"/>
        <v>#N/A</v>
      </c>
      <c r="C735" t="e">
        <f ca="1"/>
        <v>#N/A</v>
      </c>
      <c r="D735" t="e">
        <f ca="1"/>
        <v>#N/A</v>
      </c>
      <c r="E735" t="e">
        <f ca="1"/>
        <v>#N/A</v>
      </c>
      <c r="F735" t="e">
        <f ca="1"/>
        <v>#N/A</v>
      </c>
      <c r="G735" t="e">
        <f ca="1"/>
        <v>#N/A</v>
      </c>
      <c r="H735" t="e">
        <f ca="1"/>
        <v>#N/A</v>
      </c>
      <c r="I735" t="e">
        <f ca="1"/>
        <v>#N/A</v>
      </c>
      <c r="J735" t="e">
        <f ca="1"/>
        <v>#N/A</v>
      </c>
      <c r="K735" s="49" t="e">
        <f ca="1"/>
        <v>#N/A</v>
      </c>
    </row>
    <row r="736" spans="1:11" x14ac:dyDescent="0.25">
      <c r="A736" s="2" t="e">
        <f ca="1"/>
        <v>#N/A</v>
      </c>
      <c r="C736" t="e">
        <f ca="1"/>
        <v>#N/A</v>
      </c>
      <c r="D736" t="e">
        <f ca="1"/>
        <v>#N/A</v>
      </c>
      <c r="E736" t="e">
        <f ca="1"/>
        <v>#N/A</v>
      </c>
      <c r="F736" t="e">
        <f ca="1"/>
        <v>#N/A</v>
      </c>
      <c r="G736" t="e">
        <f ca="1"/>
        <v>#N/A</v>
      </c>
      <c r="H736" t="e">
        <f ca="1"/>
        <v>#N/A</v>
      </c>
      <c r="I736" t="e">
        <f ca="1"/>
        <v>#N/A</v>
      </c>
      <c r="J736" t="e">
        <f ca="1"/>
        <v>#N/A</v>
      </c>
      <c r="K736" s="49" t="e">
        <f ca="1"/>
        <v>#N/A</v>
      </c>
    </row>
    <row r="737" spans="1:11" x14ac:dyDescent="0.25">
      <c r="A737" s="2" t="e">
        <f ca="1"/>
        <v>#N/A</v>
      </c>
      <c r="C737" t="e">
        <f ca="1"/>
        <v>#N/A</v>
      </c>
      <c r="D737" t="e">
        <f ca="1"/>
        <v>#N/A</v>
      </c>
      <c r="E737" t="e">
        <f ca="1"/>
        <v>#N/A</v>
      </c>
      <c r="F737" t="e">
        <f ca="1"/>
        <v>#N/A</v>
      </c>
      <c r="G737" t="e">
        <f ca="1"/>
        <v>#N/A</v>
      </c>
      <c r="H737" t="e">
        <f ca="1"/>
        <v>#N/A</v>
      </c>
      <c r="I737" t="e">
        <f ca="1"/>
        <v>#N/A</v>
      </c>
      <c r="J737" t="e">
        <f ca="1"/>
        <v>#N/A</v>
      </c>
      <c r="K737" s="49" t="e">
        <f ca="1"/>
        <v>#N/A</v>
      </c>
    </row>
    <row r="738" spans="1:11" x14ac:dyDescent="0.25">
      <c r="A738" s="2" t="e">
        <f ca="1"/>
        <v>#N/A</v>
      </c>
      <c r="C738" t="e">
        <f ca="1"/>
        <v>#N/A</v>
      </c>
      <c r="D738" t="e">
        <f ca="1"/>
        <v>#N/A</v>
      </c>
      <c r="E738" t="e">
        <f ca="1"/>
        <v>#N/A</v>
      </c>
      <c r="F738" t="e">
        <f ca="1"/>
        <v>#N/A</v>
      </c>
      <c r="G738" t="e">
        <f ca="1"/>
        <v>#N/A</v>
      </c>
      <c r="H738" t="e">
        <f ca="1"/>
        <v>#N/A</v>
      </c>
      <c r="I738" t="e">
        <f ca="1"/>
        <v>#N/A</v>
      </c>
      <c r="J738" t="e">
        <f ca="1"/>
        <v>#N/A</v>
      </c>
      <c r="K738" s="49" t="e">
        <f ca="1"/>
        <v>#N/A</v>
      </c>
    </row>
    <row r="739" spans="1:11" x14ac:dyDescent="0.25">
      <c r="A739" s="2" t="e">
        <f ca="1"/>
        <v>#N/A</v>
      </c>
      <c r="C739" t="e">
        <f ca="1"/>
        <v>#N/A</v>
      </c>
      <c r="D739" t="e">
        <f ca="1"/>
        <v>#N/A</v>
      </c>
      <c r="E739" t="e">
        <f ca="1"/>
        <v>#N/A</v>
      </c>
      <c r="F739" t="e">
        <f ca="1"/>
        <v>#N/A</v>
      </c>
      <c r="G739" t="e">
        <f ca="1"/>
        <v>#N/A</v>
      </c>
      <c r="H739" t="e">
        <f ca="1"/>
        <v>#N/A</v>
      </c>
      <c r="I739" t="e">
        <f ca="1"/>
        <v>#N/A</v>
      </c>
      <c r="J739" t="e">
        <f ca="1"/>
        <v>#N/A</v>
      </c>
      <c r="K739" s="49" t="e">
        <f ca="1"/>
        <v>#N/A</v>
      </c>
    </row>
    <row r="740" spans="1:11" x14ac:dyDescent="0.25">
      <c r="A740" s="2" t="e">
        <f ca="1"/>
        <v>#N/A</v>
      </c>
      <c r="C740" t="e">
        <f ca="1"/>
        <v>#N/A</v>
      </c>
      <c r="D740" t="e">
        <f ca="1"/>
        <v>#N/A</v>
      </c>
      <c r="E740" t="e">
        <f ca="1"/>
        <v>#N/A</v>
      </c>
      <c r="F740" t="e">
        <f ca="1"/>
        <v>#N/A</v>
      </c>
      <c r="G740" t="e">
        <f ca="1"/>
        <v>#N/A</v>
      </c>
      <c r="H740" t="e">
        <f ca="1"/>
        <v>#N/A</v>
      </c>
      <c r="I740" t="e">
        <f ca="1"/>
        <v>#N/A</v>
      </c>
      <c r="J740" t="e">
        <f ca="1"/>
        <v>#N/A</v>
      </c>
      <c r="K740" s="49" t="e">
        <f ca="1"/>
        <v>#N/A</v>
      </c>
    </row>
    <row r="741" spans="1:11" x14ac:dyDescent="0.25">
      <c r="A741" s="2" t="e">
        <f ca="1"/>
        <v>#N/A</v>
      </c>
      <c r="C741" t="e">
        <f ca="1"/>
        <v>#N/A</v>
      </c>
      <c r="D741" t="e">
        <f ca="1"/>
        <v>#N/A</v>
      </c>
      <c r="E741" t="e">
        <f ca="1"/>
        <v>#N/A</v>
      </c>
      <c r="F741" t="e">
        <f ca="1"/>
        <v>#N/A</v>
      </c>
      <c r="G741" t="e">
        <f ca="1"/>
        <v>#N/A</v>
      </c>
      <c r="H741" t="e">
        <f ca="1"/>
        <v>#N/A</v>
      </c>
      <c r="I741" t="e">
        <f ca="1"/>
        <v>#N/A</v>
      </c>
      <c r="J741" t="e">
        <f ca="1"/>
        <v>#N/A</v>
      </c>
      <c r="K741" s="49" t="e">
        <f ca="1"/>
        <v>#N/A</v>
      </c>
    </row>
    <row r="742" spans="1:11" x14ac:dyDescent="0.25">
      <c r="A742" s="2" t="e">
        <f ca="1"/>
        <v>#N/A</v>
      </c>
      <c r="C742" t="e">
        <f ca="1"/>
        <v>#N/A</v>
      </c>
      <c r="D742" t="e">
        <f ca="1"/>
        <v>#N/A</v>
      </c>
      <c r="E742" t="e">
        <f ca="1"/>
        <v>#N/A</v>
      </c>
      <c r="F742" t="e">
        <f ca="1"/>
        <v>#N/A</v>
      </c>
      <c r="G742" t="e">
        <f ca="1"/>
        <v>#N/A</v>
      </c>
      <c r="H742" t="e">
        <f ca="1"/>
        <v>#N/A</v>
      </c>
      <c r="I742" t="e">
        <f ca="1"/>
        <v>#N/A</v>
      </c>
      <c r="J742" t="e">
        <f ca="1"/>
        <v>#N/A</v>
      </c>
      <c r="K742" s="49" t="e">
        <f ca="1"/>
        <v>#N/A</v>
      </c>
    </row>
    <row r="743" spans="1:11" x14ac:dyDescent="0.25">
      <c r="A743" s="2" t="e">
        <f ca="1"/>
        <v>#N/A</v>
      </c>
      <c r="C743" t="e">
        <f ca="1"/>
        <v>#N/A</v>
      </c>
      <c r="D743" t="e">
        <f ca="1"/>
        <v>#N/A</v>
      </c>
      <c r="E743" t="e">
        <f ca="1"/>
        <v>#N/A</v>
      </c>
      <c r="F743" t="e">
        <f ca="1"/>
        <v>#N/A</v>
      </c>
      <c r="G743" t="e">
        <f ca="1"/>
        <v>#N/A</v>
      </c>
      <c r="H743" t="e">
        <f ca="1"/>
        <v>#N/A</v>
      </c>
      <c r="I743" t="e">
        <f ca="1"/>
        <v>#N/A</v>
      </c>
      <c r="J743" t="e">
        <f ca="1"/>
        <v>#N/A</v>
      </c>
      <c r="K743" s="49" t="e">
        <f ca="1"/>
        <v>#N/A</v>
      </c>
    </row>
    <row r="744" spans="1:11" x14ac:dyDescent="0.25">
      <c r="A744" s="2" t="e">
        <f ca="1"/>
        <v>#N/A</v>
      </c>
      <c r="C744" t="e">
        <f ca="1"/>
        <v>#N/A</v>
      </c>
      <c r="D744" t="e">
        <f ca="1"/>
        <v>#N/A</v>
      </c>
      <c r="E744" t="e">
        <f ca="1"/>
        <v>#N/A</v>
      </c>
      <c r="F744" t="e">
        <f ca="1"/>
        <v>#N/A</v>
      </c>
      <c r="G744" t="e">
        <f ca="1"/>
        <v>#N/A</v>
      </c>
      <c r="H744" t="e">
        <f ca="1"/>
        <v>#N/A</v>
      </c>
      <c r="I744" t="e">
        <f ca="1"/>
        <v>#N/A</v>
      </c>
      <c r="J744" t="e">
        <f ca="1"/>
        <v>#N/A</v>
      </c>
      <c r="K744" s="49" t="e">
        <f ca="1"/>
        <v>#N/A</v>
      </c>
    </row>
    <row r="745" spans="1:11" x14ac:dyDescent="0.25">
      <c r="A745" s="2" t="e">
        <f ca="1"/>
        <v>#N/A</v>
      </c>
      <c r="C745" t="e">
        <f ca="1"/>
        <v>#N/A</v>
      </c>
      <c r="D745" t="e">
        <f ca="1"/>
        <v>#N/A</v>
      </c>
      <c r="E745" t="e">
        <f ca="1"/>
        <v>#N/A</v>
      </c>
      <c r="F745" t="e">
        <f ca="1"/>
        <v>#N/A</v>
      </c>
      <c r="G745" t="e">
        <f ca="1"/>
        <v>#N/A</v>
      </c>
      <c r="H745" t="e">
        <f ca="1"/>
        <v>#N/A</v>
      </c>
      <c r="I745" t="e">
        <f ca="1"/>
        <v>#N/A</v>
      </c>
      <c r="J745" t="e">
        <f ca="1"/>
        <v>#N/A</v>
      </c>
      <c r="K745" s="49" t="e">
        <f ca="1"/>
        <v>#N/A</v>
      </c>
    </row>
    <row r="746" spans="1:11" x14ac:dyDescent="0.25">
      <c r="A746" s="2" t="e">
        <f ca="1"/>
        <v>#N/A</v>
      </c>
      <c r="C746" t="e">
        <f ca="1"/>
        <v>#N/A</v>
      </c>
      <c r="D746" t="e">
        <f ca="1"/>
        <v>#N/A</v>
      </c>
      <c r="E746" t="e">
        <f ca="1"/>
        <v>#N/A</v>
      </c>
      <c r="F746" t="e">
        <f ca="1"/>
        <v>#N/A</v>
      </c>
      <c r="G746" t="e">
        <f ca="1"/>
        <v>#N/A</v>
      </c>
      <c r="H746" t="e">
        <f ca="1"/>
        <v>#N/A</v>
      </c>
      <c r="I746" t="e">
        <f ca="1"/>
        <v>#N/A</v>
      </c>
      <c r="J746" t="e">
        <f ca="1"/>
        <v>#N/A</v>
      </c>
      <c r="K746" s="49" t="e">
        <f ca="1"/>
        <v>#N/A</v>
      </c>
    </row>
    <row r="747" spans="1:11" x14ac:dyDescent="0.25">
      <c r="A747" s="2" t="e">
        <f ca="1"/>
        <v>#N/A</v>
      </c>
      <c r="C747" t="e">
        <f ca="1"/>
        <v>#N/A</v>
      </c>
      <c r="D747" t="e">
        <f ca="1"/>
        <v>#N/A</v>
      </c>
      <c r="E747" t="e">
        <f ca="1"/>
        <v>#N/A</v>
      </c>
      <c r="F747" t="e">
        <f ca="1"/>
        <v>#N/A</v>
      </c>
      <c r="G747" t="e">
        <f ca="1"/>
        <v>#N/A</v>
      </c>
      <c r="H747" t="e">
        <f ca="1"/>
        <v>#N/A</v>
      </c>
      <c r="I747" t="e">
        <f ca="1"/>
        <v>#N/A</v>
      </c>
      <c r="J747" t="e">
        <f ca="1"/>
        <v>#N/A</v>
      </c>
      <c r="K747" s="49" t="e">
        <f ca="1"/>
        <v>#N/A</v>
      </c>
    </row>
    <row r="748" spans="1:11" x14ac:dyDescent="0.25">
      <c r="A748" s="2" t="e">
        <f ca="1"/>
        <v>#N/A</v>
      </c>
      <c r="C748" t="e">
        <f ca="1"/>
        <v>#N/A</v>
      </c>
      <c r="D748" t="e">
        <f ca="1"/>
        <v>#N/A</v>
      </c>
      <c r="E748" t="e">
        <f ca="1"/>
        <v>#N/A</v>
      </c>
      <c r="F748" t="e">
        <f ca="1"/>
        <v>#N/A</v>
      </c>
      <c r="G748" t="e">
        <f ca="1"/>
        <v>#N/A</v>
      </c>
      <c r="H748" t="e">
        <f ca="1"/>
        <v>#N/A</v>
      </c>
      <c r="I748" t="e">
        <f ca="1"/>
        <v>#N/A</v>
      </c>
      <c r="J748" t="e">
        <f ca="1"/>
        <v>#N/A</v>
      </c>
      <c r="K748" s="49" t="e">
        <f ca="1"/>
        <v>#N/A</v>
      </c>
    </row>
    <row r="749" spans="1:11" x14ac:dyDescent="0.25">
      <c r="A749" s="2" t="e">
        <f ca="1"/>
        <v>#N/A</v>
      </c>
      <c r="C749" t="e">
        <f ca="1"/>
        <v>#N/A</v>
      </c>
      <c r="D749" t="e">
        <f ca="1"/>
        <v>#N/A</v>
      </c>
      <c r="E749" t="e">
        <f ca="1"/>
        <v>#N/A</v>
      </c>
      <c r="F749" t="e">
        <f ca="1"/>
        <v>#N/A</v>
      </c>
      <c r="G749" t="e">
        <f ca="1"/>
        <v>#N/A</v>
      </c>
      <c r="H749" t="e">
        <f ca="1"/>
        <v>#N/A</v>
      </c>
      <c r="I749" t="e">
        <f ca="1"/>
        <v>#N/A</v>
      </c>
      <c r="J749" t="e">
        <f ca="1"/>
        <v>#N/A</v>
      </c>
      <c r="K749" s="49" t="e">
        <f ca="1"/>
        <v>#N/A</v>
      </c>
    </row>
    <row r="750" spans="1:11" x14ac:dyDescent="0.25">
      <c r="A750" s="2" t="e">
        <f ca="1"/>
        <v>#N/A</v>
      </c>
      <c r="C750" t="e">
        <f ca="1"/>
        <v>#N/A</v>
      </c>
      <c r="D750" t="e">
        <f ca="1"/>
        <v>#N/A</v>
      </c>
      <c r="E750" t="e">
        <f ca="1"/>
        <v>#N/A</v>
      </c>
      <c r="F750" t="e">
        <f ca="1"/>
        <v>#N/A</v>
      </c>
      <c r="G750" t="e">
        <f ca="1"/>
        <v>#N/A</v>
      </c>
      <c r="H750" t="e">
        <f ca="1"/>
        <v>#N/A</v>
      </c>
      <c r="I750" t="e">
        <f ca="1"/>
        <v>#N/A</v>
      </c>
      <c r="J750" t="e">
        <f ca="1"/>
        <v>#N/A</v>
      </c>
      <c r="K750" s="49" t="e">
        <f ca="1"/>
        <v>#N/A</v>
      </c>
    </row>
    <row r="751" spans="1:11" x14ac:dyDescent="0.25">
      <c r="A751" s="2" t="e">
        <f ca="1"/>
        <v>#N/A</v>
      </c>
      <c r="C751" t="e">
        <f ca="1"/>
        <v>#N/A</v>
      </c>
      <c r="D751" t="e">
        <f ca="1"/>
        <v>#N/A</v>
      </c>
      <c r="E751" t="e">
        <f ca="1"/>
        <v>#N/A</v>
      </c>
      <c r="F751" t="e">
        <f ca="1"/>
        <v>#N/A</v>
      </c>
      <c r="G751" t="e">
        <f ca="1"/>
        <v>#N/A</v>
      </c>
      <c r="H751" t="e">
        <f ca="1"/>
        <v>#N/A</v>
      </c>
      <c r="I751" t="e">
        <f ca="1"/>
        <v>#N/A</v>
      </c>
      <c r="J751" t="e">
        <f ca="1"/>
        <v>#N/A</v>
      </c>
      <c r="K751" s="49" t="e">
        <f ca="1"/>
        <v>#N/A</v>
      </c>
    </row>
    <row r="752" spans="1:11" x14ac:dyDescent="0.25">
      <c r="A752" s="2" t="e">
        <f ca="1"/>
        <v>#N/A</v>
      </c>
      <c r="C752" t="e">
        <f ca="1"/>
        <v>#N/A</v>
      </c>
      <c r="D752" t="e">
        <f ca="1"/>
        <v>#N/A</v>
      </c>
      <c r="E752" t="e">
        <f ca="1"/>
        <v>#N/A</v>
      </c>
      <c r="F752" t="e">
        <f ca="1"/>
        <v>#N/A</v>
      </c>
      <c r="G752" t="e">
        <f ca="1"/>
        <v>#N/A</v>
      </c>
      <c r="H752" t="e">
        <f ca="1"/>
        <v>#N/A</v>
      </c>
      <c r="I752" t="e">
        <f ca="1"/>
        <v>#N/A</v>
      </c>
      <c r="J752" t="e">
        <f ca="1"/>
        <v>#N/A</v>
      </c>
      <c r="K752" s="49" t="e">
        <f ca="1"/>
        <v>#N/A</v>
      </c>
    </row>
    <row r="753" spans="1:11" x14ac:dyDescent="0.25">
      <c r="A753" s="2" t="e">
        <f ca="1"/>
        <v>#N/A</v>
      </c>
      <c r="C753" t="e">
        <f ca="1"/>
        <v>#N/A</v>
      </c>
      <c r="D753" t="e">
        <f ca="1"/>
        <v>#N/A</v>
      </c>
      <c r="E753" t="e">
        <f ca="1"/>
        <v>#N/A</v>
      </c>
      <c r="F753" t="e">
        <f ca="1"/>
        <v>#N/A</v>
      </c>
      <c r="G753" t="e">
        <f ca="1"/>
        <v>#N/A</v>
      </c>
      <c r="H753" t="e">
        <f ca="1"/>
        <v>#N/A</v>
      </c>
      <c r="I753" t="e">
        <f ca="1"/>
        <v>#N/A</v>
      </c>
      <c r="J753" t="e">
        <f ca="1"/>
        <v>#N/A</v>
      </c>
      <c r="K753" s="49" t="e">
        <f ca="1"/>
        <v>#N/A</v>
      </c>
    </row>
    <row r="754" spans="1:11" x14ac:dyDescent="0.25">
      <c r="A754" s="2" t="e">
        <f ca="1"/>
        <v>#N/A</v>
      </c>
      <c r="C754" t="e">
        <f ca="1"/>
        <v>#N/A</v>
      </c>
      <c r="D754" t="e">
        <f ca="1"/>
        <v>#N/A</v>
      </c>
      <c r="E754" t="e">
        <f ca="1"/>
        <v>#N/A</v>
      </c>
      <c r="F754" t="e">
        <f ca="1"/>
        <v>#N/A</v>
      </c>
      <c r="G754" t="e">
        <f ca="1"/>
        <v>#N/A</v>
      </c>
      <c r="H754" t="e">
        <f ca="1"/>
        <v>#N/A</v>
      </c>
      <c r="I754" t="e">
        <f ca="1"/>
        <v>#N/A</v>
      </c>
      <c r="J754" t="e">
        <f ca="1"/>
        <v>#N/A</v>
      </c>
      <c r="K754" s="49" t="e">
        <f ca="1"/>
        <v>#N/A</v>
      </c>
    </row>
    <row r="755" spans="1:11" x14ac:dyDescent="0.25">
      <c r="A755" s="2" t="e">
        <f ca="1"/>
        <v>#N/A</v>
      </c>
      <c r="C755" t="e">
        <f ca="1"/>
        <v>#N/A</v>
      </c>
      <c r="D755" t="e">
        <f ca="1"/>
        <v>#N/A</v>
      </c>
      <c r="E755" t="e">
        <f ca="1"/>
        <v>#N/A</v>
      </c>
      <c r="F755" t="e">
        <f ca="1"/>
        <v>#N/A</v>
      </c>
      <c r="G755" t="e">
        <f ca="1"/>
        <v>#N/A</v>
      </c>
      <c r="H755" t="e">
        <f ca="1"/>
        <v>#N/A</v>
      </c>
      <c r="I755" t="e">
        <f ca="1"/>
        <v>#N/A</v>
      </c>
      <c r="J755" t="e">
        <f ca="1"/>
        <v>#N/A</v>
      </c>
      <c r="K755" s="49" t="e">
        <f ca="1"/>
        <v>#N/A</v>
      </c>
    </row>
    <row r="756" spans="1:11" x14ac:dyDescent="0.25">
      <c r="A756" s="2" t="e">
        <f ca="1"/>
        <v>#N/A</v>
      </c>
      <c r="C756" t="e">
        <f ca="1"/>
        <v>#N/A</v>
      </c>
      <c r="D756" t="e">
        <f ca="1"/>
        <v>#N/A</v>
      </c>
      <c r="E756" t="e">
        <f ca="1"/>
        <v>#N/A</v>
      </c>
      <c r="F756" t="e">
        <f ca="1"/>
        <v>#N/A</v>
      </c>
      <c r="G756" t="e">
        <f ca="1"/>
        <v>#N/A</v>
      </c>
      <c r="H756" t="e">
        <f ca="1"/>
        <v>#N/A</v>
      </c>
      <c r="I756" t="e">
        <f ca="1"/>
        <v>#N/A</v>
      </c>
      <c r="J756" t="e">
        <f ca="1"/>
        <v>#N/A</v>
      </c>
      <c r="K756" s="49" t="e">
        <f ca="1"/>
        <v>#N/A</v>
      </c>
    </row>
    <row r="757" spans="1:11" x14ac:dyDescent="0.25">
      <c r="A757" s="2" t="e">
        <f ca="1"/>
        <v>#N/A</v>
      </c>
      <c r="C757" t="e">
        <f ca="1"/>
        <v>#N/A</v>
      </c>
      <c r="D757" t="e">
        <f ca="1"/>
        <v>#N/A</v>
      </c>
      <c r="E757" t="e">
        <f ca="1"/>
        <v>#N/A</v>
      </c>
      <c r="F757" t="e">
        <f ca="1"/>
        <v>#N/A</v>
      </c>
      <c r="G757" t="e">
        <f ca="1"/>
        <v>#N/A</v>
      </c>
      <c r="H757" t="e">
        <f ca="1"/>
        <v>#N/A</v>
      </c>
      <c r="I757" t="e">
        <f ca="1"/>
        <v>#N/A</v>
      </c>
      <c r="J757" t="e">
        <f ca="1"/>
        <v>#N/A</v>
      </c>
      <c r="K757" s="49" t="e">
        <f ca="1"/>
        <v>#N/A</v>
      </c>
    </row>
    <row r="758" spans="1:11" x14ac:dyDescent="0.25">
      <c r="A758" s="2" t="e">
        <f ca="1"/>
        <v>#N/A</v>
      </c>
      <c r="C758" t="e">
        <f ca="1"/>
        <v>#N/A</v>
      </c>
      <c r="D758" t="e">
        <f ca="1"/>
        <v>#N/A</v>
      </c>
      <c r="E758" t="e">
        <f ca="1"/>
        <v>#N/A</v>
      </c>
      <c r="F758" t="e">
        <f ca="1"/>
        <v>#N/A</v>
      </c>
      <c r="G758" t="e">
        <f ca="1"/>
        <v>#N/A</v>
      </c>
      <c r="H758" t="e">
        <f ca="1"/>
        <v>#N/A</v>
      </c>
      <c r="I758" t="e">
        <f ca="1"/>
        <v>#N/A</v>
      </c>
      <c r="J758" t="e">
        <f ca="1"/>
        <v>#N/A</v>
      </c>
      <c r="K758" s="49" t="e">
        <f ca="1"/>
        <v>#N/A</v>
      </c>
    </row>
    <row r="759" spans="1:11" x14ac:dyDescent="0.25">
      <c r="A759" s="2" t="e">
        <f ca="1"/>
        <v>#N/A</v>
      </c>
      <c r="C759" t="e">
        <f ca="1"/>
        <v>#N/A</v>
      </c>
      <c r="D759" t="e">
        <f ca="1"/>
        <v>#N/A</v>
      </c>
      <c r="E759" t="e">
        <f ca="1"/>
        <v>#N/A</v>
      </c>
      <c r="F759" t="e">
        <f ca="1"/>
        <v>#N/A</v>
      </c>
      <c r="G759" t="e">
        <f ca="1"/>
        <v>#N/A</v>
      </c>
      <c r="H759" t="e">
        <f ca="1"/>
        <v>#N/A</v>
      </c>
      <c r="I759" t="e">
        <f ca="1"/>
        <v>#N/A</v>
      </c>
      <c r="J759" t="e">
        <f ca="1"/>
        <v>#N/A</v>
      </c>
      <c r="K759" s="49" t="e">
        <f ca="1"/>
        <v>#N/A</v>
      </c>
    </row>
    <row r="760" spans="1:11" x14ac:dyDescent="0.25">
      <c r="A760" s="2" t="e">
        <f ca="1"/>
        <v>#N/A</v>
      </c>
      <c r="C760" t="e">
        <f ca="1"/>
        <v>#N/A</v>
      </c>
      <c r="D760" t="e">
        <f ca="1"/>
        <v>#N/A</v>
      </c>
      <c r="E760" t="e">
        <f ca="1"/>
        <v>#N/A</v>
      </c>
      <c r="F760" t="e">
        <f ca="1"/>
        <v>#N/A</v>
      </c>
      <c r="G760" t="e">
        <f ca="1"/>
        <v>#N/A</v>
      </c>
      <c r="H760" t="e">
        <f ca="1"/>
        <v>#N/A</v>
      </c>
      <c r="I760" t="e">
        <f ca="1"/>
        <v>#N/A</v>
      </c>
      <c r="J760" t="e">
        <f ca="1"/>
        <v>#N/A</v>
      </c>
      <c r="K760" s="49" t="e">
        <f ca="1"/>
        <v>#N/A</v>
      </c>
    </row>
    <row r="761" spans="1:11" x14ac:dyDescent="0.25">
      <c r="A761" s="2" t="e">
        <f ca="1"/>
        <v>#N/A</v>
      </c>
      <c r="C761" t="e">
        <f ca="1"/>
        <v>#N/A</v>
      </c>
      <c r="D761" t="e">
        <f ca="1"/>
        <v>#N/A</v>
      </c>
      <c r="E761" t="e">
        <f ca="1"/>
        <v>#N/A</v>
      </c>
      <c r="F761" t="e">
        <f ca="1"/>
        <v>#N/A</v>
      </c>
      <c r="G761" t="e">
        <f ca="1"/>
        <v>#N/A</v>
      </c>
      <c r="H761" t="e">
        <f ca="1"/>
        <v>#N/A</v>
      </c>
      <c r="I761" t="e">
        <f ca="1"/>
        <v>#N/A</v>
      </c>
      <c r="J761" t="e">
        <f ca="1"/>
        <v>#N/A</v>
      </c>
      <c r="K761" s="49" t="e">
        <f ca="1"/>
        <v>#N/A</v>
      </c>
    </row>
    <row r="762" spans="1:11" x14ac:dyDescent="0.25">
      <c r="A762" s="2" t="e">
        <f ca="1"/>
        <v>#N/A</v>
      </c>
      <c r="C762" t="e">
        <f ca="1"/>
        <v>#N/A</v>
      </c>
      <c r="D762" t="e">
        <f ca="1"/>
        <v>#N/A</v>
      </c>
      <c r="E762" t="e">
        <f ca="1"/>
        <v>#N/A</v>
      </c>
      <c r="F762" t="e">
        <f ca="1"/>
        <v>#N/A</v>
      </c>
      <c r="G762" t="e">
        <f ca="1"/>
        <v>#N/A</v>
      </c>
      <c r="H762" t="e">
        <f ca="1"/>
        <v>#N/A</v>
      </c>
      <c r="I762" t="e">
        <f ca="1"/>
        <v>#N/A</v>
      </c>
      <c r="J762" t="e">
        <f ca="1"/>
        <v>#N/A</v>
      </c>
      <c r="K762" s="49" t="e">
        <f ca="1"/>
        <v>#N/A</v>
      </c>
    </row>
    <row r="763" spans="1:11" x14ac:dyDescent="0.25">
      <c r="A763" s="2" t="e">
        <f ca="1"/>
        <v>#N/A</v>
      </c>
      <c r="C763" t="e">
        <f ca="1"/>
        <v>#N/A</v>
      </c>
      <c r="D763" t="e">
        <f ca="1"/>
        <v>#N/A</v>
      </c>
      <c r="E763" t="e">
        <f ca="1"/>
        <v>#N/A</v>
      </c>
      <c r="F763" t="e">
        <f ca="1"/>
        <v>#N/A</v>
      </c>
      <c r="G763" t="e">
        <f ca="1"/>
        <v>#N/A</v>
      </c>
      <c r="H763" t="e">
        <f ca="1"/>
        <v>#N/A</v>
      </c>
      <c r="I763" t="e">
        <f ca="1"/>
        <v>#N/A</v>
      </c>
      <c r="J763" t="e">
        <f ca="1"/>
        <v>#N/A</v>
      </c>
      <c r="K763" s="49" t="e">
        <f ca="1"/>
        <v>#N/A</v>
      </c>
    </row>
    <row r="764" spans="1:11" x14ac:dyDescent="0.25">
      <c r="A764" s="2" t="e">
        <f ca="1"/>
        <v>#N/A</v>
      </c>
      <c r="C764" t="e">
        <f ca="1"/>
        <v>#N/A</v>
      </c>
      <c r="D764" t="e">
        <f ca="1"/>
        <v>#N/A</v>
      </c>
      <c r="E764" t="e">
        <f ca="1"/>
        <v>#N/A</v>
      </c>
      <c r="F764" t="e">
        <f ca="1"/>
        <v>#N/A</v>
      </c>
      <c r="G764" t="e">
        <f ca="1"/>
        <v>#N/A</v>
      </c>
      <c r="H764" t="e">
        <f ca="1"/>
        <v>#N/A</v>
      </c>
      <c r="I764" t="e">
        <f ca="1"/>
        <v>#N/A</v>
      </c>
      <c r="J764" t="e">
        <f ca="1"/>
        <v>#N/A</v>
      </c>
      <c r="K764" s="49" t="e">
        <f ca="1"/>
        <v>#N/A</v>
      </c>
    </row>
    <row r="765" spans="1:11" x14ac:dyDescent="0.25">
      <c r="A765" s="2" t="e">
        <f ca="1"/>
        <v>#N/A</v>
      </c>
      <c r="C765" t="e">
        <f ca="1"/>
        <v>#N/A</v>
      </c>
      <c r="D765" t="e">
        <f ca="1"/>
        <v>#N/A</v>
      </c>
      <c r="E765" t="e">
        <f ca="1"/>
        <v>#N/A</v>
      </c>
      <c r="F765" t="e">
        <f ca="1"/>
        <v>#N/A</v>
      </c>
      <c r="G765" t="e">
        <f ca="1"/>
        <v>#N/A</v>
      </c>
      <c r="H765" t="e">
        <f ca="1"/>
        <v>#N/A</v>
      </c>
      <c r="I765" t="e">
        <f ca="1"/>
        <v>#N/A</v>
      </c>
      <c r="J765" t="e">
        <f ca="1"/>
        <v>#N/A</v>
      </c>
      <c r="K765" s="49" t="e">
        <f ca="1"/>
        <v>#N/A</v>
      </c>
    </row>
    <row r="766" spans="1:11" x14ac:dyDescent="0.25">
      <c r="A766" s="2" t="e">
        <f ca="1"/>
        <v>#N/A</v>
      </c>
      <c r="C766" t="e">
        <f ca="1"/>
        <v>#N/A</v>
      </c>
      <c r="D766" t="e">
        <f ca="1"/>
        <v>#N/A</v>
      </c>
      <c r="E766" t="e">
        <f ca="1"/>
        <v>#N/A</v>
      </c>
      <c r="F766" t="e">
        <f ca="1"/>
        <v>#N/A</v>
      </c>
      <c r="G766" t="e">
        <f ca="1"/>
        <v>#N/A</v>
      </c>
      <c r="H766" t="e">
        <f ca="1"/>
        <v>#N/A</v>
      </c>
      <c r="I766" t="e">
        <f ca="1"/>
        <v>#N/A</v>
      </c>
      <c r="J766" t="e">
        <f ca="1"/>
        <v>#N/A</v>
      </c>
      <c r="K766" s="49" t="e">
        <f ca="1"/>
        <v>#N/A</v>
      </c>
    </row>
    <row r="767" spans="1:11" x14ac:dyDescent="0.25">
      <c r="A767" s="2" t="e">
        <f ca="1"/>
        <v>#N/A</v>
      </c>
      <c r="C767" t="e">
        <f ca="1"/>
        <v>#N/A</v>
      </c>
      <c r="D767" t="e">
        <f ca="1"/>
        <v>#N/A</v>
      </c>
      <c r="E767" t="e">
        <f ca="1"/>
        <v>#N/A</v>
      </c>
      <c r="F767" t="e">
        <f ca="1"/>
        <v>#N/A</v>
      </c>
      <c r="G767" t="e">
        <f ca="1"/>
        <v>#N/A</v>
      </c>
      <c r="H767" t="e">
        <f ca="1"/>
        <v>#N/A</v>
      </c>
      <c r="I767" t="e">
        <f ca="1"/>
        <v>#N/A</v>
      </c>
      <c r="J767" t="e">
        <f ca="1"/>
        <v>#N/A</v>
      </c>
      <c r="K767" s="49" t="e">
        <f ca="1"/>
        <v>#N/A</v>
      </c>
    </row>
    <row r="768" spans="1:11" x14ac:dyDescent="0.25">
      <c r="A768" s="2" t="e">
        <f ca="1"/>
        <v>#N/A</v>
      </c>
      <c r="C768" t="e">
        <f ca="1"/>
        <v>#N/A</v>
      </c>
      <c r="D768" t="e">
        <f ca="1"/>
        <v>#N/A</v>
      </c>
      <c r="E768" t="e">
        <f ca="1"/>
        <v>#N/A</v>
      </c>
      <c r="F768" t="e">
        <f ca="1"/>
        <v>#N/A</v>
      </c>
      <c r="G768" t="e">
        <f ca="1"/>
        <v>#N/A</v>
      </c>
      <c r="H768" t="e">
        <f ca="1"/>
        <v>#N/A</v>
      </c>
      <c r="I768" t="e">
        <f ca="1"/>
        <v>#N/A</v>
      </c>
      <c r="J768" t="e">
        <f ca="1"/>
        <v>#N/A</v>
      </c>
      <c r="K768" s="49" t="e">
        <f ca="1"/>
        <v>#N/A</v>
      </c>
    </row>
    <row r="769" spans="1:11" x14ac:dyDescent="0.25">
      <c r="A769" s="2" t="e">
        <f ca="1"/>
        <v>#N/A</v>
      </c>
      <c r="C769" t="e">
        <f ca="1"/>
        <v>#N/A</v>
      </c>
      <c r="D769" t="e">
        <f ca="1"/>
        <v>#N/A</v>
      </c>
      <c r="E769" t="e">
        <f ca="1"/>
        <v>#N/A</v>
      </c>
      <c r="F769" t="e">
        <f ca="1"/>
        <v>#N/A</v>
      </c>
      <c r="G769" t="e">
        <f ca="1"/>
        <v>#N/A</v>
      </c>
      <c r="H769" t="e">
        <f ca="1"/>
        <v>#N/A</v>
      </c>
      <c r="I769" t="e">
        <f ca="1"/>
        <v>#N/A</v>
      </c>
      <c r="J769" t="e">
        <f ca="1"/>
        <v>#N/A</v>
      </c>
      <c r="K769" s="49" t="e">
        <f ca="1"/>
        <v>#N/A</v>
      </c>
    </row>
    <row r="770" spans="1:11" x14ac:dyDescent="0.25">
      <c r="A770" s="2" t="e">
        <f ca="1"/>
        <v>#N/A</v>
      </c>
      <c r="C770" t="e">
        <f ca="1"/>
        <v>#N/A</v>
      </c>
      <c r="D770" t="e">
        <f ca="1"/>
        <v>#N/A</v>
      </c>
      <c r="E770" t="e">
        <f ca="1"/>
        <v>#N/A</v>
      </c>
      <c r="F770" t="e">
        <f ca="1"/>
        <v>#N/A</v>
      </c>
      <c r="G770" t="e">
        <f ca="1"/>
        <v>#N/A</v>
      </c>
      <c r="H770" t="e">
        <f ca="1"/>
        <v>#N/A</v>
      </c>
      <c r="I770" t="e">
        <f ca="1"/>
        <v>#N/A</v>
      </c>
      <c r="J770" t="e">
        <f ca="1"/>
        <v>#N/A</v>
      </c>
      <c r="K770" s="49" t="e">
        <f ca="1"/>
        <v>#N/A</v>
      </c>
    </row>
    <row r="771" spans="1:11" x14ac:dyDescent="0.25">
      <c r="A771" s="2" t="e">
        <f ca="1"/>
        <v>#N/A</v>
      </c>
      <c r="C771" t="e">
        <f ca="1"/>
        <v>#N/A</v>
      </c>
      <c r="D771" t="e">
        <f ca="1"/>
        <v>#N/A</v>
      </c>
      <c r="E771" t="e">
        <f ca="1"/>
        <v>#N/A</v>
      </c>
      <c r="F771" t="e">
        <f ca="1"/>
        <v>#N/A</v>
      </c>
      <c r="G771" t="e">
        <f ca="1"/>
        <v>#N/A</v>
      </c>
      <c r="H771" t="e">
        <f ca="1"/>
        <v>#N/A</v>
      </c>
      <c r="I771" t="e">
        <f ca="1"/>
        <v>#N/A</v>
      </c>
      <c r="J771" t="e">
        <f ca="1"/>
        <v>#N/A</v>
      </c>
      <c r="K771" s="49" t="e">
        <f ca="1"/>
        <v>#N/A</v>
      </c>
    </row>
    <row r="772" spans="1:11" x14ac:dyDescent="0.25">
      <c r="A772" s="2" t="e">
        <f ca="1"/>
        <v>#N/A</v>
      </c>
      <c r="C772" t="e">
        <f ca="1"/>
        <v>#N/A</v>
      </c>
      <c r="D772" t="e">
        <f ca="1"/>
        <v>#N/A</v>
      </c>
      <c r="E772" t="e">
        <f ca="1"/>
        <v>#N/A</v>
      </c>
      <c r="F772" t="e">
        <f ca="1"/>
        <v>#N/A</v>
      </c>
      <c r="G772" t="e">
        <f ca="1"/>
        <v>#N/A</v>
      </c>
      <c r="H772" t="e">
        <f ca="1"/>
        <v>#N/A</v>
      </c>
      <c r="I772" t="e">
        <f ca="1"/>
        <v>#N/A</v>
      </c>
      <c r="J772" t="e">
        <f ca="1"/>
        <v>#N/A</v>
      </c>
      <c r="K772" s="49" t="e">
        <f ca="1"/>
        <v>#N/A</v>
      </c>
    </row>
    <row r="773" spans="1:11" x14ac:dyDescent="0.25">
      <c r="A773" s="2" t="e">
        <f ca="1"/>
        <v>#N/A</v>
      </c>
      <c r="C773" t="e">
        <f ca="1"/>
        <v>#N/A</v>
      </c>
      <c r="D773" t="e">
        <f ca="1"/>
        <v>#N/A</v>
      </c>
      <c r="E773" t="e">
        <f ca="1"/>
        <v>#N/A</v>
      </c>
      <c r="F773" t="e">
        <f ca="1"/>
        <v>#N/A</v>
      </c>
      <c r="G773" t="e">
        <f ca="1"/>
        <v>#N/A</v>
      </c>
      <c r="H773" t="e">
        <f ca="1"/>
        <v>#N/A</v>
      </c>
      <c r="I773" t="e">
        <f ca="1"/>
        <v>#N/A</v>
      </c>
      <c r="J773" t="e">
        <f ca="1"/>
        <v>#N/A</v>
      </c>
      <c r="K773" s="49" t="e">
        <f ca="1"/>
        <v>#N/A</v>
      </c>
    </row>
    <row r="774" spans="1:11" x14ac:dyDescent="0.25">
      <c r="A774" s="2" t="e">
        <f ca="1"/>
        <v>#N/A</v>
      </c>
      <c r="C774" t="e">
        <f ca="1"/>
        <v>#N/A</v>
      </c>
      <c r="D774" t="e">
        <f ca="1"/>
        <v>#N/A</v>
      </c>
      <c r="E774" t="e">
        <f ca="1"/>
        <v>#N/A</v>
      </c>
      <c r="F774" t="e">
        <f ca="1"/>
        <v>#N/A</v>
      </c>
      <c r="G774" t="e">
        <f ca="1"/>
        <v>#N/A</v>
      </c>
      <c r="H774" t="e">
        <f ca="1"/>
        <v>#N/A</v>
      </c>
      <c r="I774" t="e">
        <f ca="1"/>
        <v>#N/A</v>
      </c>
      <c r="J774" t="e">
        <f ca="1"/>
        <v>#N/A</v>
      </c>
      <c r="K774" s="49" t="e">
        <f ca="1"/>
        <v>#N/A</v>
      </c>
    </row>
    <row r="775" spans="1:11" x14ac:dyDescent="0.25">
      <c r="A775" s="2" t="e">
        <f ca="1"/>
        <v>#N/A</v>
      </c>
      <c r="C775" t="e">
        <f ca="1"/>
        <v>#N/A</v>
      </c>
      <c r="D775" t="e">
        <f ca="1"/>
        <v>#N/A</v>
      </c>
      <c r="E775" t="e">
        <f ca="1"/>
        <v>#N/A</v>
      </c>
      <c r="F775" t="e">
        <f ca="1"/>
        <v>#N/A</v>
      </c>
      <c r="G775" t="e">
        <f ca="1"/>
        <v>#N/A</v>
      </c>
      <c r="H775" t="e">
        <f ca="1"/>
        <v>#N/A</v>
      </c>
      <c r="I775" t="e">
        <f ca="1"/>
        <v>#N/A</v>
      </c>
      <c r="J775" t="e">
        <f ca="1"/>
        <v>#N/A</v>
      </c>
      <c r="K775" s="49" t="e">
        <f ca="1"/>
        <v>#N/A</v>
      </c>
    </row>
    <row r="776" spans="1:11" x14ac:dyDescent="0.25">
      <c r="A776" s="2" t="e">
        <f ca="1"/>
        <v>#N/A</v>
      </c>
      <c r="C776" t="e">
        <f ca="1"/>
        <v>#N/A</v>
      </c>
      <c r="D776" t="e">
        <f ca="1"/>
        <v>#N/A</v>
      </c>
      <c r="E776" t="e">
        <f ca="1"/>
        <v>#N/A</v>
      </c>
      <c r="F776" t="e">
        <f ca="1"/>
        <v>#N/A</v>
      </c>
      <c r="G776" t="e">
        <f ca="1"/>
        <v>#N/A</v>
      </c>
      <c r="H776" t="e">
        <f ca="1"/>
        <v>#N/A</v>
      </c>
      <c r="I776" t="e">
        <f ca="1"/>
        <v>#N/A</v>
      </c>
      <c r="J776" t="e">
        <f ca="1"/>
        <v>#N/A</v>
      </c>
      <c r="K776" s="49" t="e">
        <f ca="1"/>
        <v>#N/A</v>
      </c>
    </row>
    <row r="777" spans="1:11" x14ac:dyDescent="0.25">
      <c r="A777" s="2" t="e">
        <f ca="1"/>
        <v>#N/A</v>
      </c>
      <c r="C777" t="e">
        <f ca="1"/>
        <v>#N/A</v>
      </c>
      <c r="D777" t="e">
        <f ca="1"/>
        <v>#N/A</v>
      </c>
      <c r="E777" t="e">
        <f ca="1"/>
        <v>#N/A</v>
      </c>
      <c r="F777" t="e">
        <f ca="1"/>
        <v>#N/A</v>
      </c>
      <c r="G777" t="e">
        <f ca="1"/>
        <v>#N/A</v>
      </c>
      <c r="H777" t="e">
        <f ca="1"/>
        <v>#N/A</v>
      </c>
      <c r="I777" t="e">
        <f ca="1"/>
        <v>#N/A</v>
      </c>
      <c r="J777" t="e">
        <f ca="1"/>
        <v>#N/A</v>
      </c>
      <c r="K777" s="49" t="e">
        <f ca="1"/>
        <v>#N/A</v>
      </c>
    </row>
    <row r="778" spans="1:11" x14ac:dyDescent="0.25">
      <c r="A778" s="2" t="e">
        <f ca="1"/>
        <v>#N/A</v>
      </c>
      <c r="C778" t="e">
        <f ca="1"/>
        <v>#N/A</v>
      </c>
      <c r="D778" t="e">
        <f ca="1"/>
        <v>#N/A</v>
      </c>
      <c r="E778" t="e">
        <f ca="1"/>
        <v>#N/A</v>
      </c>
      <c r="F778" t="e">
        <f ca="1"/>
        <v>#N/A</v>
      </c>
      <c r="G778" t="e">
        <f ca="1"/>
        <v>#N/A</v>
      </c>
      <c r="H778" t="e">
        <f ca="1"/>
        <v>#N/A</v>
      </c>
      <c r="I778" t="e">
        <f ca="1"/>
        <v>#N/A</v>
      </c>
      <c r="J778" t="e">
        <f ca="1"/>
        <v>#N/A</v>
      </c>
      <c r="K778" s="49" t="e">
        <f ca="1"/>
        <v>#N/A</v>
      </c>
    </row>
    <row r="779" spans="1:11" x14ac:dyDescent="0.25">
      <c r="A779" s="2" t="e">
        <f ca="1"/>
        <v>#N/A</v>
      </c>
      <c r="C779" t="e">
        <f ca="1"/>
        <v>#N/A</v>
      </c>
      <c r="D779" t="e">
        <f ca="1"/>
        <v>#N/A</v>
      </c>
      <c r="E779" t="e">
        <f ca="1"/>
        <v>#N/A</v>
      </c>
      <c r="F779" t="e">
        <f ca="1"/>
        <v>#N/A</v>
      </c>
      <c r="G779" t="e">
        <f ca="1"/>
        <v>#N/A</v>
      </c>
      <c r="H779" t="e">
        <f ca="1"/>
        <v>#N/A</v>
      </c>
      <c r="I779" t="e">
        <f ca="1"/>
        <v>#N/A</v>
      </c>
      <c r="J779" t="e">
        <f ca="1"/>
        <v>#N/A</v>
      </c>
      <c r="K779" s="49" t="e">
        <f ca="1"/>
        <v>#N/A</v>
      </c>
    </row>
    <row r="780" spans="1:11" x14ac:dyDescent="0.25">
      <c r="A780" s="2" t="e">
        <f ca="1"/>
        <v>#N/A</v>
      </c>
      <c r="C780" t="e">
        <f ca="1"/>
        <v>#N/A</v>
      </c>
      <c r="D780" t="e">
        <f ca="1"/>
        <v>#N/A</v>
      </c>
      <c r="E780" t="e">
        <f ca="1"/>
        <v>#N/A</v>
      </c>
      <c r="F780" t="e">
        <f ca="1"/>
        <v>#N/A</v>
      </c>
      <c r="G780" t="e">
        <f ca="1"/>
        <v>#N/A</v>
      </c>
      <c r="H780" t="e">
        <f ca="1"/>
        <v>#N/A</v>
      </c>
      <c r="I780" t="e">
        <f ca="1"/>
        <v>#N/A</v>
      </c>
      <c r="J780" t="e">
        <f ca="1"/>
        <v>#N/A</v>
      </c>
      <c r="K780" s="49" t="e">
        <f ca="1"/>
        <v>#N/A</v>
      </c>
    </row>
    <row r="781" spans="1:11" x14ac:dyDescent="0.25">
      <c r="A781" s="2" t="e">
        <f ca="1"/>
        <v>#N/A</v>
      </c>
      <c r="C781" t="e">
        <f ca="1"/>
        <v>#N/A</v>
      </c>
      <c r="D781" t="e">
        <f ca="1"/>
        <v>#N/A</v>
      </c>
      <c r="E781" t="e">
        <f ca="1"/>
        <v>#N/A</v>
      </c>
      <c r="F781" t="e">
        <f ca="1"/>
        <v>#N/A</v>
      </c>
      <c r="G781" t="e">
        <f ca="1"/>
        <v>#N/A</v>
      </c>
      <c r="H781" t="e">
        <f ca="1"/>
        <v>#N/A</v>
      </c>
      <c r="I781" t="e">
        <f ca="1"/>
        <v>#N/A</v>
      </c>
      <c r="J781" t="e">
        <f ca="1"/>
        <v>#N/A</v>
      </c>
      <c r="K781" s="49" t="e">
        <f ca="1"/>
        <v>#N/A</v>
      </c>
    </row>
    <row r="782" spans="1:11" x14ac:dyDescent="0.25">
      <c r="A782" s="2" t="e">
        <f ca="1"/>
        <v>#N/A</v>
      </c>
      <c r="C782" t="e">
        <f ca="1"/>
        <v>#N/A</v>
      </c>
      <c r="D782" t="e">
        <f ca="1"/>
        <v>#N/A</v>
      </c>
      <c r="E782" t="e">
        <f ca="1"/>
        <v>#N/A</v>
      </c>
      <c r="F782" t="e">
        <f ca="1"/>
        <v>#N/A</v>
      </c>
      <c r="G782" t="e">
        <f ca="1"/>
        <v>#N/A</v>
      </c>
      <c r="H782" t="e">
        <f ca="1"/>
        <v>#N/A</v>
      </c>
      <c r="I782" t="e">
        <f ca="1"/>
        <v>#N/A</v>
      </c>
      <c r="J782" t="e">
        <f ca="1"/>
        <v>#N/A</v>
      </c>
      <c r="K782" s="49" t="e">
        <f ca="1"/>
        <v>#N/A</v>
      </c>
    </row>
    <row r="783" spans="1:11" x14ac:dyDescent="0.25">
      <c r="A783" s="2" t="e">
        <f ca="1"/>
        <v>#N/A</v>
      </c>
      <c r="C783" t="e">
        <f ca="1"/>
        <v>#N/A</v>
      </c>
      <c r="D783" t="e">
        <f ca="1"/>
        <v>#N/A</v>
      </c>
      <c r="E783" t="e">
        <f ca="1"/>
        <v>#N/A</v>
      </c>
      <c r="F783" t="e">
        <f ca="1"/>
        <v>#N/A</v>
      </c>
      <c r="G783" t="e">
        <f ca="1"/>
        <v>#N/A</v>
      </c>
      <c r="H783" t="e">
        <f ca="1"/>
        <v>#N/A</v>
      </c>
      <c r="I783" t="e">
        <f ca="1"/>
        <v>#N/A</v>
      </c>
      <c r="J783" t="e">
        <f ca="1"/>
        <v>#N/A</v>
      </c>
      <c r="K783" s="49" t="e">
        <f ca="1"/>
        <v>#N/A</v>
      </c>
    </row>
    <row r="784" spans="1:11" x14ac:dyDescent="0.25">
      <c r="A784" s="2" t="e">
        <f ca="1"/>
        <v>#N/A</v>
      </c>
      <c r="C784" t="e">
        <f ca="1"/>
        <v>#N/A</v>
      </c>
      <c r="D784" t="e">
        <f ca="1"/>
        <v>#N/A</v>
      </c>
      <c r="E784" t="e">
        <f ca="1"/>
        <v>#N/A</v>
      </c>
      <c r="F784" t="e">
        <f ca="1"/>
        <v>#N/A</v>
      </c>
      <c r="G784" t="e">
        <f ca="1"/>
        <v>#N/A</v>
      </c>
      <c r="H784" t="e">
        <f ca="1"/>
        <v>#N/A</v>
      </c>
      <c r="I784" t="e">
        <f ca="1"/>
        <v>#N/A</v>
      </c>
      <c r="J784" t="e">
        <f ca="1"/>
        <v>#N/A</v>
      </c>
      <c r="K784" s="49" t="e">
        <f ca="1"/>
        <v>#N/A</v>
      </c>
    </row>
    <row r="785" spans="1:11" x14ac:dyDescent="0.25">
      <c r="A785" s="2" t="e">
        <f ca="1"/>
        <v>#N/A</v>
      </c>
      <c r="C785" t="e">
        <f ca="1"/>
        <v>#N/A</v>
      </c>
      <c r="D785" t="e">
        <f ca="1"/>
        <v>#N/A</v>
      </c>
      <c r="E785" t="e">
        <f ca="1"/>
        <v>#N/A</v>
      </c>
      <c r="F785" t="e">
        <f ca="1"/>
        <v>#N/A</v>
      </c>
      <c r="G785" t="e">
        <f ca="1"/>
        <v>#N/A</v>
      </c>
      <c r="H785" t="e">
        <f ca="1"/>
        <v>#N/A</v>
      </c>
      <c r="I785" t="e">
        <f ca="1"/>
        <v>#N/A</v>
      </c>
      <c r="J785" t="e">
        <f ca="1"/>
        <v>#N/A</v>
      </c>
      <c r="K785" s="49" t="e">
        <f ca="1"/>
        <v>#N/A</v>
      </c>
    </row>
    <row r="786" spans="1:11" x14ac:dyDescent="0.25">
      <c r="A786" s="2" t="e">
        <f ca="1"/>
        <v>#N/A</v>
      </c>
      <c r="C786" t="e">
        <f ca="1"/>
        <v>#N/A</v>
      </c>
      <c r="D786" t="e">
        <f ca="1"/>
        <v>#N/A</v>
      </c>
      <c r="E786" t="e">
        <f ca="1"/>
        <v>#N/A</v>
      </c>
      <c r="F786" t="e">
        <f ca="1"/>
        <v>#N/A</v>
      </c>
      <c r="G786" t="e">
        <f ca="1"/>
        <v>#N/A</v>
      </c>
      <c r="H786" t="e">
        <f ca="1"/>
        <v>#N/A</v>
      </c>
      <c r="I786" t="e">
        <f ca="1"/>
        <v>#N/A</v>
      </c>
      <c r="J786" t="e">
        <f ca="1"/>
        <v>#N/A</v>
      </c>
      <c r="K786" s="49" t="e">
        <f ca="1"/>
        <v>#N/A</v>
      </c>
    </row>
    <row r="787" spans="1:11" x14ac:dyDescent="0.25">
      <c r="A787" s="2" t="e">
        <f ca="1"/>
        <v>#N/A</v>
      </c>
      <c r="C787" t="e">
        <f ca="1"/>
        <v>#N/A</v>
      </c>
      <c r="D787" t="e">
        <f ca="1"/>
        <v>#N/A</v>
      </c>
      <c r="E787" t="e">
        <f ca="1"/>
        <v>#N/A</v>
      </c>
      <c r="F787" t="e">
        <f ca="1"/>
        <v>#N/A</v>
      </c>
      <c r="G787" t="e">
        <f ca="1"/>
        <v>#N/A</v>
      </c>
      <c r="H787" t="e">
        <f ca="1"/>
        <v>#N/A</v>
      </c>
      <c r="I787" t="e">
        <f ca="1"/>
        <v>#N/A</v>
      </c>
      <c r="J787" t="e">
        <f ca="1"/>
        <v>#N/A</v>
      </c>
      <c r="K787" s="49" t="e">
        <f ca="1"/>
        <v>#N/A</v>
      </c>
    </row>
    <row r="788" spans="1:11" x14ac:dyDescent="0.25">
      <c r="A788" s="2" t="e">
        <f ca="1"/>
        <v>#N/A</v>
      </c>
      <c r="C788" t="e">
        <f ca="1"/>
        <v>#N/A</v>
      </c>
      <c r="D788" t="e">
        <f ca="1"/>
        <v>#N/A</v>
      </c>
      <c r="E788" t="e">
        <f ca="1"/>
        <v>#N/A</v>
      </c>
      <c r="F788" t="e">
        <f ca="1"/>
        <v>#N/A</v>
      </c>
      <c r="G788" t="e">
        <f ca="1"/>
        <v>#N/A</v>
      </c>
      <c r="H788" t="e">
        <f ca="1"/>
        <v>#N/A</v>
      </c>
      <c r="I788" t="e">
        <f ca="1"/>
        <v>#N/A</v>
      </c>
      <c r="J788" t="e">
        <f ca="1"/>
        <v>#N/A</v>
      </c>
      <c r="K788" s="49" t="e">
        <f ca="1"/>
        <v>#N/A</v>
      </c>
    </row>
    <row r="789" spans="1:11" x14ac:dyDescent="0.25">
      <c r="A789" s="2" t="e">
        <f ca="1"/>
        <v>#N/A</v>
      </c>
      <c r="C789" t="e">
        <f ca="1"/>
        <v>#N/A</v>
      </c>
      <c r="D789" t="e">
        <f ca="1"/>
        <v>#N/A</v>
      </c>
      <c r="E789" t="e">
        <f ca="1"/>
        <v>#N/A</v>
      </c>
      <c r="F789" t="e">
        <f ca="1"/>
        <v>#N/A</v>
      </c>
      <c r="G789" t="e">
        <f ca="1"/>
        <v>#N/A</v>
      </c>
      <c r="H789" t="e">
        <f ca="1"/>
        <v>#N/A</v>
      </c>
      <c r="I789" t="e">
        <f ca="1"/>
        <v>#N/A</v>
      </c>
      <c r="J789" t="e">
        <f ca="1"/>
        <v>#N/A</v>
      </c>
      <c r="K789" s="49" t="e">
        <f ca="1"/>
        <v>#N/A</v>
      </c>
    </row>
    <row r="790" spans="1:11" x14ac:dyDescent="0.25">
      <c r="A790" s="2" t="e">
        <f ca="1"/>
        <v>#N/A</v>
      </c>
      <c r="C790" t="e">
        <f ca="1"/>
        <v>#N/A</v>
      </c>
      <c r="D790" t="e">
        <f ca="1"/>
        <v>#N/A</v>
      </c>
      <c r="E790" t="e">
        <f ca="1"/>
        <v>#N/A</v>
      </c>
      <c r="F790" t="e">
        <f ca="1"/>
        <v>#N/A</v>
      </c>
      <c r="G790" t="e">
        <f ca="1"/>
        <v>#N/A</v>
      </c>
      <c r="H790" t="e">
        <f ca="1"/>
        <v>#N/A</v>
      </c>
      <c r="I790" t="e">
        <f ca="1"/>
        <v>#N/A</v>
      </c>
      <c r="J790" t="e">
        <f ca="1"/>
        <v>#N/A</v>
      </c>
      <c r="K790" s="49" t="e">
        <f ca="1"/>
        <v>#N/A</v>
      </c>
    </row>
    <row r="791" spans="1:11" x14ac:dyDescent="0.25">
      <c r="A791" s="2" t="e">
        <f ca="1"/>
        <v>#N/A</v>
      </c>
      <c r="C791" t="e">
        <f ca="1"/>
        <v>#N/A</v>
      </c>
      <c r="D791" t="e">
        <f ca="1"/>
        <v>#N/A</v>
      </c>
      <c r="E791" t="e">
        <f ca="1"/>
        <v>#N/A</v>
      </c>
      <c r="F791" t="e">
        <f ca="1"/>
        <v>#N/A</v>
      </c>
      <c r="G791" t="e">
        <f ca="1"/>
        <v>#N/A</v>
      </c>
      <c r="H791" t="e">
        <f ca="1"/>
        <v>#N/A</v>
      </c>
      <c r="I791" t="e">
        <f ca="1"/>
        <v>#N/A</v>
      </c>
      <c r="J791" t="e">
        <f ca="1"/>
        <v>#N/A</v>
      </c>
      <c r="K791" s="49" t="e">
        <f ca="1"/>
        <v>#N/A</v>
      </c>
    </row>
    <row r="792" spans="1:11" x14ac:dyDescent="0.25">
      <c r="A792" s="2" t="e">
        <f ca="1"/>
        <v>#N/A</v>
      </c>
      <c r="C792" t="e">
        <f ca="1"/>
        <v>#N/A</v>
      </c>
      <c r="D792" t="e">
        <f ca="1"/>
        <v>#N/A</v>
      </c>
      <c r="E792" t="e">
        <f ca="1"/>
        <v>#N/A</v>
      </c>
      <c r="F792" t="e">
        <f ca="1"/>
        <v>#N/A</v>
      </c>
      <c r="G792" t="e">
        <f ca="1"/>
        <v>#N/A</v>
      </c>
      <c r="H792" t="e">
        <f ca="1"/>
        <v>#N/A</v>
      </c>
      <c r="I792" t="e">
        <f ca="1"/>
        <v>#N/A</v>
      </c>
      <c r="J792" t="e">
        <f ca="1"/>
        <v>#N/A</v>
      </c>
      <c r="K792" s="49" t="e">
        <f ca="1"/>
        <v>#N/A</v>
      </c>
    </row>
    <row r="793" spans="1:11" x14ac:dyDescent="0.25">
      <c r="A793" s="2" t="e">
        <f ca="1"/>
        <v>#N/A</v>
      </c>
      <c r="C793" t="e">
        <f ca="1"/>
        <v>#N/A</v>
      </c>
      <c r="D793" t="e">
        <f ca="1"/>
        <v>#N/A</v>
      </c>
      <c r="E793" t="e">
        <f ca="1"/>
        <v>#N/A</v>
      </c>
      <c r="F793" t="e">
        <f ca="1"/>
        <v>#N/A</v>
      </c>
      <c r="G793" t="e">
        <f ca="1"/>
        <v>#N/A</v>
      </c>
      <c r="H793" t="e">
        <f ca="1"/>
        <v>#N/A</v>
      </c>
      <c r="I793" t="e">
        <f ca="1"/>
        <v>#N/A</v>
      </c>
      <c r="J793" t="e">
        <f ca="1"/>
        <v>#N/A</v>
      </c>
      <c r="K793" s="49" t="e">
        <f ca="1"/>
        <v>#N/A</v>
      </c>
    </row>
    <row r="794" spans="1:11" x14ac:dyDescent="0.25">
      <c r="A794" s="2" t="e">
        <f ca="1"/>
        <v>#N/A</v>
      </c>
      <c r="C794" t="e">
        <f ca="1"/>
        <v>#N/A</v>
      </c>
      <c r="D794" t="e">
        <f ca="1"/>
        <v>#N/A</v>
      </c>
      <c r="E794" t="e">
        <f ca="1"/>
        <v>#N/A</v>
      </c>
      <c r="F794" t="e">
        <f ca="1"/>
        <v>#N/A</v>
      </c>
      <c r="G794" t="e">
        <f ca="1"/>
        <v>#N/A</v>
      </c>
      <c r="H794" t="e">
        <f ca="1"/>
        <v>#N/A</v>
      </c>
      <c r="I794" t="e">
        <f ca="1"/>
        <v>#N/A</v>
      </c>
      <c r="J794" t="e">
        <f ca="1"/>
        <v>#N/A</v>
      </c>
      <c r="K794" s="49" t="e">
        <f ca="1"/>
        <v>#N/A</v>
      </c>
    </row>
    <row r="795" spans="1:11" x14ac:dyDescent="0.25">
      <c r="A795" s="2" t="e">
        <f ca="1"/>
        <v>#N/A</v>
      </c>
      <c r="C795" t="e">
        <f ca="1"/>
        <v>#N/A</v>
      </c>
      <c r="D795" t="e">
        <f ca="1"/>
        <v>#N/A</v>
      </c>
      <c r="E795" t="e">
        <f ca="1"/>
        <v>#N/A</v>
      </c>
      <c r="F795" t="e">
        <f ca="1"/>
        <v>#N/A</v>
      </c>
      <c r="G795" t="e">
        <f ca="1"/>
        <v>#N/A</v>
      </c>
      <c r="H795" t="e">
        <f ca="1"/>
        <v>#N/A</v>
      </c>
      <c r="I795" t="e">
        <f ca="1"/>
        <v>#N/A</v>
      </c>
      <c r="J795" t="e">
        <f ca="1"/>
        <v>#N/A</v>
      </c>
      <c r="K795" s="49" t="e">
        <f ca="1"/>
        <v>#N/A</v>
      </c>
    </row>
    <row r="796" spans="1:11" x14ac:dyDescent="0.25">
      <c r="A796" s="2" t="e">
        <f ca="1"/>
        <v>#N/A</v>
      </c>
      <c r="C796" t="e">
        <f ca="1"/>
        <v>#N/A</v>
      </c>
      <c r="D796" t="e">
        <f ca="1"/>
        <v>#N/A</v>
      </c>
      <c r="E796" t="e">
        <f ca="1"/>
        <v>#N/A</v>
      </c>
      <c r="F796" t="e">
        <f ca="1"/>
        <v>#N/A</v>
      </c>
      <c r="G796" t="e">
        <f ca="1"/>
        <v>#N/A</v>
      </c>
      <c r="H796" t="e">
        <f ca="1"/>
        <v>#N/A</v>
      </c>
      <c r="I796" t="e">
        <f ca="1"/>
        <v>#N/A</v>
      </c>
      <c r="J796" t="e">
        <f ca="1"/>
        <v>#N/A</v>
      </c>
      <c r="K796" s="49" t="e">
        <f ca="1"/>
        <v>#N/A</v>
      </c>
    </row>
    <row r="797" spans="1:11" x14ac:dyDescent="0.25">
      <c r="A797" s="2" t="e">
        <f ca="1"/>
        <v>#N/A</v>
      </c>
      <c r="C797" t="e">
        <f ca="1"/>
        <v>#N/A</v>
      </c>
      <c r="D797" t="e">
        <f ca="1"/>
        <v>#N/A</v>
      </c>
      <c r="E797" t="e">
        <f ca="1"/>
        <v>#N/A</v>
      </c>
      <c r="F797" t="e">
        <f ca="1"/>
        <v>#N/A</v>
      </c>
      <c r="G797" t="e">
        <f ca="1"/>
        <v>#N/A</v>
      </c>
      <c r="H797" t="e">
        <f ca="1"/>
        <v>#N/A</v>
      </c>
      <c r="I797" t="e">
        <f ca="1"/>
        <v>#N/A</v>
      </c>
      <c r="J797" t="e">
        <f ca="1"/>
        <v>#N/A</v>
      </c>
      <c r="K797" s="49" t="e">
        <f ca="1"/>
        <v>#N/A</v>
      </c>
    </row>
    <row r="798" spans="1:11" x14ac:dyDescent="0.25">
      <c r="A798" s="2" t="e">
        <f ca="1"/>
        <v>#N/A</v>
      </c>
      <c r="C798" t="e">
        <f ca="1"/>
        <v>#N/A</v>
      </c>
      <c r="D798" t="e">
        <f ca="1"/>
        <v>#N/A</v>
      </c>
      <c r="E798" t="e">
        <f ca="1"/>
        <v>#N/A</v>
      </c>
      <c r="F798" t="e">
        <f ca="1"/>
        <v>#N/A</v>
      </c>
      <c r="G798" t="e">
        <f ca="1"/>
        <v>#N/A</v>
      </c>
      <c r="H798" t="e">
        <f ca="1"/>
        <v>#N/A</v>
      </c>
      <c r="I798" t="e">
        <f ca="1"/>
        <v>#N/A</v>
      </c>
      <c r="J798" t="e">
        <f ca="1"/>
        <v>#N/A</v>
      </c>
      <c r="K798" s="49" t="e">
        <f ca="1"/>
        <v>#N/A</v>
      </c>
    </row>
    <row r="799" spans="1:11" x14ac:dyDescent="0.25">
      <c r="A799" s="2" t="e">
        <f ca="1"/>
        <v>#N/A</v>
      </c>
      <c r="C799" t="e">
        <f ca="1"/>
        <v>#N/A</v>
      </c>
      <c r="D799" t="e">
        <f ca="1"/>
        <v>#N/A</v>
      </c>
      <c r="E799" t="e">
        <f ca="1"/>
        <v>#N/A</v>
      </c>
      <c r="F799" t="e">
        <f ca="1"/>
        <v>#N/A</v>
      </c>
      <c r="G799" t="e">
        <f ca="1"/>
        <v>#N/A</v>
      </c>
      <c r="H799" t="e">
        <f ca="1"/>
        <v>#N/A</v>
      </c>
      <c r="I799" t="e">
        <f ca="1"/>
        <v>#N/A</v>
      </c>
      <c r="J799" t="e">
        <f ca="1"/>
        <v>#N/A</v>
      </c>
      <c r="K799" s="49" t="e">
        <f ca="1"/>
        <v>#N/A</v>
      </c>
    </row>
    <row r="800" spans="1:11" x14ac:dyDescent="0.25">
      <c r="A800" s="2" t="e">
        <f ca="1"/>
        <v>#N/A</v>
      </c>
      <c r="C800" t="e">
        <f ca="1"/>
        <v>#N/A</v>
      </c>
      <c r="D800" t="e">
        <f ca="1"/>
        <v>#N/A</v>
      </c>
      <c r="E800" t="e">
        <f ca="1"/>
        <v>#N/A</v>
      </c>
      <c r="F800" t="e">
        <f ca="1"/>
        <v>#N/A</v>
      </c>
      <c r="G800" t="e">
        <f ca="1"/>
        <v>#N/A</v>
      </c>
      <c r="H800" t="e">
        <f ca="1"/>
        <v>#N/A</v>
      </c>
      <c r="I800" t="e">
        <f ca="1"/>
        <v>#N/A</v>
      </c>
      <c r="J800" t="e">
        <f ca="1"/>
        <v>#N/A</v>
      </c>
      <c r="K800" s="49" t="e">
        <f ca="1"/>
        <v>#N/A</v>
      </c>
    </row>
    <row r="801" spans="1:11" x14ac:dyDescent="0.25">
      <c r="A801" s="2" t="e">
        <f ca="1"/>
        <v>#N/A</v>
      </c>
      <c r="C801" t="e">
        <f ca="1"/>
        <v>#N/A</v>
      </c>
      <c r="D801" t="e">
        <f ca="1"/>
        <v>#N/A</v>
      </c>
      <c r="E801" t="e">
        <f ca="1"/>
        <v>#N/A</v>
      </c>
      <c r="F801" t="e">
        <f ca="1"/>
        <v>#N/A</v>
      </c>
      <c r="G801" t="e">
        <f ca="1"/>
        <v>#N/A</v>
      </c>
      <c r="H801" t="e">
        <f ca="1"/>
        <v>#N/A</v>
      </c>
      <c r="I801" t="e">
        <f ca="1"/>
        <v>#N/A</v>
      </c>
      <c r="J801" t="e">
        <f ca="1"/>
        <v>#N/A</v>
      </c>
      <c r="K801" s="49" t="e">
        <f ca="1"/>
        <v>#N/A</v>
      </c>
    </row>
    <row r="802" spans="1:11" x14ac:dyDescent="0.25">
      <c r="A802" s="2" t="e">
        <f ca="1"/>
        <v>#N/A</v>
      </c>
      <c r="C802" t="e">
        <f ca="1"/>
        <v>#N/A</v>
      </c>
      <c r="D802" t="e">
        <f ca="1"/>
        <v>#N/A</v>
      </c>
      <c r="E802" t="e">
        <f ca="1"/>
        <v>#N/A</v>
      </c>
      <c r="F802" t="e">
        <f ca="1"/>
        <v>#N/A</v>
      </c>
      <c r="G802" t="e">
        <f ca="1"/>
        <v>#N/A</v>
      </c>
      <c r="H802" t="e">
        <f ca="1"/>
        <v>#N/A</v>
      </c>
      <c r="I802" t="e">
        <f ca="1"/>
        <v>#N/A</v>
      </c>
      <c r="J802" t="e">
        <f ca="1"/>
        <v>#N/A</v>
      </c>
      <c r="K802" s="49" t="e">
        <f ca="1"/>
        <v>#N/A</v>
      </c>
    </row>
    <row r="803" spans="1:11" x14ac:dyDescent="0.25">
      <c r="A803" s="2" t="e">
        <f ca="1"/>
        <v>#N/A</v>
      </c>
      <c r="C803" t="e">
        <f ca="1"/>
        <v>#N/A</v>
      </c>
      <c r="D803" t="e">
        <f ca="1"/>
        <v>#N/A</v>
      </c>
      <c r="E803" t="e">
        <f ca="1"/>
        <v>#N/A</v>
      </c>
      <c r="F803" t="e">
        <f ca="1"/>
        <v>#N/A</v>
      </c>
      <c r="G803" t="e">
        <f ca="1"/>
        <v>#N/A</v>
      </c>
      <c r="H803" t="e">
        <f ca="1"/>
        <v>#N/A</v>
      </c>
      <c r="I803" t="e">
        <f ca="1"/>
        <v>#N/A</v>
      </c>
      <c r="J803" t="e">
        <f ca="1"/>
        <v>#N/A</v>
      </c>
      <c r="K803" s="49" t="e">
        <f ca="1"/>
        <v>#N/A</v>
      </c>
    </row>
    <row r="804" spans="1:11" x14ac:dyDescent="0.25">
      <c r="A804" s="2" t="e">
        <f ca="1"/>
        <v>#N/A</v>
      </c>
      <c r="C804" t="e">
        <f ca="1"/>
        <v>#N/A</v>
      </c>
      <c r="D804" t="e">
        <f ca="1"/>
        <v>#N/A</v>
      </c>
      <c r="E804" t="e">
        <f ca="1"/>
        <v>#N/A</v>
      </c>
      <c r="F804" t="e">
        <f ca="1"/>
        <v>#N/A</v>
      </c>
      <c r="G804" t="e">
        <f ca="1"/>
        <v>#N/A</v>
      </c>
      <c r="H804" t="e">
        <f ca="1"/>
        <v>#N/A</v>
      </c>
      <c r="I804" t="e">
        <f ca="1"/>
        <v>#N/A</v>
      </c>
      <c r="J804" t="e">
        <f ca="1"/>
        <v>#N/A</v>
      </c>
      <c r="K804" s="49" t="e">
        <f ca="1"/>
        <v>#N/A</v>
      </c>
    </row>
    <row r="805" spans="1:11" x14ac:dyDescent="0.25">
      <c r="A805" s="2" t="e">
        <f ca="1"/>
        <v>#N/A</v>
      </c>
      <c r="C805" t="e">
        <f ca="1"/>
        <v>#N/A</v>
      </c>
      <c r="D805" t="e">
        <f ca="1"/>
        <v>#N/A</v>
      </c>
      <c r="E805" t="e">
        <f ca="1"/>
        <v>#N/A</v>
      </c>
      <c r="F805" t="e">
        <f ca="1"/>
        <v>#N/A</v>
      </c>
      <c r="G805" t="e">
        <f ca="1"/>
        <v>#N/A</v>
      </c>
      <c r="H805" t="e">
        <f ca="1"/>
        <v>#N/A</v>
      </c>
      <c r="I805" t="e">
        <f ca="1"/>
        <v>#N/A</v>
      </c>
      <c r="J805" t="e">
        <f ca="1"/>
        <v>#N/A</v>
      </c>
      <c r="K805" s="49" t="e">
        <f ca="1"/>
        <v>#N/A</v>
      </c>
    </row>
    <row r="806" spans="1:11" x14ac:dyDescent="0.25">
      <c r="A806" s="2" t="e">
        <f ca="1"/>
        <v>#N/A</v>
      </c>
      <c r="C806" t="e">
        <f ca="1"/>
        <v>#N/A</v>
      </c>
      <c r="D806" t="e">
        <f ca="1"/>
        <v>#N/A</v>
      </c>
      <c r="E806" t="e">
        <f ca="1"/>
        <v>#N/A</v>
      </c>
      <c r="F806" t="e">
        <f ca="1"/>
        <v>#N/A</v>
      </c>
      <c r="G806" t="e">
        <f ca="1"/>
        <v>#N/A</v>
      </c>
      <c r="H806" t="e">
        <f ca="1"/>
        <v>#N/A</v>
      </c>
      <c r="I806" t="e">
        <f ca="1"/>
        <v>#N/A</v>
      </c>
      <c r="J806" t="e">
        <f ca="1"/>
        <v>#N/A</v>
      </c>
      <c r="K806" s="49" t="e">
        <f ca="1"/>
        <v>#N/A</v>
      </c>
    </row>
    <row r="807" spans="1:11" x14ac:dyDescent="0.25">
      <c r="A807" s="2" t="e">
        <f ca="1"/>
        <v>#N/A</v>
      </c>
      <c r="C807" t="e">
        <f ca="1"/>
        <v>#N/A</v>
      </c>
      <c r="D807" t="e">
        <f ca="1"/>
        <v>#N/A</v>
      </c>
      <c r="E807" t="e">
        <f ca="1"/>
        <v>#N/A</v>
      </c>
      <c r="F807" t="e">
        <f ca="1"/>
        <v>#N/A</v>
      </c>
      <c r="G807" t="e">
        <f ca="1"/>
        <v>#N/A</v>
      </c>
      <c r="H807" t="e">
        <f ca="1"/>
        <v>#N/A</v>
      </c>
      <c r="I807" t="e">
        <f ca="1"/>
        <v>#N/A</v>
      </c>
      <c r="J807" t="e">
        <f ca="1"/>
        <v>#N/A</v>
      </c>
      <c r="K807" s="49" t="e">
        <f ca="1"/>
        <v>#N/A</v>
      </c>
    </row>
    <row r="808" spans="1:11" x14ac:dyDescent="0.25">
      <c r="A808" s="2" t="e">
        <f ca="1"/>
        <v>#N/A</v>
      </c>
      <c r="C808" t="e">
        <f ca="1"/>
        <v>#N/A</v>
      </c>
      <c r="D808" t="e">
        <f ca="1"/>
        <v>#N/A</v>
      </c>
      <c r="E808" t="e">
        <f ca="1"/>
        <v>#N/A</v>
      </c>
      <c r="F808" t="e">
        <f ca="1"/>
        <v>#N/A</v>
      </c>
      <c r="G808" t="e">
        <f ca="1"/>
        <v>#N/A</v>
      </c>
      <c r="H808" t="e">
        <f ca="1"/>
        <v>#N/A</v>
      </c>
      <c r="I808" t="e">
        <f ca="1"/>
        <v>#N/A</v>
      </c>
      <c r="J808" t="e">
        <f ca="1"/>
        <v>#N/A</v>
      </c>
      <c r="K808" s="49" t="e">
        <f ca="1"/>
        <v>#N/A</v>
      </c>
    </row>
    <row r="809" spans="1:11" x14ac:dyDescent="0.25">
      <c r="A809" s="2" t="e">
        <f ca="1"/>
        <v>#N/A</v>
      </c>
      <c r="C809" t="e">
        <f ca="1"/>
        <v>#N/A</v>
      </c>
      <c r="D809" t="e">
        <f ca="1"/>
        <v>#N/A</v>
      </c>
      <c r="E809" t="e">
        <f ca="1"/>
        <v>#N/A</v>
      </c>
      <c r="F809" t="e">
        <f ca="1"/>
        <v>#N/A</v>
      </c>
      <c r="G809" t="e">
        <f ca="1"/>
        <v>#N/A</v>
      </c>
      <c r="H809" t="e">
        <f ca="1"/>
        <v>#N/A</v>
      </c>
      <c r="I809" t="e">
        <f ca="1"/>
        <v>#N/A</v>
      </c>
      <c r="J809" t="e">
        <f ca="1"/>
        <v>#N/A</v>
      </c>
      <c r="K809" s="49" t="e">
        <f ca="1"/>
        <v>#N/A</v>
      </c>
    </row>
    <row r="810" spans="1:11" x14ac:dyDescent="0.25">
      <c r="A810" s="2" t="e">
        <f ca="1"/>
        <v>#N/A</v>
      </c>
      <c r="C810" t="e">
        <f ca="1"/>
        <v>#N/A</v>
      </c>
      <c r="D810" t="e">
        <f ca="1"/>
        <v>#N/A</v>
      </c>
      <c r="E810" t="e">
        <f ca="1"/>
        <v>#N/A</v>
      </c>
      <c r="F810" t="e">
        <f ca="1"/>
        <v>#N/A</v>
      </c>
      <c r="G810" t="e">
        <f ca="1"/>
        <v>#N/A</v>
      </c>
      <c r="H810" t="e">
        <f ca="1"/>
        <v>#N/A</v>
      </c>
      <c r="I810" t="e">
        <f ca="1"/>
        <v>#N/A</v>
      </c>
      <c r="J810" t="e">
        <f ca="1"/>
        <v>#N/A</v>
      </c>
      <c r="K810" s="49" t="e">
        <f ca="1"/>
        <v>#N/A</v>
      </c>
    </row>
    <row r="811" spans="1:11" x14ac:dyDescent="0.25">
      <c r="A811" s="2" t="e">
        <f ca="1"/>
        <v>#N/A</v>
      </c>
      <c r="C811" t="e">
        <f ca="1"/>
        <v>#N/A</v>
      </c>
      <c r="D811" t="e">
        <f ca="1"/>
        <v>#N/A</v>
      </c>
      <c r="E811" t="e">
        <f ca="1"/>
        <v>#N/A</v>
      </c>
      <c r="F811" t="e">
        <f ca="1"/>
        <v>#N/A</v>
      </c>
      <c r="G811" t="e">
        <f ca="1"/>
        <v>#N/A</v>
      </c>
      <c r="H811" t="e">
        <f ca="1"/>
        <v>#N/A</v>
      </c>
      <c r="I811" t="e">
        <f ca="1"/>
        <v>#N/A</v>
      </c>
      <c r="J811" t="e">
        <f ca="1"/>
        <v>#N/A</v>
      </c>
      <c r="K811" s="49" t="e">
        <f ca="1"/>
        <v>#N/A</v>
      </c>
    </row>
    <row r="812" spans="1:11" x14ac:dyDescent="0.25">
      <c r="A812" s="2" t="e">
        <f ca="1"/>
        <v>#N/A</v>
      </c>
      <c r="C812" t="e">
        <f ca="1"/>
        <v>#N/A</v>
      </c>
      <c r="D812" t="e">
        <f ca="1"/>
        <v>#N/A</v>
      </c>
      <c r="E812" t="e">
        <f ca="1"/>
        <v>#N/A</v>
      </c>
      <c r="F812" t="e">
        <f ca="1"/>
        <v>#N/A</v>
      </c>
      <c r="G812" t="e">
        <f ca="1"/>
        <v>#N/A</v>
      </c>
      <c r="H812" t="e">
        <f ca="1"/>
        <v>#N/A</v>
      </c>
      <c r="I812" t="e">
        <f ca="1"/>
        <v>#N/A</v>
      </c>
      <c r="J812" t="e">
        <f ca="1"/>
        <v>#N/A</v>
      </c>
      <c r="K812" s="49" t="e">
        <f ca="1"/>
        <v>#N/A</v>
      </c>
    </row>
    <row r="813" spans="1:11" x14ac:dyDescent="0.25">
      <c r="A813" s="2" t="e">
        <f ca="1"/>
        <v>#N/A</v>
      </c>
      <c r="C813" t="e">
        <f ca="1"/>
        <v>#N/A</v>
      </c>
      <c r="D813" t="e">
        <f ca="1"/>
        <v>#N/A</v>
      </c>
      <c r="E813" t="e">
        <f ca="1"/>
        <v>#N/A</v>
      </c>
      <c r="F813" t="e">
        <f ca="1"/>
        <v>#N/A</v>
      </c>
      <c r="G813" t="e">
        <f ca="1"/>
        <v>#N/A</v>
      </c>
      <c r="H813" t="e">
        <f ca="1"/>
        <v>#N/A</v>
      </c>
      <c r="I813" t="e">
        <f ca="1"/>
        <v>#N/A</v>
      </c>
      <c r="J813" t="e">
        <f ca="1"/>
        <v>#N/A</v>
      </c>
      <c r="K813" s="49" t="e">
        <f ca="1"/>
        <v>#N/A</v>
      </c>
    </row>
    <row r="814" spans="1:11" x14ac:dyDescent="0.25">
      <c r="A814" s="2" t="e">
        <f ca="1"/>
        <v>#N/A</v>
      </c>
      <c r="C814" t="e">
        <f ca="1"/>
        <v>#N/A</v>
      </c>
      <c r="D814" t="e">
        <f ca="1"/>
        <v>#N/A</v>
      </c>
      <c r="E814" t="e">
        <f ca="1"/>
        <v>#N/A</v>
      </c>
      <c r="F814" t="e">
        <f ca="1"/>
        <v>#N/A</v>
      </c>
      <c r="G814" t="e">
        <f ca="1"/>
        <v>#N/A</v>
      </c>
      <c r="H814" t="e">
        <f ca="1"/>
        <v>#N/A</v>
      </c>
      <c r="I814" t="e">
        <f ca="1"/>
        <v>#N/A</v>
      </c>
      <c r="J814" t="e">
        <f ca="1"/>
        <v>#N/A</v>
      </c>
      <c r="K814" s="49" t="e">
        <f ca="1"/>
        <v>#N/A</v>
      </c>
    </row>
    <row r="815" spans="1:11" x14ac:dyDescent="0.25">
      <c r="A815" s="2" t="e">
        <f ca="1"/>
        <v>#N/A</v>
      </c>
      <c r="C815" t="e">
        <f ca="1"/>
        <v>#N/A</v>
      </c>
      <c r="D815" t="e">
        <f ca="1"/>
        <v>#N/A</v>
      </c>
      <c r="E815" t="e">
        <f ca="1"/>
        <v>#N/A</v>
      </c>
      <c r="F815" t="e">
        <f ca="1"/>
        <v>#N/A</v>
      </c>
      <c r="G815" t="e">
        <f ca="1"/>
        <v>#N/A</v>
      </c>
      <c r="H815" t="e">
        <f ca="1"/>
        <v>#N/A</v>
      </c>
      <c r="I815" t="e">
        <f ca="1"/>
        <v>#N/A</v>
      </c>
      <c r="J815" t="e">
        <f ca="1"/>
        <v>#N/A</v>
      </c>
      <c r="K815" s="49" t="e">
        <f ca="1"/>
        <v>#N/A</v>
      </c>
    </row>
    <row r="816" spans="1:11" x14ac:dyDescent="0.25">
      <c r="A816" s="2" t="e">
        <f ca="1"/>
        <v>#N/A</v>
      </c>
      <c r="C816" t="e">
        <f ca="1"/>
        <v>#N/A</v>
      </c>
      <c r="D816" t="e">
        <f ca="1"/>
        <v>#N/A</v>
      </c>
      <c r="E816" t="e">
        <f ca="1"/>
        <v>#N/A</v>
      </c>
      <c r="F816" t="e">
        <f ca="1"/>
        <v>#N/A</v>
      </c>
      <c r="G816" t="e">
        <f ca="1"/>
        <v>#N/A</v>
      </c>
      <c r="H816" t="e">
        <f ca="1"/>
        <v>#N/A</v>
      </c>
      <c r="I816" t="e">
        <f ca="1"/>
        <v>#N/A</v>
      </c>
      <c r="J816" t="e">
        <f ca="1"/>
        <v>#N/A</v>
      </c>
      <c r="K816" s="49" t="e">
        <f ca="1"/>
        <v>#N/A</v>
      </c>
    </row>
    <row r="817" spans="1:11" x14ac:dyDescent="0.25">
      <c r="A817" s="2" t="e">
        <f ca="1"/>
        <v>#N/A</v>
      </c>
      <c r="C817" t="e">
        <f ca="1"/>
        <v>#N/A</v>
      </c>
      <c r="D817" t="e">
        <f ca="1"/>
        <v>#N/A</v>
      </c>
      <c r="E817" t="e">
        <f ca="1"/>
        <v>#N/A</v>
      </c>
      <c r="F817" t="e">
        <f ca="1"/>
        <v>#N/A</v>
      </c>
      <c r="G817" t="e">
        <f ca="1"/>
        <v>#N/A</v>
      </c>
      <c r="H817" t="e">
        <f ca="1"/>
        <v>#N/A</v>
      </c>
      <c r="I817" t="e">
        <f ca="1"/>
        <v>#N/A</v>
      </c>
      <c r="J817" t="e">
        <f ca="1"/>
        <v>#N/A</v>
      </c>
      <c r="K817" s="49" t="e">
        <f ca="1"/>
        <v>#N/A</v>
      </c>
    </row>
    <row r="818" spans="1:11" x14ac:dyDescent="0.25">
      <c r="A818" s="2" t="e">
        <f ca="1"/>
        <v>#N/A</v>
      </c>
      <c r="C818" t="e">
        <f ca="1"/>
        <v>#N/A</v>
      </c>
      <c r="D818" t="e">
        <f ca="1"/>
        <v>#N/A</v>
      </c>
      <c r="E818" t="e">
        <f ca="1"/>
        <v>#N/A</v>
      </c>
      <c r="F818" t="e">
        <f ca="1"/>
        <v>#N/A</v>
      </c>
      <c r="G818" t="e">
        <f ca="1"/>
        <v>#N/A</v>
      </c>
      <c r="H818" t="e">
        <f ca="1"/>
        <v>#N/A</v>
      </c>
      <c r="I818" t="e">
        <f ca="1"/>
        <v>#N/A</v>
      </c>
      <c r="J818" t="e">
        <f ca="1"/>
        <v>#N/A</v>
      </c>
      <c r="K818" s="49" t="e">
        <f ca="1"/>
        <v>#N/A</v>
      </c>
    </row>
    <row r="819" spans="1:11" x14ac:dyDescent="0.25">
      <c r="A819" s="2" t="e">
        <f ca="1"/>
        <v>#N/A</v>
      </c>
      <c r="C819" t="e">
        <f ca="1"/>
        <v>#N/A</v>
      </c>
      <c r="D819" t="e">
        <f ca="1"/>
        <v>#N/A</v>
      </c>
      <c r="E819" t="e">
        <f ca="1"/>
        <v>#N/A</v>
      </c>
      <c r="F819" t="e">
        <f ca="1"/>
        <v>#N/A</v>
      </c>
      <c r="G819" t="e">
        <f ca="1"/>
        <v>#N/A</v>
      </c>
      <c r="H819" t="e">
        <f ca="1"/>
        <v>#N/A</v>
      </c>
      <c r="I819" t="e">
        <f ca="1"/>
        <v>#N/A</v>
      </c>
      <c r="J819" t="e">
        <f ca="1"/>
        <v>#N/A</v>
      </c>
      <c r="K819" s="49" t="e">
        <f ca="1"/>
        <v>#N/A</v>
      </c>
    </row>
    <row r="820" spans="1:11" x14ac:dyDescent="0.25">
      <c r="A820" s="2" t="e">
        <f ca="1"/>
        <v>#N/A</v>
      </c>
      <c r="C820" t="e">
        <f ca="1"/>
        <v>#N/A</v>
      </c>
      <c r="D820" t="e">
        <f ca="1"/>
        <v>#N/A</v>
      </c>
      <c r="E820" t="e">
        <f ca="1"/>
        <v>#N/A</v>
      </c>
      <c r="F820" t="e">
        <f ca="1"/>
        <v>#N/A</v>
      </c>
      <c r="G820" t="e">
        <f ca="1"/>
        <v>#N/A</v>
      </c>
      <c r="H820" t="e">
        <f ca="1"/>
        <v>#N/A</v>
      </c>
      <c r="I820" t="e">
        <f ca="1"/>
        <v>#N/A</v>
      </c>
      <c r="J820" t="e">
        <f ca="1"/>
        <v>#N/A</v>
      </c>
      <c r="K820" s="49" t="e">
        <f ca="1"/>
        <v>#N/A</v>
      </c>
    </row>
    <row r="821" spans="1:11" x14ac:dyDescent="0.25">
      <c r="A821" s="2" t="e">
        <f ca="1"/>
        <v>#N/A</v>
      </c>
      <c r="C821" t="e">
        <f ca="1"/>
        <v>#N/A</v>
      </c>
      <c r="D821" t="e">
        <f ca="1"/>
        <v>#N/A</v>
      </c>
      <c r="E821" t="e">
        <f ca="1"/>
        <v>#N/A</v>
      </c>
      <c r="F821" t="e">
        <f ca="1"/>
        <v>#N/A</v>
      </c>
      <c r="G821" t="e">
        <f ca="1"/>
        <v>#N/A</v>
      </c>
      <c r="H821" t="e">
        <f ca="1"/>
        <v>#N/A</v>
      </c>
      <c r="I821" t="e">
        <f ca="1"/>
        <v>#N/A</v>
      </c>
      <c r="J821" t="e">
        <f ca="1"/>
        <v>#N/A</v>
      </c>
      <c r="K821" s="49" t="e">
        <f ca="1"/>
        <v>#N/A</v>
      </c>
    </row>
    <row r="822" spans="1:11" x14ac:dyDescent="0.25">
      <c r="A822" s="2" t="e">
        <f ca="1"/>
        <v>#N/A</v>
      </c>
      <c r="C822" t="e">
        <f ca="1"/>
        <v>#N/A</v>
      </c>
      <c r="D822" t="e">
        <f ca="1"/>
        <v>#N/A</v>
      </c>
      <c r="E822" t="e">
        <f ca="1"/>
        <v>#N/A</v>
      </c>
      <c r="F822" t="e">
        <f ca="1"/>
        <v>#N/A</v>
      </c>
      <c r="G822" t="e">
        <f ca="1"/>
        <v>#N/A</v>
      </c>
      <c r="H822" t="e">
        <f ca="1"/>
        <v>#N/A</v>
      </c>
      <c r="I822" t="e">
        <f ca="1"/>
        <v>#N/A</v>
      </c>
      <c r="J822" t="e">
        <f ca="1"/>
        <v>#N/A</v>
      </c>
      <c r="K822" s="49" t="e">
        <f ca="1"/>
        <v>#N/A</v>
      </c>
    </row>
    <row r="823" spans="1:11" x14ac:dyDescent="0.25">
      <c r="A823" s="2" t="e">
        <f ca="1"/>
        <v>#N/A</v>
      </c>
      <c r="C823" t="e">
        <f ca="1"/>
        <v>#N/A</v>
      </c>
      <c r="D823" t="e">
        <f ca="1"/>
        <v>#N/A</v>
      </c>
      <c r="E823" t="e">
        <f ca="1"/>
        <v>#N/A</v>
      </c>
      <c r="F823" t="e">
        <f ca="1"/>
        <v>#N/A</v>
      </c>
      <c r="G823" t="e">
        <f ca="1"/>
        <v>#N/A</v>
      </c>
      <c r="H823" t="e">
        <f ca="1"/>
        <v>#N/A</v>
      </c>
      <c r="I823" t="e">
        <f ca="1"/>
        <v>#N/A</v>
      </c>
      <c r="J823" t="e">
        <f ca="1"/>
        <v>#N/A</v>
      </c>
      <c r="K823" s="49" t="e">
        <f ca="1"/>
        <v>#N/A</v>
      </c>
    </row>
    <row r="824" spans="1:11" x14ac:dyDescent="0.25">
      <c r="A824" s="2" t="e">
        <f ca="1"/>
        <v>#N/A</v>
      </c>
      <c r="C824" t="e">
        <f ca="1"/>
        <v>#N/A</v>
      </c>
      <c r="D824" t="e">
        <f ca="1"/>
        <v>#N/A</v>
      </c>
      <c r="E824" t="e">
        <f ca="1"/>
        <v>#N/A</v>
      </c>
      <c r="F824" t="e">
        <f ca="1"/>
        <v>#N/A</v>
      </c>
      <c r="G824" t="e">
        <f ca="1"/>
        <v>#N/A</v>
      </c>
      <c r="H824" t="e">
        <f ca="1"/>
        <v>#N/A</v>
      </c>
      <c r="I824" t="e">
        <f ca="1"/>
        <v>#N/A</v>
      </c>
      <c r="J824" t="e">
        <f ca="1"/>
        <v>#N/A</v>
      </c>
      <c r="K824" s="49" t="e">
        <f ca="1"/>
        <v>#N/A</v>
      </c>
    </row>
    <row r="825" spans="1:11" x14ac:dyDescent="0.25">
      <c r="A825" s="2" t="e">
        <f ca="1"/>
        <v>#N/A</v>
      </c>
      <c r="C825" t="e">
        <f ca="1"/>
        <v>#N/A</v>
      </c>
      <c r="D825" t="e">
        <f ca="1"/>
        <v>#N/A</v>
      </c>
      <c r="E825" t="e">
        <f ca="1"/>
        <v>#N/A</v>
      </c>
      <c r="F825" t="e">
        <f ca="1"/>
        <v>#N/A</v>
      </c>
      <c r="G825" t="e">
        <f ca="1"/>
        <v>#N/A</v>
      </c>
      <c r="H825" t="e">
        <f ca="1"/>
        <v>#N/A</v>
      </c>
      <c r="I825" t="e">
        <f ca="1"/>
        <v>#N/A</v>
      </c>
      <c r="J825" t="e">
        <f ca="1"/>
        <v>#N/A</v>
      </c>
      <c r="K825" s="49" t="e">
        <f ca="1"/>
        <v>#N/A</v>
      </c>
    </row>
    <row r="826" spans="1:11" x14ac:dyDescent="0.25">
      <c r="A826" s="2" t="e">
        <f ca="1"/>
        <v>#N/A</v>
      </c>
      <c r="C826" t="e">
        <f ca="1"/>
        <v>#N/A</v>
      </c>
      <c r="D826" t="e">
        <f ca="1"/>
        <v>#N/A</v>
      </c>
      <c r="E826" t="e">
        <f ca="1"/>
        <v>#N/A</v>
      </c>
      <c r="F826" t="e">
        <f ca="1"/>
        <v>#N/A</v>
      </c>
      <c r="G826" t="e">
        <f ca="1"/>
        <v>#N/A</v>
      </c>
      <c r="H826" t="e">
        <f ca="1"/>
        <v>#N/A</v>
      </c>
      <c r="I826" t="e">
        <f ca="1"/>
        <v>#N/A</v>
      </c>
      <c r="J826" t="e">
        <f ca="1"/>
        <v>#N/A</v>
      </c>
      <c r="K826" s="49" t="e">
        <f ca="1"/>
        <v>#N/A</v>
      </c>
    </row>
    <row r="827" spans="1:11" x14ac:dyDescent="0.25">
      <c r="A827" s="2" t="e">
        <f ca="1"/>
        <v>#N/A</v>
      </c>
      <c r="C827" t="e">
        <f ca="1"/>
        <v>#N/A</v>
      </c>
      <c r="D827" t="e">
        <f ca="1"/>
        <v>#N/A</v>
      </c>
      <c r="E827" t="e">
        <f ca="1"/>
        <v>#N/A</v>
      </c>
      <c r="F827" t="e">
        <f ca="1"/>
        <v>#N/A</v>
      </c>
      <c r="G827" t="e">
        <f ca="1"/>
        <v>#N/A</v>
      </c>
      <c r="H827" t="e">
        <f ca="1"/>
        <v>#N/A</v>
      </c>
      <c r="I827" t="e">
        <f ca="1"/>
        <v>#N/A</v>
      </c>
      <c r="J827" t="e">
        <f ca="1"/>
        <v>#N/A</v>
      </c>
      <c r="K827" s="49" t="e">
        <f ca="1"/>
        <v>#N/A</v>
      </c>
    </row>
    <row r="828" spans="1:11" x14ac:dyDescent="0.25">
      <c r="A828" s="2" t="e">
        <f ca="1"/>
        <v>#N/A</v>
      </c>
      <c r="C828" t="e">
        <f ca="1"/>
        <v>#N/A</v>
      </c>
      <c r="D828" t="e">
        <f ca="1"/>
        <v>#N/A</v>
      </c>
      <c r="E828" t="e">
        <f ca="1"/>
        <v>#N/A</v>
      </c>
      <c r="F828" t="e">
        <f ca="1"/>
        <v>#N/A</v>
      </c>
      <c r="G828" t="e">
        <f ca="1"/>
        <v>#N/A</v>
      </c>
      <c r="H828" t="e">
        <f ca="1"/>
        <v>#N/A</v>
      </c>
      <c r="I828" t="e">
        <f ca="1"/>
        <v>#N/A</v>
      </c>
      <c r="J828" t="e">
        <f ca="1"/>
        <v>#N/A</v>
      </c>
      <c r="K828" s="49" t="e">
        <f ca="1"/>
        <v>#N/A</v>
      </c>
    </row>
    <row r="829" spans="1:11" x14ac:dyDescent="0.25">
      <c r="A829" s="2" t="e">
        <f ca="1"/>
        <v>#N/A</v>
      </c>
      <c r="C829" t="e">
        <f ca="1"/>
        <v>#N/A</v>
      </c>
      <c r="D829" t="e">
        <f ca="1"/>
        <v>#N/A</v>
      </c>
      <c r="E829" t="e">
        <f ca="1"/>
        <v>#N/A</v>
      </c>
      <c r="F829" t="e">
        <f ca="1"/>
        <v>#N/A</v>
      </c>
      <c r="G829" t="e">
        <f ca="1"/>
        <v>#N/A</v>
      </c>
      <c r="H829" t="e">
        <f ca="1"/>
        <v>#N/A</v>
      </c>
      <c r="I829" t="e">
        <f ca="1"/>
        <v>#N/A</v>
      </c>
      <c r="J829" t="e">
        <f ca="1"/>
        <v>#N/A</v>
      </c>
      <c r="K829" s="49" t="e">
        <f ca="1"/>
        <v>#N/A</v>
      </c>
    </row>
    <row r="830" spans="1:11" x14ac:dyDescent="0.25">
      <c r="A830" s="2" t="e">
        <f ca="1"/>
        <v>#N/A</v>
      </c>
      <c r="C830" t="e">
        <f ca="1"/>
        <v>#N/A</v>
      </c>
      <c r="D830" t="e">
        <f ca="1"/>
        <v>#N/A</v>
      </c>
      <c r="E830" t="e">
        <f ca="1"/>
        <v>#N/A</v>
      </c>
      <c r="F830" t="e">
        <f ca="1"/>
        <v>#N/A</v>
      </c>
      <c r="G830" t="e">
        <f ca="1"/>
        <v>#N/A</v>
      </c>
      <c r="H830" t="e">
        <f ca="1"/>
        <v>#N/A</v>
      </c>
      <c r="I830" t="e">
        <f ca="1"/>
        <v>#N/A</v>
      </c>
      <c r="J830" t="e">
        <f ca="1"/>
        <v>#N/A</v>
      </c>
      <c r="K830" s="49" t="e">
        <f ca="1"/>
        <v>#N/A</v>
      </c>
    </row>
    <row r="831" spans="1:11" x14ac:dyDescent="0.25">
      <c r="A831" s="2" t="e">
        <f ca="1"/>
        <v>#N/A</v>
      </c>
      <c r="C831" t="e">
        <f ca="1"/>
        <v>#N/A</v>
      </c>
      <c r="D831" t="e">
        <f ca="1"/>
        <v>#N/A</v>
      </c>
      <c r="E831" t="e">
        <f ca="1"/>
        <v>#N/A</v>
      </c>
      <c r="F831" t="e">
        <f ca="1"/>
        <v>#N/A</v>
      </c>
      <c r="G831" t="e">
        <f ca="1"/>
        <v>#N/A</v>
      </c>
      <c r="H831" t="e">
        <f ca="1"/>
        <v>#N/A</v>
      </c>
      <c r="I831" t="e">
        <f ca="1"/>
        <v>#N/A</v>
      </c>
      <c r="J831" t="e">
        <f ca="1"/>
        <v>#N/A</v>
      </c>
      <c r="K831" s="49" t="e">
        <f ca="1"/>
        <v>#N/A</v>
      </c>
    </row>
    <row r="832" spans="1:11" x14ac:dyDescent="0.25">
      <c r="A832" s="2" t="e">
        <f ca="1"/>
        <v>#N/A</v>
      </c>
      <c r="C832" t="e">
        <f ca="1"/>
        <v>#N/A</v>
      </c>
      <c r="D832" t="e">
        <f ca="1"/>
        <v>#N/A</v>
      </c>
      <c r="E832" t="e">
        <f ca="1"/>
        <v>#N/A</v>
      </c>
      <c r="F832" t="e">
        <f ca="1"/>
        <v>#N/A</v>
      </c>
      <c r="G832" t="e">
        <f ca="1"/>
        <v>#N/A</v>
      </c>
      <c r="H832" t="e">
        <f ca="1"/>
        <v>#N/A</v>
      </c>
      <c r="I832" t="e">
        <f ca="1"/>
        <v>#N/A</v>
      </c>
      <c r="J832" t="e">
        <f ca="1"/>
        <v>#N/A</v>
      </c>
      <c r="K832" s="49" t="e">
        <f ca="1"/>
        <v>#N/A</v>
      </c>
    </row>
    <row r="833" spans="1:11" x14ac:dyDescent="0.25">
      <c r="A833" s="2" t="e">
        <f ca="1"/>
        <v>#N/A</v>
      </c>
      <c r="C833" t="e">
        <f ca="1"/>
        <v>#N/A</v>
      </c>
      <c r="D833" t="e">
        <f ca="1"/>
        <v>#N/A</v>
      </c>
      <c r="E833" t="e">
        <f ca="1"/>
        <v>#N/A</v>
      </c>
      <c r="F833" t="e">
        <f ca="1"/>
        <v>#N/A</v>
      </c>
      <c r="G833" t="e">
        <f ca="1"/>
        <v>#N/A</v>
      </c>
      <c r="H833" t="e">
        <f ca="1"/>
        <v>#N/A</v>
      </c>
      <c r="I833" t="e">
        <f ca="1"/>
        <v>#N/A</v>
      </c>
      <c r="J833" t="e">
        <f ca="1"/>
        <v>#N/A</v>
      </c>
      <c r="K833" s="49" t="e">
        <f ca="1"/>
        <v>#N/A</v>
      </c>
    </row>
    <row r="834" spans="1:11" x14ac:dyDescent="0.25">
      <c r="A834" s="2" t="e">
        <f ca="1"/>
        <v>#N/A</v>
      </c>
      <c r="C834" t="e">
        <f ca="1"/>
        <v>#N/A</v>
      </c>
      <c r="D834" t="e">
        <f ca="1"/>
        <v>#N/A</v>
      </c>
      <c r="E834" t="e">
        <f ca="1"/>
        <v>#N/A</v>
      </c>
      <c r="F834" t="e">
        <f ca="1"/>
        <v>#N/A</v>
      </c>
      <c r="G834" t="e">
        <f ca="1"/>
        <v>#N/A</v>
      </c>
      <c r="H834" t="e">
        <f ca="1"/>
        <v>#N/A</v>
      </c>
      <c r="I834" t="e">
        <f ca="1"/>
        <v>#N/A</v>
      </c>
      <c r="J834" t="e">
        <f ca="1"/>
        <v>#N/A</v>
      </c>
      <c r="K834" s="49" t="e">
        <f ca="1"/>
        <v>#N/A</v>
      </c>
    </row>
    <row r="835" spans="1:11" x14ac:dyDescent="0.25">
      <c r="A835" s="2" t="e">
        <f ca="1"/>
        <v>#N/A</v>
      </c>
      <c r="C835" t="e">
        <f ca="1"/>
        <v>#N/A</v>
      </c>
      <c r="D835" t="e">
        <f ca="1"/>
        <v>#N/A</v>
      </c>
      <c r="E835" t="e">
        <f ca="1"/>
        <v>#N/A</v>
      </c>
      <c r="F835" t="e">
        <f ca="1"/>
        <v>#N/A</v>
      </c>
      <c r="G835" t="e">
        <f ca="1"/>
        <v>#N/A</v>
      </c>
      <c r="H835" t="e">
        <f ca="1"/>
        <v>#N/A</v>
      </c>
      <c r="I835" t="e">
        <f ca="1"/>
        <v>#N/A</v>
      </c>
      <c r="J835" t="e">
        <f ca="1"/>
        <v>#N/A</v>
      </c>
      <c r="K835" s="49" t="e">
        <f ca="1"/>
        <v>#N/A</v>
      </c>
    </row>
    <row r="836" spans="1:11" x14ac:dyDescent="0.25">
      <c r="A836" s="2" t="e">
        <f ca="1"/>
        <v>#N/A</v>
      </c>
      <c r="C836" t="e">
        <f ca="1"/>
        <v>#N/A</v>
      </c>
      <c r="D836" t="e">
        <f ca="1"/>
        <v>#N/A</v>
      </c>
      <c r="E836" t="e">
        <f ca="1"/>
        <v>#N/A</v>
      </c>
      <c r="F836" t="e">
        <f ca="1"/>
        <v>#N/A</v>
      </c>
      <c r="G836" t="e">
        <f ca="1"/>
        <v>#N/A</v>
      </c>
      <c r="H836" t="e">
        <f ca="1"/>
        <v>#N/A</v>
      </c>
      <c r="I836" t="e">
        <f ca="1"/>
        <v>#N/A</v>
      </c>
      <c r="J836" t="e">
        <f ca="1"/>
        <v>#N/A</v>
      </c>
      <c r="K836" s="49" t="e">
        <f ca="1"/>
        <v>#N/A</v>
      </c>
    </row>
    <row r="837" spans="1:11" x14ac:dyDescent="0.25">
      <c r="A837" s="2" t="e">
        <f ca="1"/>
        <v>#N/A</v>
      </c>
      <c r="C837" t="e">
        <f ca="1"/>
        <v>#N/A</v>
      </c>
      <c r="D837" t="e">
        <f ca="1"/>
        <v>#N/A</v>
      </c>
      <c r="E837" t="e">
        <f ca="1"/>
        <v>#N/A</v>
      </c>
      <c r="F837" t="e">
        <f ca="1"/>
        <v>#N/A</v>
      </c>
      <c r="G837" t="e">
        <f ca="1"/>
        <v>#N/A</v>
      </c>
      <c r="H837" t="e">
        <f ca="1"/>
        <v>#N/A</v>
      </c>
      <c r="I837" t="e">
        <f ca="1"/>
        <v>#N/A</v>
      </c>
      <c r="J837" t="e">
        <f ca="1"/>
        <v>#N/A</v>
      </c>
      <c r="K837" s="49" t="e">
        <f ca="1"/>
        <v>#N/A</v>
      </c>
    </row>
    <row r="838" spans="1:11" x14ac:dyDescent="0.25">
      <c r="A838" s="2" t="e">
        <f ca="1"/>
        <v>#N/A</v>
      </c>
      <c r="C838" t="e">
        <f ca="1"/>
        <v>#N/A</v>
      </c>
      <c r="D838" t="e">
        <f ca="1"/>
        <v>#N/A</v>
      </c>
      <c r="E838" t="e">
        <f ca="1"/>
        <v>#N/A</v>
      </c>
      <c r="F838" t="e">
        <f ca="1"/>
        <v>#N/A</v>
      </c>
      <c r="G838" t="e">
        <f ca="1"/>
        <v>#N/A</v>
      </c>
      <c r="H838" t="e">
        <f ca="1"/>
        <v>#N/A</v>
      </c>
      <c r="I838" t="e">
        <f ca="1"/>
        <v>#N/A</v>
      </c>
      <c r="J838" t="e">
        <f ca="1"/>
        <v>#N/A</v>
      </c>
      <c r="K838" s="49" t="e">
        <f ca="1"/>
        <v>#N/A</v>
      </c>
    </row>
    <row r="839" spans="1:11" x14ac:dyDescent="0.25">
      <c r="A839" s="2" t="e">
        <f ca="1"/>
        <v>#N/A</v>
      </c>
      <c r="C839" t="e">
        <f ca="1"/>
        <v>#N/A</v>
      </c>
      <c r="D839" t="e">
        <f ca="1"/>
        <v>#N/A</v>
      </c>
      <c r="E839" t="e">
        <f ca="1"/>
        <v>#N/A</v>
      </c>
      <c r="F839" t="e">
        <f ca="1"/>
        <v>#N/A</v>
      </c>
      <c r="G839" t="e">
        <f ca="1"/>
        <v>#N/A</v>
      </c>
      <c r="H839" t="e">
        <f ca="1"/>
        <v>#N/A</v>
      </c>
      <c r="I839" t="e">
        <f ca="1"/>
        <v>#N/A</v>
      </c>
      <c r="J839" t="e">
        <f ca="1"/>
        <v>#N/A</v>
      </c>
      <c r="K839" s="49" t="e">
        <f ca="1"/>
        <v>#N/A</v>
      </c>
    </row>
    <row r="840" spans="1:11" x14ac:dyDescent="0.25">
      <c r="A840" s="2" t="e">
        <f ca="1"/>
        <v>#N/A</v>
      </c>
      <c r="C840" t="e">
        <f ca="1"/>
        <v>#N/A</v>
      </c>
      <c r="D840" t="e">
        <f ca="1"/>
        <v>#N/A</v>
      </c>
      <c r="E840" t="e">
        <f ca="1"/>
        <v>#N/A</v>
      </c>
      <c r="F840" t="e">
        <f ca="1"/>
        <v>#N/A</v>
      </c>
      <c r="G840" t="e">
        <f ca="1"/>
        <v>#N/A</v>
      </c>
      <c r="H840" t="e">
        <f ca="1"/>
        <v>#N/A</v>
      </c>
      <c r="I840" t="e">
        <f ca="1"/>
        <v>#N/A</v>
      </c>
      <c r="J840" t="e">
        <f ca="1"/>
        <v>#N/A</v>
      </c>
      <c r="K840" s="49" t="e">
        <f ca="1"/>
        <v>#N/A</v>
      </c>
    </row>
    <row r="841" spans="1:11" x14ac:dyDescent="0.25">
      <c r="A841" s="2" t="e">
        <f ca="1"/>
        <v>#N/A</v>
      </c>
      <c r="C841" t="e">
        <f ca="1"/>
        <v>#N/A</v>
      </c>
      <c r="D841" t="e">
        <f ca="1"/>
        <v>#N/A</v>
      </c>
      <c r="E841" t="e">
        <f ca="1"/>
        <v>#N/A</v>
      </c>
      <c r="F841" t="e">
        <f ca="1"/>
        <v>#N/A</v>
      </c>
      <c r="G841" t="e">
        <f ca="1"/>
        <v>#N/A</v>
      </c>
      <c r="H841" t="e">
        <f ca="1"/>
        <v>#N/A</v>
      </c>
      <c r="I841" t="e">
        <f ca="1"/>
        <v>#N/A</v>
      </c>
      <c r="J841" t="e">
        <f ca="1"/>
        <v>#N/A</v>
      </c>
      <c r="K841" s="49" t="e">
        <f ca="1"/>
        <v>#N/A</v>
      </c>
    </row>
    <row r="842" spans="1:11" x14ac:dyDescent="0.25">
      <c r="A842" s="2" t="e">
        <f ca="1"/>
        <v>#N/A</v>
      </c>
      <c r="C842" t="e">
        <f ca="1"/>
        <v>#N/A</v>
      </c>
      <c r="D842" t="e">
        <f ca="1"/>
        <v>#N/A</v>
      </c>
      <c r="E842" t="e">
        <f ca="1"/>
        <v>#N/A</v>
      </c>
      <c r="F842" t="e">
        <f ca="1"/>
        <v>#N/A</v>
      </c>
      <c r="G842" t="e">
        <f ca="1"/>
        <v>#N/A</v>
      </c>
      <c r="H842" t="e">
        <f ca="1"/>
        <v>#N/A</v>
      </c>
      <c r="I842" t="e">
        <f ca="1"/>
        <v>#N/A</v>
      </c>
      <c r="J842" t="e">
        <f ca="1"/>
        <v>#N/A</v>
      </c>
      <c r="K842" s="49" t="e">
        <f ca="1"/>
        <v>#N/A</v>
      </c>
    </row>
    <row r="843" spans="1:11" x14ac:dyDescent="0.25">
      <c r="A843" s="2" t="e">
        <f ca="1"/>
        <v>#N/A</v>
      </c>
      <c r="C843" t="e">
        <f ca="1"/>
        <v>#N/A</v>
      </c>
      <c r="D843" t="e">
        <f ca="1"/>
        <v>#N/A</v>
      </c>
      <c r="E843" t="e">
        <f ca="1"/>
        <v>#N/A</v>
      </c>
      <c r="F843" t="e">
        <f ca="1"/>
        <v>#N/A</v>
      </c>
      <c r="G843" t="e">
        <f ca="1"/>
        <v>#N/A</v>
      </c>
      <c r="H843" t="e">
        <f ca="1"/>
        <v>#N/A</v>
      </c>
      <c r="I843" t="e">
        <f ca="1"/>
        <v>#N/A</v>
      </c>
      <c r="J843" t="e">
        <f ca="1"/>
        <v>#N/A</v>
      </c>
      <c r="K843" s="49" t="e">
        <f ca="1"/>
        <v>#N/A</v>
      </c>
    </row>
    <row r="844" spans="1:11" x14ac:dyDescent="0.25">
      <c r="A844" s="2" t="e">
        <f ca="1"/>
        <v>#N/A</v>
      </c>
      <c r="C844" t="e">
        <f ca="1"/>
        <v>#N/A</v>
      </c>
      <c r="D844" t="e">
        <f ca="1"/>
        <v>#N/A</v>
      </c>
      <c r="E844" t="e">
        <f ca="1"/>
        <v>#N/A</v>
      </c>
      <c r="F844" t="e">
        <f ca="1"/>
        <v>#N/A</v>
      </c>
      <c r="G844" t="e">
        <f ca="1"/>
        <v>#N/A</v>
      </c>
      <c r="H844" t="e">
        <f ca="1"/>
        <v>#N/A</v>
      </c>
      <c r="I844" t="e">
        <f ca="1"/>
        <v>#N/A</v>
      </c>
      <c r="J844" t="e">
        <f ca="1"/>
        <v>#N/A</v>
      </c>
      <c r="K844" s="49" t="e">
        <f ca="1"/>
        <v>#N/A</v>
      </c>
    </row>
    <row r="845" spans="1:11" x14ac:dyDescent="0.25">
      <c r="A845" s="2" t="e">
        <f ca="1"/>
        <v>#N/A</v>
      </c>
      <c r="C845" t="e">
        <f ca="1"/>
        <v>#N/A</v>
      </c>
      <c r="D845" t="e">
        <f ca="1"/>
        <v>#N/A</v>
      </c>
      <c r="E845" t="e">
        <f ca="1"/>
        <v>#N/A</v>
      </c>
      <c r="F845" t="e">
        <f ca="1"/>
        <v>#N/A</v>
      </c>
      <c r="G845" t="e">
        <f ca="1"/>
        <v>#N/A</v>
      </c>
      <c r="H845" t="e">
        <f ca="1"/>
        <v>#N/A</v>
      </c>
      <c r="I845" t="e">
        <f ca="1"/>
        <v>#N/A</v>
      </c>
      <c r="J845" t="e">
        <f ca="1"/>
        <v>#N/A</v>
      </c>
      <c r="K845" s="49" t="e">
        <f ca="1"/>
        <v>#N/A</v>
      </c>
    </row>
    <row r="846" spans="1:11" x14ac:dyDescent="0.25">
      <c r="A846" s="2" t="e">
        <f ca="1"/>
        <v>#N/A</v>
      </c>
      <c r="C846" t="e">
        <f ca="1"/>
        <v>#N/A</v>
      </c>
      <c r="D846" t="e">
        <f ca="1"/>
        <v>#N/A</v>
      </c>
      <c r="E846" t="e">
        <f ca="1"/>
        <v>#N/A</v>
      </c>
      <c r="F846" t="e">
        <f ca="1"/>
        <v>#N/A</v>
      </c>
      <c r="G846" t="e">
        <f ca="1"/>
        <v>#N/A</v>
      </c>
      <c r="H846" t="e">
        <f ca="1"/>
        <v>#N/A</v>
      </c>
      <c r="I846" t="e">
        <f ca="1"/>
        <v>#N/A</v>
      </c>
      <c r="J846" t="e">
        <f ca="1"/>
        <v>#N/A</v>
      </c>
      <c r="K846" s="49" t="e">
        <f ca="1"/>
        <v>#N/A</v>
      </c>
    </row>
    <row r="847" spans="1:11" x14ac:dyDescent="0.25">
      <c r="A847" s="2" t="e">
        <f ca="1"/>
        <v>#N/A</v>
      </c>
      <c r="C847" t="e">
        <f ca="1"/>
        <v>#N/A</v>
      </c>
      <c r="D847" t="e">
        <f ca="1"/>
        <v>#N/A</v>
      </c>
      <c r="E847" t="e">
        <f ca="1"/>
        <v>#N/A</v>
      </c>
      <c r="F847" t="e">
        <f ca="1"/>
        <v>#N/A</v>
      </c>
      <c r="G847" t="e">
        <f ca="1"/>
        <v>#N/A</v>
      </c>
      <c r="H847" t="e">
        <f ca="1"/>
        <v>#N/A</v>
      </c>
      <c r="I847" t="e">
        <f ca="1"/>
        <v>#N/A</v>
      </c>
      <c r="J847" t="e">
        <f ca="1"/>
        <v>#N/A</v>
      </c>
      <c r="K847" s="49" t="e">
        <f ca="1"/>
        <v>#N/A</v>
      </c>
    </row>
    <row r="848" spans="1:11" x14ac:dyDescent="0.25">
      <c r="A848" s="2" t="e">
        <f ca="1"/>
        <v>#N/A</v>
      </c>
      <c r="C848" t="e">
        <f ca="1"/>
        <v>#N/A</v>
      </c>
      <c r="D848" t="e">
        <f ca="1"/>
        <v>#N/A</v>
      </c>
      <c r="E848" t="e">
        <f ca="1"/>
        <v>#N/A</v>
      </c>
      <c r="F848" t="e">
        <f ca="1"/>
        <v>#N/A</v>
      </c>
      <c r="G848" t="e">
        <f ca="1"/>
        <v>#N/A</v>
      </c>
      <c r="H848" t="e">
        <f ca="1"/>
        <v>#N/A</v>
      </c>
      <c r="I848" t="e">
        <f ca="1"/>
        <v>#N/A</v>
      </c>
      <c r="J848" t="e">
        <f ca="1"/>
        <v>#N/A</v>
      </c>
      <c r="K848" s="49" t="e">
        <f ca="1"/>
        <v>#N/A</v>
      </c>
    </row>
    <row r="849" spans="1:11" x14ac:dyDescent="0.25">
      <c r="A849" s="2" t="e">
        <f ca="1"/>
        <v>#N/A</v>
      </c>
      <c r="C849" t="e">
        <f ca="1"/>
        <v>#N/A</v>
      </c>
      <c r="D849" t="e">
        <f ca="1"/>
        <v>#N/A</v>
      </c>
      <c r="E849" t="e">
        <f ca="1"/>
        <v>#N/A</v>
      </c>
      <c r="F849" t="e">
        <f ca="1"/>
        <v>#N/A</v>
      </c>
      <c r="G849" t="e">
        <f ca="1"/>
        <v>#N/A</v>
      </c>
      <c r="H849" t="e">
        <f ca="1"/>
        <v>#N/A</v>
      </c>
      <c r="I849" t="e">
        <f ca="1"/>
        <v>#N/A</v>
      </c>
      <c r="J849" t="e">
        <f ca="1"/>
        <v>#N/A</v>
      </c>
      <c r="K849" s="49" t="e">
        <f ca="1"/>
        <v>#N/A</v>
      </c>
    </row>
    <row r="850" spans="1:11" x14ac:dyDescent="0.25">
      <c r="A850" s="2" t="e">
        <f ca="1"/>
        <v>#N/A</v>
      </c>
      <c r="C850" t="e">
        <f ca="1"/>
        <v>#N/A</v>
      </c>
      <c r="D850" t="e">
        <f ca="1"/>
        <v>#N/A</v>
      </c>
      <c r="E850" t="e">
        <f ca="1"/>
        <v>#N/A</v>
      </c>
      <c r="F850" t="e">
        <f ca="1"/>
        <v>#N/A</v>
      </c>
      <c r="G850" t="e">
        <f ca="1"/>
        <v>#N/A</v>
      </c>
      <c r="H850" t="e">
        <f ca="1"/>
        <v>#N/A</v>
      </c>
      <c r="I850" t="e">
        <f ca="1"/>
        <v>#N/A</v>
      </c>
      <c r="J850" t="e">
        <f ca="1"/>
        <v>#N/A</v>
      </c>
      <c r="K850" s="49" t="e">
        <f ca="1"/>
        <v>#N/A</v>
      </c>
    </row>
    <row r="851" spans="1:11" x14ac:dyDescent="0.25">
      <c r="A851" s="2" t="e">
        <f ca="1"/>
        <v>#N/A</v>
      </c>
      <c r="C851" t="e">
        <f ca="1"/>
        <v>#N/A</v>
      </c>
      <c r="D851" t="e">
        <f ca="1"/>
        <v>#N/A</v>
      </c>
      <c r="E851" t="e">
        <f ca="1"/>
        <v>#N/A</v>
      </c>
      <c r="F851" t="e">
        <f ca="1"/>
        <v>#N/A</v>
      </c>
      <c r="G851" t="e">
        <f ca="1"/>
        <v>#N/A</v>
      </c>
      <c r="H851" t="e">
        <f ca="1"/>
        <v>#N/A</v>
      </c>
      <c r="I851" t="e">
        <f ca="1"/>
        <v>#N/A</v>
      </c>
      <c r="J851" t="e">
        <f ca="1"/>
        <v>#N/A</v>
      </c>
      <c r="K851" s="49" t="e">
        <f ca="1"/>
        <v>#N/A</v>
      </c>
    </row>
    <row r="852" spans="1:11" x14ac:dyDescent="0.25">
      <c r="A852" s="2" t="e">
        <f ca="1"/>
        <v>#N/A</v>
      </c>
      <c r="C852" t="e">
        <f ca="1"/>
        <v>#N/A</v>
      </c>
      <c r="D852" t="e">
        <f ca="1"/>
        <v>#N/A</v>
      </c>
      <c r="E852" t="e">
        <f ca="1"/>
        <v>#N/A</v>
      </c>
      <c r="F852" t="e">
        <f ca="1"/>
        <v>#N/A</v>
      </c>
      <c r="G852" t="e">
        <f ca="1"/>
        <v>#N/A</v>
      </c>
      <c r="H852" t="e">
        <f ca="1"/>
        <v>#N/A</v>
      </c>
      <c r="I852" t="e">
        <f ca="1"/>
        <v>#N/A</v>
      </c>
      <c r="J852" t="e">
        <f ca="1"/>
        <v>#N/A</v>
      </c>
      <c r="K852" s="49" t="e">
        <f ca="1"/>
        <v>#N/A</v>
      </c>
    </row>
    <row r="853" spans="1:11" x14ac:dyDescent="0.25">
      <c r="A853" s="2" t="e">
        <f ca="1"/>
        <v>#N/A</v>
      </c>
      <c r="C853" t="e">
        <f ca="1"/>
        <v>#N/A</v>
      </c>
      <c r="D853" t="e">
        <f ca="1"/>
        <v>#N/A</v>
      </c>
      <c r="E853" t="e">
        <f ca="1"/>
        <v>#N/A</v>
      </c>
      <c r="F853" t="e">
        <f ca="1"/>
        <v>#N/A</v>
      </c>
      <c r="G853" t="e">
        <f ca="1"/>
        <v>#N/A</v>
      </c>
      <c r="H853" t="e">
        <f ca="1"/>
        <v>#N/A</v>
      </c>
      <c r="I853" t="e">
        <f ca="1"/>
        <v>#N/A</v>
      </c>
      <c r="J853" t="e">
        <f ca="1"/>
        <v>#N/A</v>
      </c>
      <c r="K853" s="49" t="e">
        <f ca="1"/>
        <v>#N/A</v>
      </c>
    </row>
    <row r="854" spans="1:11" x14ac:dyDescent="0.25">
      <c r="A854" s="2" t="e">
        <f ca="1"/>
        <v>#N/A</v>
      </c>
      <c r="C854" t="e">
        <f ca="1"/>
        <v>#N/A</v>
      </c>
      <c r="D854" t="e">
        <f ca="1"/>
        <v>#N/A</v>
      </c>
      <c r="E854" t="e">
        <f ca="1"/>
        <v>#N/A</v>
      </c>
      <c r="F854" t="e">
        <f ca="1"/>
        <v>#N/A</v>
      </c>
      <c r="G854" t="e">
        <f ca="1"/>
        <v>#N/A</v>
      </c>
      <c r="H854" t="e">
        <f ca="1"/>
        <v>#N/A</v>
      </c>
      <c r="I854" t="e">
        <f ca="1"/>
        <v>#N/A</v>
      </c>
      <c r="J854" t="e">
        <f ca="1"/>
        <v>#N/A</v>
      </c>
      <c r="K854" s="49" t="e">
        <f ca="1"/>
        <v>#N/A</v>
      </c>
    </row>
    <row r="855" spans="1:11" x14ac:dyDescent="0.25">
      <c r="A855" s="2" t="e">
        <f ca="1"/>
        <v>#N/A</v>
      </c>
      <c r="C855" t="e">
        <f ca="1"/>
        <v>#N/A</v>
      </c>
      <c r="D855" t="e">
        <f ca="1"/>
        <v>#N/A</v>
      </c>
      <c r="E855" t="e">
        <f ca="1"/>
        <v>#N/A</v>
      </c>
      <c r="F855" t="e">
        <f ca="1"/>
        <v>#N/A</v>
      </c>
      <c r="G855" t="e">
        <f ca="1"/>
        <v>#N/A</v>
      </c>
      <c r="H855" t="e">
        <f ca="1"/>
        <v>#N/A</v>
      </c>
      <c r="I855" t="e">
        <f ca="1"/>
        <v>#N/A</v>
      </c>
      <c r="J855" t="e">
        <f ca="1"/>
        <v>#N/A</v>
      </c>
      <c r="K855" s="49" t="e">
        <f ca="1"/>
        <v>#N/A</v>
      </c>
    </row>
    <row r="856" spans="1:11" x14ac:dyDescent="0.25">
      <c r="A856" s="2" t="e">
        <f ca="1"/>
        <v>#N/A</v>
      </c>
      <c r="C856" t="e">
        <f ca="1"/>
        <v>#N/A</v>
      </c>
      <c r="D856" t="e">
        <f ca="1"/>
        <v>#N/A</v>
      </c>
      <c r="E856" t="e">
        <f ca="1"/>
        <v>#N/A</v>
      </c>
      <c r="F856" t="e">
        <f ca="1"/>
        <v>#N/A</v>
      </c>
      <c r="G856" t="e">
        <f ca="1"/>
        <v>#N/A</v>
      </c>
      <c r="H856" t="e">
        <f ca="1"/>
        <v>#N/A</v>
      </c>
      <c r="I856" t="e">
        <f ca="1"/>
        <v>#N/A</v>
      </c>
      <c r="J856" t="e">
        <f ca="1"/>
        <v>#N/A</v>
      </c>
      <c r="K856" s="49" t="e">
        <f ca="1"/>
        <v>#N/A</v>
      </c>
    </row>
    <row r="857" spans="1:11" x14ac:dyDescent="0.25">
      <c r="A857" s="2" t="e">
        <f ca="1"/>
        <v>#N/A</v>
      </c>
      <c r="C857" t="e">
        <f ca="1"/>
        <v>#N/A</v>
      </c>
      <c r="D857" t="e">
        <f ca="1"/>
        <v>#N/A</v>
      </c>
      <c r="E857" t="e">
        <f ca="1"/>
        <v>#N/A</v>
      </c>
      <c r="F857" t="e">
        <f ca="1"/>
        <v>#N/A</v>
      </c>
      <c r="G857" t="e">
        <f ca="1"/>
        <v>#N/A</v>
      </c>
      <c r="H857" t="e">
        <f ca="1"/>
        <v>#N/A</v>
      </c>
      <c r="I857" t="e">
        <f ca="1"/>
        <v>#N/A</v>
      </c>
      <c r="J857" t="e">
        <f ca="1"/>
        <v>#N/A</v>
      </c>
      <c r="K857" s="49" t="e">
        <f ca="1"/>
        <v>#N/A</v>
      </c>
    </row>
    <row r="858" spans="1:11" x14ac:dyDescent="0.25">
      <c r="A858" s="2" t="e">
        <f ca="1"/>
        <v>#N/A</v>
      </c>
      <c r="C858" t="e">
        <f ca="1"/>
        <v>#N/A</v>
      </c>
      <c r="D858" t="e">
        <f ca="1"/>
        <v>#N/A</v>
      </c>
      <c r="E858" t="e">
        <f ca="1"/>
        <v>#N/A</v>
      </c>
      <c r="F858" t="e">
        <f ca="1"/>
        <v>#N/A</v>
      </c>
      <c r="G858" t="e">
        <f ca="1"/>
        <v>#N/A</v>
      </c>
      <c r="H858" t="e">
        <f ca="1"/>
        <v>#N/A</v>
      </c>
      <c r="I858" t="e">
        <f ca="1"/>
        <v>#N/A</v>
      </c>
      <c r="J858" t="e">
        <f ca="1"/>
        <v>#N/A</v>
      </c>
      <c r="K858" s="49" t="e">
        <f ca="1"/>
        <v>#N/A</v>
      </c>
    </row>
    <row r="859" spans="1:11" x14ac:dyDescent="0.25">
      <c r="A859" s="2" t="e">
        <f ca="1"/>
        <v>#N/A</v>
      </c>
      <c r="C859" t="e">
        <f ca="1"/>
        <v>#N/A</v>
      </c>
      <c r="D859" t="e">
        <f ca="1"/>
        <v>#N/A</v>
      </c>
      <c r="E859" t="e">
        <f ca="1"/>
        <v>#N/A</v>
      </c>
      <c r="F859" t="e">
        <f ca="1"/>
        <v>#N/A</v>
      </c>
      <c r="G859" t="e">
        <f ca="1"/>
        <v>#N/A</v>
      </c>
      <c r="H859" t="e">
        <f ca="1"/>
        <v>#N/A</v>
      </c>
      <c r="I859" t="e">
        <f ca="1"/>
        <v>#N/A</v>
      </c>
      <c r="J859" t="e">
        <f ca="1"/>
        <v>#N/A</v>
      </c>
      <c r="K859" s="49" t="e">
        <f ca="1"/>
        <v>#N/A</v>
      </c>
    </row>
    <row r="860" spans="1:11" x14ac:dyDescent="0.25">
      <c r="A860" s="2" t="e">
        <f ca="1"/>
        <v>#N/A</v>
      </c>
      <c r="C860" t="e">
        <f ca="1"/>
        <v>#N/A</v>
      </c>
      <c r="D860" t="e">
        <f ca="1"/>
        <v>#N/A</v>
      </c>
      <c r="E860" t="e">
        <f ca="1"/>
        <v>#N/A</v>
      </c>
      <c r="F860" t="e">
        <f ca="1"/>
        <v>#N/A</v>
      </c>
      <c r="G860" t="e">
        <f ca="1"/>
        <v>#N/A</v>
      </c>
      <c r="H860" t="e">
        <f ca="1"/>
        <v>#N/A</v>
      </c>
      <c r="I860" t="e">
        <f ca="1"/>
        <v>#N/A</v>
      </c>
      <c r="J860" t="e">
        <f ca="1"/>
        <v>#N/A</v>
      </c>
      <c r="K860" s="49" t="e">
        <f ca="1"/>
        <v>#N/A</v>
      </c>
    </row>
    <row r="861" spans="1:11" x14ac:dyDescent="0.25">
      <c r="A861" s="2" t="e">
        <f ca="1"/>
        <v>#N/A</v>
      </c>
      <c r="C861" t="e">
        <f ca="1"/>
        <v>#N/A</v>
      </c>
      <c r="D861" t="e">
        <f ca="1"/>
        <v>#N/A</v>
      </c>
      <c r="E861" t="e">
        <f ca="1"/>
        <v>#N/A</v>
      </c>
      <c r="F861" t="e">
        <f ca="1"/>
        <v>#N/A</v>
      </c>
      <c r="G861" t="e">
        <f ca="1"/>
        <v>#N/A</v>
      </c>
      <c r="H861" t="e">
        <f ca="1"/>
        <v>#N/A</v>
      </c>
      <c r="I861" t="e">
        <f ca="1"/>
        <v>#N/A</v>
      </c>
      <c r="J861" t="e">
        <f ca="1"/>
        <v>#N/A</v>
      </c>
      <c r="K861" s="49" t="e">
        <f ca="1"/>
        <v>#N/A</v>
      </c>
    </row>
    <row r="862" spans="1:11" x14ac:dyDescent="0.25">
      <c r="A862" s="2" t="e">
        <f ca="1"/>
        <v>#N/A</v>
      </c>
      <c r="C862" t="e">
        <f ca="1"/>
        <v>#N/A</v>
      </c>
      <c r="D862" t="e">
        <f ca="1"/>
        <v>#N/A</v>
      </c>
      <c r="E862" t="e">
        <f ca="1"/>
        <v>#N/A</v>
      </c>
      <c r="F862" t="e">
        <f ca="1"/>
        <v>#N/A</v>
      </c>
      <c r="G862" t="e">
        <f ca="1"/>
        <v>#N/A</v>
      </c>
      <c r="H862" t="e">
        <f ca="1"/>
        <v>#N/A</v>
      </c>
      <c r="I862" t="e">
        <f ca="1"/>
        <v>#N/A</v>
      </c>
      <c r="J862" t="e">
        <f ca="1"/>
        <v>#N/A</v>
      </c>
      <c r="K862" s="49" t="e">
        <f ca="1"/>
        <v>#N/A</v>
      </c>
    </row>
    <row r="863" spans="1:11" x14ac:dyDescent="0.25">
      <c r="A863" s="2" t="e">
        <f ca="1"/>
        <v>#N/A</v>
      </c>
      <c r="C863" t="e">
        <f ca="1"/>
        <v>#N/A</v>
      </c>
      <c r="D863" t="e">
        <f ca="1"/>
        <v>#N/A</v>
      </c>
      <c r="E863" t="e">
        <f ca="1"/>
        <v>#N/A</v>
      </c>
      <c r="F863" t="e">
        <f ca="1"/>
        <v>#N/A</v>
      </c>
      <c r="G863" t="e">
        <f ca="1"/>
        <v>#N/A</v>
      </c>
      <c r="H863" t="e">
        <f ca="1"/>
        <v>#N/A</v>
      </c>
      <c r="I863" t="e">
        <f ca="1"/>
        <v>#N/A</v>
      </c>
      <c r="J863" t="e">
        <f ca="1"/>
        <v>#N/A</v>
      </c>
      <c r="K863" s="49" t="e">
        <f ca="1"/>
        <v>#N/A</v>
      </c>
    </row>
    <row r="864" spans="1:11" x14ac:dyDescent="0.25">
      <c r="A864" s="2" t="e">
        <f ca="1"/>
        <v>#N/A</v>
      </c>
      <c r="C864" t="e">
        <f ca="1"/>
        <v>#N/A</v>
      </c>
      <c r="D864" t="e">
        <f ca="1"/>
        <v>#N/A</v>
      </c>
      <c r="E864" t="e">
        <f ca="1"/>
        <v>#N/A</v>
      </c>
      <c r="F864" t="e">
        <f ca="1"/>
        <v>#N/A</v>
      </c>
      <c r="G864" t="e">
        <f ca="1"/>
        <v>#N/A</v>
      </c>
      <c r="H864" t="e">
        <f ca="1"/>
        <v>#N/A</v>
      </c>
      <c r="I864" t="e">
        <f ca="1"/>
        <v>#N/A</v>
      </c>
      <c r="J864" t="e">
        <f ca="1"/>
        <v>#N/A</v>
      </c>
      <c r="K864" s="49" t="e">
        <f ca="1"/>
        <v>#N/A</v>
      </c>
    </row>
    <row r="865" spans="1:11" x14ac:dyDescent="0.25">
      <c r="A865" s="2" t="e">
        <f ca="1"/>
        <v>#N/A</v>
      </c>
      <c r="C865" t="e">
        <f ca="1"/>
        <v>#N/A</v>
      </c>
      <c r="D865" t="e">
        <f ca="1"/>
        <v>#N/A</v>
      </c>
      <c r="E865" t="e">
        <f ca="1"/>
        <v>#N/A</v>
      </c>
      <c r="F865" t="e">
        <f ca="1"/>
        <v>#N/A</v>
      </c>
      <c r="G865" t="e">
        <f ca="1"/>
        <v>#N/A</v>
      </c>
      <c r="H865" t="e">
        <f ca="1"/>
        <v>#N/A</v>
      </c>
      <c r="I865" t="e">
        <f ca="1"/>
        <v>#N/A</v>
      </c>
      <c r="J865" t="e">
        <f ca="1"/>
        <v>#N/A</v>
      </c>
      <c r="K865" s="49" t="e">
        <f ca="1"/>
        <v>#N/A</v>
      </c>
    </row>
    <row r="866" spans="1:11" x14ac:dyDescent="0.25">
      <c r="A866" s="2" t="e">
        <f ca="1"/>
        <v>#N/A</v>
      </c>
      <c r="C866" t="e">
        <f ca="1"/>
        <v>#N/A</v>
      </c>
      <c r="D866" t="e">
        <f ca="1"/>
        <v>#N/A</v>
      </c>
      <c r="E866" t="e">
        <f ca="1"/>
        <v>#N/A</v>
      </c>
      <c r="F866" t="e">
        <f ca="1"/>
        <v>#N/A</v>
      </c>
      <c r="G866" t="e">
        <f ca="1"/>
        <v>#N/A</v>
      </c>
      <c r="H866" t="e">
        <f ca="1"/>
        <v>#N/A</v>
      </c>
      <c r="I866" t="e">
        <f ca="1"/>
        <v>#N/A</v>
      </c>
      <c r="J866" t="e">
        <f ca="1"/>
        <v>#N/A</v>
      </c>
      <c r="K866" s="49" t="e">
        <f ca="1"/>
        <v>#N/A</v>
      </c>
    </row>
    <row r="867" spans="1:11" x14ac:dyDescent="0.25">
      <c r="A867" s="2" t="e">
        <f ca="1"/>
        <v>#N/A</v>
      </c>
      <c r="C867" t="e">
        <f ca="1"/>
        <v>#N/A</v>
      </c>
      <c r="D867" t="e">
        <f ca="1"/>
        <v>#N/A</v>
      </c>
      <c r="E867" t="e">
        <f ca="1"/>
        <v>#N/A</v>
      </c>
      <c r="F867" t="e">
        <f ca="1"/>
        <v>#N/A</v>
      </c>
      <c r="G867" t="e">
        <f ca="1"/>
        <v>#N/A</v>
      </c>
      <c r="H867" t="e">
        <f ca="1"/>
        <v>#N/A</v>
      </c>
      <c r="I867" t="e">
        <f ca="1"/>
        <v>#N/A</v>
      </c>
      <c r="J867" t="e">
        <f ca="1"/>
        <v>#N/A</v>
      </c>
      <c r="K867" s="49" t="e">
        <f ca="1"/>
        <v>#N/A</v>
      </c>
    </row>
    <row r="868" spans="1:11" x14ac:dyDescent="0.25">
      <c r="A868" s="2" t="e">
        <f ca="1"/>
        <v>#N/A</v>
      </c>
      <c r="C868" t="e">
        <f ca="1"/>
        <v>#N/A</v>
      </c>
      <c r="D868" t="e">
        <f ca="1"/>
        <v>#N/A</v>
      </c>
      <c r="E868" t="e">
        <f ca="1"/>
        <v>#N/A</v>
      </c>
      <c r="F868" t="e">
        <f ca="1"/>
        <v>#N/A</v>
      </c>
      <c r="G868" t="e">
        <f ca="1"/>
        <v>#N/A</v>
      </c>
      <c r="H868" t="e">
        <f ca="1"/>
        <v>#N/A</v>
      </c>
      <c r="I868" t="e">
        <f ca="1"/>
        <v>#N/A</v>
      </c>
      <c r="J868" t="e">
        <f ca="1"/>
        <v>#N/A</v>
      </c>
      <c r="K868" s="49" t="e">
        <f ca="1"/>
        <v>#N/A</v>
      </c>
    </row>
    <row r="869" spans="1:11" x14ac:dyDescent="0.25">
      <c r="A869" s="2" t="e">
        <f ca="1"/>
        <v>#N/A</v>
      </c>
      <c r="C869" t="e">
        <f ca="1"/>
        <v>#N/A</v>
      </c>
      <c r="D869" t="e">
        <f ca="1"/>
        <v>#N/A</v>
      </c>
      <c r="E869" t="e">
        <f ca="1"/>
        <v>#N/A</v>
      </c>
      <c r="F869" t="e">
        <f ca="1"/>
        <v>#N/A</v>
      </c>
      <c r="G869" t="e">
        <f ca="1"/>
        <v>#N/A</v>
      </c>
      <c r="H869" t="e">
        <f ca="1"/>
        <v>#N/A</v>
      </c>
      <c r="I869" t="e">
        <f ca="1"/>
        <v>#N/A</v>
      </c>
      <c r="J869" t="e">
        <f ca="1"/>
        <v>#N/A</v>
      </c>
      <c r="K869" s="49" t="e">
        <f ca="1"/>
        <v>#N/A</v>
      </c>
    </row>
    <row r="870" spans="1:11" x14ac:dyDescent="0.25">
      <c r="A870" s="2" t="e">
        <f ca="1"/>
        <v>#N/A</v>
      </c>
      <c r="C870" t="e">
        <f ca="1"/>
        <v>#N/A</v>
      </c>
      <c r="D870" t="e">
        <f ca="1"/>
        <v>#N/A</v>
      </c>
      <c r="E870" t="e">
        <f ca="1"/>
        <v>#N/A</v>
      </c>
      <c r="F870" t="e">
        <f ca="1"/>
        <v>#N/A</v>
      </c>
      <c r="G870" t="e">
        <f ca="1"/>
        <v>#N/A</v>
      </c>
      <c r="H870" t="e">
        <f ca="1"/>
        <v>#N/A</v>
      </c>
      <c r="I870" t="e">
        <f ca="1"/>
        <v>#N/A</v>
      </c>
      <c r="J870" t="e">
        <f ca="1"/>
        <v>#N/A</v>
      </c>
      <c r="K870" s="49" t="e">
        <f ca="1"/>
        <v>#N/A</v>
      </c>
    </row>
    <row r="871" spans="1:11" x14ac:dyDescent="0.25">
      <c r="A871" s="2" t="e">
        <f ca="1"/>
        <v>#N/A</v>
      </c>
      <c r="C871" t="e">
        <f ca="1"/>
        <v>#N/A</v>
      </c>
      <c r="D871" t="e">
        <f ca="1"/>
        <v>#N/A</v>
      </c>
      <c r="E871" t="e">
        <f ca="1"/>
        <v>#N/A</v>
      </c>
      <c r="F871" t="e">
        <f ca="1"/>
        <v>#N/A</v>
      </c>
      <c r="G871" t="e">
        <f ca="1"/>
        <v>#N/A</v>
      </c>
      <c r="H871" t="e">
        <f ca="1"/>
        <v>#N/A</v>
      </c>
      <c r="I871" t="e">
        <f ca="1"/>
        <v>#N/A</v>
      </c>
      <c r="J871" t="e">
        <f ca="1"/>
        <v>#N/A</v>
      </c>
      <c r="K871" s="49" t="e">
        <f ca="1"/>
        <v>#N/A</v>
      </c>
    </row>
    <row r="872" spans="1:11" x14ac:dyDescent="0.25">
      <c r="A872" s="2" t="e">
        <f ca="1"/>
        <v>#N/A</v>
      </c>
      <c r="C872" t="e">
        <f ca="1"/>
        <v>#N/A</v>
      </c>
      <c r="D872" t="e">
        <f ca="1"/>
        <v>#N/A</v>
      </c>
      <c r="E872" t="e">
        <f ca="1"/>
        <v>#N/A</v>
      </c>
      <c r="F872" t="e">
        <f ca="1"/>
        <v>#N/A</v>
      </c>
      <c r="G872" t="e">
        <f ca="1"/>
        <v>#N/A</v>
      </c>
      <c r="H872" t="e">
        <f ca="1"/>
        <v>#N/A</v>
      </c>
      <c r="I872" t="e">
        <f ca="1"/>
        <v>#N/A</v>
      </c>
      <c r="J872" t="e">
        <f ca="1"/>
        <v>#N/A</v>
      </c>
      <c r="K872" s="49" t="e">
        <f ca="1"/>
        <v>#N/A</v>
      </c>
    </row>
    <row r="873" spans="1:11" x14ac:dyDescent="0.25">
      <c r="A873" s="2" t="e">
        <f ca="1"/>
        <v>#N/A</v>
      </c>
      <c r="C873" t="e">
        <f ca="1"/>
        <v>#N/A</v>
      </c>
      <c r="D873" t="e">
        <f ca="1"/>
        <v>#N/A</v>
      </c>
      <c r="E873" t="e">
        <f ca="1"/>
        <v>#N/A</v>
      </c>
      <c r="F873" t="e">
        <f ca="1"/>
        <v>#N/A</v>
      </c>
      <c r="G873" t="e">
        <f ca="1"/>
        <v>#N/A</v>
      </c>
      <c r="H873" t="e">
        <f ca="1"/>
        <v>#N/A</v>
      </c>
      <c r="I873" t="e">
        <f ca="1"/>
        <v>#N/A</v>
      </c>
      <c r="J873" t="e">
        <f ca="1"/>
        <v>#N/A</v>
      </c>
      <c r="K873" s="49" t="e">
        <f ca="1"/>
        <v>#N/A</v>
      </c>
    </row>
    <row r="874" spans="1:11" x14ac:dyDescent="0.25">
      <c r="A874" s="2" t="e">
        <f ca="1"/>
        <v>#N/A</v>
      </c>
      <c r="C874" t="e">
        <f ca="1"/>
        <v>#N/A</v>
      </c>
      <c r="D874" t="e">
        <f ca="1"/>
        <v>#N/A</v>
      </c>
      <c r="E874" t="e">
        <f ca="1"/>
        <v>#N/A</v>
      </c>
      <c r="F874" t="e">
        <f ca="1"/>
        <v>#N/A</v>
      </c>
      <c r="G874" t="e">
        <f ca="1"/>
        <v>#N/A</v>
      </c>
      <c r="H874" t="e">
        <f ca="1"/>
        <v>#N/A</v>
      </c>
      <c r="I874" t="e">
        <f ca="1"/>
        <v>#N/A</v>
      </c>
      <c r="J874" t="e">
        <f ca="1"/>
        <v>#N/A</v>
      </c>
      <c r="K874" s="49" t="e">
        <f ca="1"/>
        <v>#N/A</v>
      </c>
    </row>
    <row r="875" spans="1:11" x14ac:dyDescent="0.25">
      <c r="A875" s="2" t="e">
        <f ca="1"/>
        <v>#N/A</v>
      </c>
      <c r="C875" t="e">
        <f ca="1"/>
        <v>#N/A</v>
      </c>
      <c r="D875" t="e">
        <f ca="1"/>
        <v>#N/A</v>
      </c>
      <c r="E875" t="e">
        <f ca="1"/>
        <v>#N/A</v>
      </c>
      <c r="F875" t="e">
        <f ca="1"/>
        <v>#N/A</v>
      </c>
      <c r="G875" t="e">
        <f ca="1"/>
        <v>#N/A</v>
      </c>
      <c r="H875" t="e">
        <f ca="1"/>
        <v>#N/A</v>
      </c>
      <c r="I875" t="e">
        <f ca="1"/>
        <v>#N/A</v>
      </c>
      <c r="J875" t="e">
        <f ca="1"/>
        <v>#N/A</v>
      </c>
      <c r="K875" s="49" t="e">
        <f ca="1"/>
        <v>#N/A</v>
      </c>
    </row>
    <row r="876" spans="1:11" x14ac:dyDescent="0.25">
      <c r="A876" s="2" t="e">
        <f ca="1"/>
        <v>#N/A</v>
      </c>
      <c r="C876" t="e">
        <f ca="1"/>
        <v>#N/A</v>
      </c>
      <c r="D876" t="e">
        <f ca="1"/>
        <v>#N/A</v>
      </c>
      <c r="E876" t="e">
        <f ca="1"/>
        <v>#N/A</v>
      </c>
      <c r="F876" t="e">
        <f ca="1"/>
        <v>#N/A</v>
      </c>
      <c r="G876" t="e">
        <f ca="1"/>
        <v>#N/A</v>
      </c>
      <c r="H876" t="e">
        <f ca="1"/>
        <v>#N/A</v>
      </c>
      <c r="I876" t="e">
        <f ca="1"/>
        <v>#N/A</v>
      </c>
      <c r="J876" t="e">
        <f ca="1"/>
        <v>#N/A</v>
      </c>
      <c r="K876" s="49" t="e">
        <f ca="1"/>
        <v>#N/A</v>
      </c>
    </row>
    <row r="877" spans="1:11" x14ac:dyDescent="0.25">
      <c r="A877" s="2" t="e">
        <f ca="1"/>
        <v>#N/A</v>
      </c>
      <c r="C877" t="e">
        <f ca="1"/>
        <v>#N/A</v>
      </c>
      <c r="D877" t="e">
        <f ca="1"/>
        <v>#N/A</v>
      </c>
      <c r="E877" t="e">
        <f ca="1"/>
        <v>#N/A</v>
      </c>
      <c r="F877" t="e">
        <f ca="1"/>
        <v>#N/A</v>
      </c>
      <c r="G877" t="e">
        <f ca="1"/>
        <v>#N/A</v>
      </c>
      <c r="H877" t="e">
        <f ca="1"/>
        <v>#N/A</v>
      </c>
      <c r="I877" t="e">
        <f ca="1"/>
        <v>#N/A</v>
      </c>
      <c r="J877" t="e">
        <f ca="1"/>
        <v>#N/A</v>
      </c>
      <c r="K877" s="49" t="e">
        <f ca="1"/>
        <v>#N/A</v>
      </c>
    </row>
    <row r="878" spans="1:11" x14ac:dyDescent="0.25">
      <c r="A878" s="2" t="e">
        <f ca="1"/>
        <v>#N/A</v>
      </c>
      <c r="C878" t="e">
        <f ca="1"/>
        <v>#N/A</v>
      </c>
      <c r="D878" t="e">
        <f ca="1"/>
        <v>#N/A</v>
      </c>
      <c r="E878" t="e">
        <f ca="1"/>
        <v>#N/A</v>
      </c>
      <c r="F878" t="e">
        <f ca="1"/>
        <v>#N/A</v>
      </c>
      <c r="G878" t="e">
        <f ca="1"/>
        <v>#N/A</v>
      </c>
      <c r="H878" t="e">
        <f ca="1"/>
        <v>#N/A</v>
      </c>
      <c r="I878" t="e">
        <f ca="1"/>
        <v>#N/A</v>
      </c>
      <c r="J878" t="e">
        <f ca="1"/>
        <v>#N/A</v>
      </c>
      <c r="K878" s="49" t="e">
        <f ca="1"/>
        <v>#N/A</v>
      </c>
    </row>
    <row r="879" spans="1:11" x14ac:dyDescent="0.25">
      <c r="A879" s="2" t="e">
        <f ca="1"/>
        <v>#N/A</v>
      </c>
      <c r="C879" t="e">
        <f ca="1"/>
        <v>#N/A</v>
      </c>
      <c r="D879" t="e">
        <f ca="1"/>
        <v>#N/A</v>
      </c>
      <c r="E879" t="e">
        <f ca="1"/>
        <v>#N/A</v>
      </c>
      <c r="F879" t="e">
        <f ca="1"/>
        <v>#N/A</v>
      </c>
      <c r="G879" t="e">
        <f ca="1"/>
        <v>#N/A</v>
      </c>
      <c r="H879" t="e">
        <f ca="1"/>
        <v>#N/A</v>
      </c>
      <c r="I879" t="e">
        <f ca="1"/>
        <v>#N/A</v>
      </c>
      <c r="J879" t="e">
        <f ca="1"/>
        <v>#N/A</v>
      </c>
      <c r="K879" s="49" t="e">
        <f ca="1"/>
        <v>#N/A</v>
      </c>
    </row>
    <row r="880" spans="1:11" x14ac:dyDescent="0.25">
      <c r="A880" s="2" t="e">
        <f ca="1"/>
        <v>#N/A</v>
      </c>
      <c r="C880" t="e">
        <f ca="1"/>
        <v>#N/A</v>
      </c>
      <c r="D880" t="e">
        <f ca="1"/>
        <v>#N/A</v>
      </c>
      <c r="E880" t="e">
        <f ca="1"/>
        <v>#N/A</v>
      </c>
      <c r="F880" t="e">
        <f ca="1"/>
        <v>#N/A</v>
      </c>
      <c r="G880" t="e">
        <f ca="1"/>
        <v>#N/A</v>
      </c>
      <c r="H880" t="e">
        <f ca="1"/>
        <v>#N/A</v>
      </c>
      <c r="I880" t="e">
        <f ca="1"/>
        <v>#N/A</v>
      </c>
      <c r="J880" t="e">
        <f ca="1"/>
        <v>#N/A</v>
      </c>
      <c r="K880" s="49" t="e">
        <f ca="1"/>
        <v>#N/A</v>
      </c>
    </row>
    <row r="881" spans="1:11" x14ac:dyDescent="0.25">
      <c r="A881" s="2" t="e">
        <f ca="1"/>
        <v>#N/A</v>
      </c>
      <c r="C881" t="e">
        <f ca="1"/>
        <v>#N/A</v>
      </c>
      <c r="D881" t="e">
        <f ca="1"/>
        <v>#N/A</v>
      </c>
      <c r="E881" t="e">
        <f ca="1"/>
        <v>#N/A</v>
      </c>
      <c r="F881" t="e">
        <f ca="1"/>
        <v>#N/A</v>
      </c>
      <c r="G881" t="e">
        <f ca="1"/>
        <v>#N/A</v>
      </c>
      <c r="H881" t="e">
        <f ca="1"/>
        <v>#N/A</v>
      </c>
      <c r="I881" t="e">
        <f ca="1"/>
        <v>#N/A</v>
      </c>
      <c r="J881" t="e">
        <f ca="1"/>
        <v>#N/A</v>
      </c>
      <c r="K881" s="49" t="e">
        <f ca="1"/>
        <v>#N/A</v>
      </c>
    </row>
    <row r="882" spans="1:11" x14ac:dyDescent="0.25">
      <c r="A882" s="2" t="e">
        <f ca="1"/>
        <v>#N/A</v>
      </c>
      <c r="C882" t="e">
        <f ca="1"/>
        <v>#N/A</v>
      </c>
      <c r="D882" t="e">
        <f ca="1"/>
        <v>#N/A</v>
      </c>
      <c r="E882" t="e">
        <f ca="1"/>
        <v>#N/A</v>
      </c>
      <c r="F882" t="e">
        <f ca="1"/>
        <v>#N/A</v>
      </c>
      <c r="G882" t="e">
        <f ca="1"/>
        <v>#N/A</v>
      </c>
      <c r="H882" t="e">
        <f ca="1"/>
        <v>#N/A</v>
      </c>
      <c r="I882" t="e">
        <f ca="1"/>
        <v>#N/A</v>
      </c>
      <c r="J882" t="e">
        <f ca="1"/>
        <v>#N/A</v>
      </c>
      <c r="K882" s="49" t="e">
        <f ca="1"/>
        <v>#N/A</v>
      </c>
    </row>
    <row r="883" spans="1:11" x14ac:dyDescent="0.25">
      <c r="A883" s="2" t="e">
        <f ca="1"/>
        <v>#N/A</v>
      </c>
      <c r="C883" t="e">
        <f ca="1"/>
        <v>#N/A</v>
      </c>
      <c r="D883" t="e">
        <f ca="1"/>
        <v>#N/A</v>
      </c>
      <c r="E883" t="e">
        <f ca="1"/>
        <v>#N/A</v>
      </c>
      <c r="F883" t="e">
        <f ca="1"/>
        <v>#N/A</v>
      </c>
      <c r="G883" t="e">
        <f ca="1"/>
        <v>#N/A</v>
      </c>
      <c r="H883" t="e">
        <f ca="1"/>
        <v>#N/A</v>
      </c>
      <c r="I883" t="e">
        <f ca="1"/>
        <v>#N/A</v>
      </c>
      <c r="J883" t="e">
        <f ca="1"/>
        <v>#N/A</v>
      </c>
      <c r="K883" s="49" t="e">
        <f ca="1"/>
        <v>#N/A</v>
      </c>
    </row>
    <row r="884" spans="1:11" x14ac:dyDescent="0.25">
      <c r="A884" s="2" t="e">
        <f ca="1"/>
        <v>#N/A</v>
      </c>
      <c r="C884" t="e">
        <f ca="1"/>
        <v>#N/A</v>
      </c>
      <c r="D884" t="e">
        <f ca="1"/>
        <v>#N/A</v>
      </c>
      <c r="E884" t="e">
        <f ca="1"/>
        <v>#N/A</v>
      </c>
      <c r="F884" t="e">
        <f ca="1"/>
        <v>#N/A</v>
      </c>
      <c r="G884" t="e">
        <f ca="1"/>
        <v>#N/A</v>
      </c>
      <c r="H884" t="e">
        <f ca="1"/>
        <v>#N/A</v>
      </c>
      <c r="I884" t="e">
        <f ca="1"/>
        <v>#N/A</v>
      </c>
      <c r="J884" t="e">
        <f ca="1"/>
        <v>#N/A</v>
      </c>
      <c r="K884" s="49" t="e">
        <f ca="1"/>
        <v>#N/A</v>
      </c>
    </row>
    <row r="885" spans="1:11" x14ac:dyDescent="0.25">
      <c r="A885" s="2" t="e">
        <f ca="1"/>
        <v>#N/A</v>
      </c>
      <c r="C885" t="e">
        <f ca="1"/>
        <v>#N/A</v>
      </c>
      <c r="D885" t="e">
        <f ca="1"/>
        <v>#N/A</v>
      </c>
      <c r="E885" t="e">
        <f ca="1"/>
        <v>#N/A</v>
      </c>
      <c r="F885" t="e">
        <f ca="1"/>
        <v>#N/A</v>
      </c>
      <c r="G885" t="e">
        <f ca="1"/>
        <v>#N/A</v>
      </c>
      <c r="H885" t="e">
        <f ca="1"/>
        <v>#N/A</v>
      </c>
      <c r="I885" t="e">
        <f ca="1"/>
        <v>#N/A</v>
      </c>
      <c r="J885" t="e">
        <f ca="1"/>
        <v>#N/A</v>
      </c>
      <c r="K885" s="49" t="e">
        <f ca="1"/>
        <v>#N/A</v>
      </c>
    </row>
    <row r="886" spans="1:11" x14ac:dyDescent="0.25">
      <c r="A886" s="2" t="e">
        <f ca="1"/>
        <v>#N/A</v>
      </c>
      <c r="C886" t="e">
        <f ca="1"/>
        <v>#N/A</v>
      </c>
      <c r="D886" t="e">
        <f ca="1"/>
        <v>#N/A</v>
      </c>
      <c r="E886" t="e">
        <f ca="1"/>
        <v>#N/A</v>
      </c>
      <c r="F886" t="e">
        <f ca="1"/>
        <v>#N/A</v>
      </c>
      <c r="G886" t="e">
        <f ca="1"/>
        <v>#N/A</v>
      </c>
      <c r="H886" t="e">
        <f ca="1"/>
        <v>#N/A</v>
      </c>
      <c r="I886" t="e">
        <f ca="1"/>
        <v>#N/A</v>
      </c>
      <c r="J886" t="e">
        <f ca="1"/>
        <v>#N/A</v>
      </c>
      <c r="K886" s="49" t="e">
        <f ca="1"/>
        <v>#N/A</v>
      </c>
    </row>
    <row r="887" spans="1:11" x14ac:dyDescent="0.25">
      <c r="A887" s="2" t="e">
        <f ca="1"/>
        <v>#N/A</v>
      </c>
      <c r="C887" t="e">
        <f ca="1"/>
        <v>#N/A</v>
      </c>
      <c r="D887" t="e">
        <f ca="1"/>
        <v>#N/A</v>
      </c>
      <c r="E887" t="e">
        <f ca="1"/>
        <v>#N/A</v>
      </c>
      <c r="F887" t="e">
        <f ca="1"/>
        <v>#N/A</v>
      </c>
      <c r="G887" t="e">
        <f ca="1"/>
        <v>#N/A</v>
      </c>
      <c r="H887" t="e">
        <f ca="1"/>
        <v>#N/A</v>
      </c>
      <c r="I887" t="e">
        <f ca="1"/>
        <v>#N/A</v>
      </c>
      <c r="J887" t="e">
        <f ca="1"/>
        <v>#N/A</v>
      </c>
      <c r="K887" s="49" t="e">
        <f ca="1"/>
        <v>#N/A</v>
      </c>
    </row>
    <row r="888" spans="1:11" x14ac:dyDescent="0.25">
      <c r="A888" s="2" t="e">
        <f ca="1"/>
        <v>#N/A</v>
      </c>
      <c r="C888" t="e">
        <f ca="1"/>
        <v>#N/A</v>
      </c>
      <c r="D888" t="e">
        <f ca="1"/>
        <v>#N/A</v>
      </c>
      <c r="E888" t="e">
        <f ca="1"/>
        <v>#N/A</v>
      </c>
      <c r="F888" t="e">
        <f ca="1"/>
        <v>#N/A</v>
      </c>
      <c r="G888" t="e">
        <f ca="1"/>
        <v>#N/A</v>
      </c>
      <c r="H888" t="e">
        <f ca="1"/>
        <v>#N/A</v>
      </c>
      <c r="I888" t="e">
        <f ca="1"/>
        <v>#N/A</v>
      </c>
      <c r="J888" t="e">
        <f ca="1"/>
        <v>#N/A</v>
      </c>
      <c r="K888" s="49" t="e">
        <f ca="1"/>
        <v>#N/A</v>
      </c>
    </row>
    <row r="889" spans="1:11" x14ac:dyDescent="0.25">
      <c r="A889" s="2" t="e">
        <f ca="1"/>
        <v>#N/A</v>
      </c>
      <c r="C889" t="e">
        <f ca="1"/>
        <v>#N/A</v>
      </c>
      <c r="D889" t="e">
        <f ca="1"/>
        <v>#N/A</v>
      </c>
      <c r="E889" t="e">
        <f ca="1"/>
        <v>#N/A</v>
      </c>
      <c r="F889" t="e">
        <f ca="1"/>
        <v>#N/A</v>
      </c>
      <c r="G889" t="e">
        <f ca="1"/>
        <v>#N/A</v>
      </c>
      <c r="H889" t="e">
        <f ca="1"/>
        <v>#N/A</v>
      </c>
      <c r="I889" t="e">
        <f ca="1"/>
        <v>#N/A</v>
      </c>
      <c r="J889" t="e">
        <f ca="1"/>
        <v>#N/A</v>
      </c>
      <c r="K889" s="49" t="e">
        <f ca="1"/>
        <v>#N/A</v>
      </c>
    </row>
    <row r="890" spans="1:11" x14ac:dyDescent="0.25">
      <c r="A890" s="2" t="e">
        <f ca="1"/>
        <v>#N/A</v>
      </c>
      <c r="C890" t="e">
        <f ca="1"/>
        <v>#N/A</v>
      </c>
      <c r="D890" t="e">
        <f ca="1"/>
        <v>#N/A</v>
      </c>
      <c r="E890" t="e">
        <f ca="1"/>
        <v>#N/A</v>
      </c>
      <c r="F890" t="e">
        <f ca="1"/>
        <v>#N/A</v>
      </c>
      <c r="G890" t="e">
        <f ca="1"/>
        <v>#N/A</v>
      </c>
      <c r="H890" t="e">
        <f ca="1"/>
        <v>#N/A</v>
      </c>
      <c r="I890" t="e">
        <f ca="1"/>
        <v>#N/A</v>
      </c>
      <c r="J890" t="e">
        <f ca="1"/>
        <v>#N/A</v>
      </c>
      <c r="K890" s="49" t="e">
        <f ca="1"/>
        <v>#N/A</v>
      </c>
    </row>
    <row r="891" spans="1:11" x14ac:dyDescent="0.25">
      <c r="A891" s="2" t="e">
        <f ca="1"/>
        <v>#N/A</v>
      </c>
      <c r="C891" t="e">
        <f ca="1"/>
        <v>#N/A</v>
      </c>
      <c r="D891" t="e">
        <f ca="1"/>
        <v>#N/A</v>
      </c>
      <c r="E891" t="e">
        <f ca="1"/>
        <v>#N/A</v>
      </c>
      <c r="F891" t="e">
        <f ca="1"/>
        <v>#N/A</v>
      </c>
      <c r="G891" t="e">
        <f ca="1"/>
        <v>#N/A</v>
      </c>
      <c r="H891" t="e">
        <f ca="1"/>
        <v>#N/A</v>
      </c>
      <c r="I891" t="e">
        <f ca="1"/>
        <v>#N/A</v>
      </c>
      <c r="J891" t="e">
        <f ca="1"/>
        <v>#N/A</v>
      </c>
      <c r="K891" s="49" t="e">
        <f ca="1"/>
        <v>#N/A</v>
      </c>
    </row>
    <row r="892" spans="1:11" x14ac:dyDescent="0.25">
      <c r="A892" s="2" t="e">
        <f ca="1"/>
        <v>#N/A</v>
      </c>
      <c r="C892" t="e">
        <f ca="1"/>
        <v>#N/A</v>
      </c>
      <c r="D892" t="e">
        <f ca="1"/>
        <v>#N/A</v>
      </c>
      <c r="E892" t="e">
        <f ca="1"/>
        <v>#N/A</v>
      </c>
      <c r="F892" t="e">
        <f ca="1"/>
        <v>#N/A</v>
      </c>
      <c r="G892" t="e">
        <f ca="1"/>
        <v>#N/A</v>
      </c>
      <c r="H892" t="e">
        <f ca="1"/>
        <v>#N/A</v>
      </c>
      <c r="I892" t="e">
        <f ca="1"/>
        <v>#N/A</v>
      </c>
      <c r="J892" t="e">
        <f ca="1"/>
        <v>#N/A</v>
      </c>
      <c r="K892" s="49" t="e">
        <f ca="1"/>
        <v>#N/A</v>
      </c>
    </row>
    <row r="893" spans="1:11" x14ac:dyDescent="0.25">
      <c r="A893" s="2" t="e">
        <f ca="1"/>
        <v>#N/A</v>
      </c>
      <c r="C893" t="e">
        <f ca="1"/>
        <v>#N/A</v>
      </c>
      <c r="D893" t="e">
        <f ca="1"/>
        <v>#N/A</v>
      </c>
      <c r="E893" t="e">
        <f ca="1"/>
        <v>#N/A</v>
      </c>
      <c r="F893" t="e">
        <f ca="1"/>
        <v>#N/A</v>
      </c>
      <c r="G893" t="e">
        <f ca="1"/>
        <v>#N/A</v>
      </c>
      <c r="H893" t="e">
        <f ca="1"/>
        <v>#N/A</v>
      </c>
      <c r="I893" t="e">
        <f ca="1"/>
        <v>#N/A</v>
      </c>
      <c r="J893" t="e">
        <f ca="1"/>
        <v>#N/A</v>
      </c>
      <c r="K893" s="49" t="e">
        <f ca="1"/>
        <v>#N/A</v>
      </c>
    </row>
    <row r="894" spans="1:11" x14ac:dyDescent="0.25">
      <c r="A894" s="2" t="e">
        <f ca="1"/>
        <v>#N/A</v>
      </c>
      <c r="C894" t="e">
        <f ca="1"/>
        <v>#N/A</v>
      </c>
      <c r="D894" t="e">
        <f ca="1"/>
        <v>#N/A</v>
      </c>
      <c r="E894" t="e">
        <f ca="1"/>
        <v>#N/A</v>
      </c>
      <c r="F894" t="e">
        <f ca="1"/>
        <v>#N/A</v>
      </c>
      <c r="G894" t="e">
        <f ca="1"/>
        <v>#N/A</v>
      </c>
      <c r="H894" t="e">
        <f ca="1"/>
        <v>#N/A</v>
      </c>
      <c r="I894" t="e">
        <f ca="1"/>
        <v>#N/A</v>
      </c>
      <c r="J894" t="e">
        <f ca="1"/>
        <v>#N/A</v>
      </c>
      <c r="K894" s="49" t="e">
        <f ca="1"/>
        <v>#N/A</v>
      </c>
    </row>
    <row r="895" spans="1:11" x14ac:dyDescent="0.25">
      <c r="A895" s="2" t="e">
        <f ca="1"/>
        <v>#N/A</v>
      </c>
      <c r="C895" t="e">
        <f ca="1"/>
        <v>#N/A</v>
      </c>
      <c r="D895" t="e">
        <f ca="1"/>
        <v>#N/A</v>
      </c>
      <c r="E895" t="e">
        <f ca="1"/>
        <v>#N/A</v>
      </c>
      <c r="F895" t="e">
        <f ca="1"/>
        <v>#N/A</v>
      </c>
      <c r="G895" t="e">
        <f ca="1"/>
        <v>#N/A</v>
      </c>
      <c r="H895" t="e">
        <f ca="1"/>
        <v>#N/A</v>
      </c>
      <c r="I895" t="e">
        <f ca="1"/>
        <v>#N/A</v>
      </c>
      <c r="J895" t="e">
        <f ca="1"/>
        <v>#N/A</v>
      </c>
      <c r="K895" s="49" t="e">
        <f ca="1"/>
        <v>#N/A</v>
      </c>
    </row>
    <row r="896" spans="1:11" x14ac:dyDescent="0.25">
      <c r="A896" s="2" t="e">
        <f ca="1"/>
        <v>#N/A</v>
      </c>
      <c r="C896" t="e">
        <f ca="1"/>
        <v>#N/A</v>
      </c>
      <c r="D896" t="e">
        <f ca="1"/>
        <v>#N/A</v>
      </c>
      <c r="E896" t="e">
        <f ca="1"/>
        <v>#N/A</v>
      </c>
      <c r="F896" t="e">
        <f ca="1"/>
        <v>#N/A</v>
      </c>
      <c r="G896" t="e">
        <f ca="1"/>
        <v>#N/A</v>
      </c>
      <c r="H896" t="e">
        <f ca="1"/>
        <v>#N/A</v>
      </c>
      <c r="I896" t="e">
        <f ca="1"/>
        <v>#N/A</v>
      </c>
      <c r="J896" t="e">
        <f ca="1"/>
        <v>#N/A</v>
      </c>
      <c r="K896" s="49" t="e">
        <f ca="1"/>
        <v>#N/A</v>
      </c>
    </row>
    <row r="897" spans="1:11" x14ac:dyDescent="0.25">
      <c r="A897" s="2" t="e">
        <f ca="1"/>
        <v>#N/A</v>
      </c>
      <c r="C897" t="e">
        <f ca="1"/>
        <v>#N/A</v>
      </c>
      <c r="D897" t="e">
        <f ca="1"/>
        <v>#N/A</v>
      </c>
      <c r="E897" t="e">
        <f ca="1"/>
        <v>#N/A</v>
      </c>
      <c r="F897" t="e">
        <f ca="1"/>
        <v>#N/A</v>
      </c>
      <c r="G897" t="e">
        <f ca="1"/>
        <v>#N/A</v>
      </c>
      <c r="H897" t="e">
        <f ca="1"/>
        <v>#N/A</v>
      </c>
      <c r="I897" t="e">
        <f ca="1"/>
        <v>#N/A</v>
      </c>
      <c r="J897" t="e">
        <f ca="1"/>
        <v>#N/A</v>
      </c>
      <c r="K897" s="49" t="e">
        <f ca="1"/>
        <v>#N/A</v>
      </c>
    </row>
    <row r="898" spans="1:11" x14ac:dyDescent="0.25">
      <c r="A898" s="2" t="e">
        <f ca="1"/>
        <v>#N/A</v>
      </c>
      <c r="C898" t="e">
        <f ca="1"/>
        <v>#N/A</v>
      </c>
      <c r="D898" t="e">
        <f ca="1"/>
        <v>#N/A</v>
      </c>
      <c r="E898" t="e">
        <f ca="1"/>
        <v>#N/A</v>
      </c>
      <c r="F898" t="e">
        <f ca="1"/>
        <v>#N/A</v>
      </c>
      <c r="G898" t="e">
        <f ca="1"/>
        <v>#N/A</v>
      </c>
      <c r="H898" t="e">
        <f ca="1"/>
        <v>#N/A</v>
      </c>
      <c r="I898" t="e">
        <f ca="1"/>
        <v>#N/A</v>
      </c>
      <c r="J898" t="e">
        <f ca="1"/>
        <v>#N/A</v>
      </c>
      <c r="K898" s="49" t="e">
        <f ca="1"/>
        <v>#N/A</v>
      </c>
    </row>
    <row r="899" spans="1:11" x14ac:dyDescent="0.25">
      <c r="A899" s="2" t="e">
        <f ca="1"/>
        <v>#N/A</v>
      </c>
      <c r="C899" t="e">
        <f ca="1"/>
        <v>#N/A</v>
      </c>
      <c r="D899" t="e">
        <f ca="1"/>
        <v>#N/A</v>
      </c>
      <c r="E899" t="e">
        <f ca="1"/>
        <v>#N/A</v>
      </c>
      <c r="F899" t="e">
        <f ca="1"/>
        <v>#N/A</v>
      </c>
      <c r="G899" t="e">
        <f ca="1"/>
        <v>#N/A</v>
      </c>
      <c r="H899" t="e">
        <f ca="1"/>
        <v>#N/A</v>
      </c>
      <c r="I899" t="e">
        <f ca="1"/>
        <v>#N/A</v>
      </c>
      <c r="J899" t="e">
        <f ca="1"/>
        <v>#N/A</v>
      </c>
      <c r="K899" s="49" t="e">
        <f ca="1"/>
        <v>#N/A</v>
      </c>
    </row>
    <row r="900" spans="1:11" x14ac:dyDescent="0.25">
      <c r="A900" s="2" t="e">
        <f ca="1"/>
        <v>#N/A</v>
      </c>
      <c r="C900" t="e">
        <f ca="1"/>
        <v>#N/A</v>
      </c>
      <c r="D900" t="e">
        <f ca="1"/>
        <v>#N/A</v>
      </c>
      <c r="E900" t="e">
        <f ca="1"/>
        <v>#N/A</v>
      </c>
      <c r="F900" t="e">
        <f ca="1"/>
        <v>#N/A</v>
      </c>
      <c r="G900" t="e">
        <f ca="1"/>
        <v>#N/A</v>
      </c>
      <c r="H900" t="e">
        <f ca="1"/>
        <v>#N/A</v>
      </c>
      <c r="I900" t="e">
        <f ca="1"/>
        <v>#N/A</v>
      </c>
      <c r="J900" t="e">
        <f ca="1"/>
        <v>#N/A</v>
      </c>
      <c r="K900" s="49" t="e">
        <f ca="1"/>
        <v>#N/A</v>
      </c>
    </row>
    <row r="901" spans="1:11" x14ac:dyDescent="0.25">
      <c r="A901" s="2" t="e">
        <f ca="1"/>
        <v>#N/A</v>
      </c>
      <c r="C901" t="e">
        <f ca="1"/>
        <v>#N/A</v>
      </c>
      <c r="D901" t="e">
        <f ca="1"/>
        <v>#N/A</v>
      </c>
      <c r="E901" t="e">
        <f ca="1"/>
        <v>#N/A</v>
      </c>
      <c r="F901" t="e">
        <f ca="1"/>
        <v>#N/A</v>
      </c>
      <c r="G901" t="e">
        <f ca="1"/>
        <v>#N/A</v>
      </c>
      <c r="H901" t="e">
        <f ca="1"/>
        <v>#N/A</v>
      </c>
      <c r="I901" t="e">
        <f ca="1"/>
        <v>#N/A</v>
      </c>
      <c r="J901" t="e">
        <f ca="1"/>
        <v>#N/A</v>
      </c>
      <c r="K901" s="49" t="e">
        <f ca="1"/>
        <v>#N/A</v>
      </c>
    </row>
    <row r="902" spans="1:11" x14ac:dyDescent="0.25">
      <c r="A902" s="2" t="e">
        <f ca="1"/>
        <v>#N/A</v>
      </c>
      <c r="C902" t="e">
        <f ca="1"/>
        <v>#N/A</v>
      </c>
      <c r="D902" t="e">
        <f ca="1"/>
        <v>#N/A</v>
      </c>
      <c r="E902" t="e">
        <f ca="1"/>
        <v>#N/A</v>
      </c>
      <c r="F902" t="e">
        <f ca="1"/>
        <v>#N/A</v>
      </c>
      <c r="G902" t="e">
        <f ca="1"/>
        <v>#N/A</v>
      </c>
      <c r="H902" t="e">
        <f ca="1"/>
        <v>#N/A</v>
      </c>
      <c r="I902" t="e">
        <f ca="1"/>
        <v>#N/A</v>
      </c>
      <c r="J902" t="e">
        <f ca="1"/>
        <v>#N/A</v>
      </c>
      <c r="K902" s="49" t="e">
        <f ca="1"/>
        <v>#N/A</v>
      </c>
    </row>
    <row r="903" spans="1:11" x14ac:dyDescent="0.25">
      <c r="A903" s="2" t="e">
        <f ca="1"/>
        <v>#N/A</v>
      </c>
      <c r="C903" t="e">
        <f ca="1"/>
        <v>#N/A</v>
      </c>
      <c r="D903" t="e">
        <f ca="1"/>
        <v>#N/A</v>
      </c>
      <c r="E903" t="e">
        <f ca="1"/>
        <v>#N/A</v>
      </c>
      <c r="F903" t="e">
        <f ca="1"/>
        <v>#N/A</v>
      </c>
      <c r="G903" t="e">
        <f ca="1"/>
        <v>#N/A</v>
      </c>
      <c r="H903" t="e">
        <f ca="1"/>
        <v>#N/A</v>
      </c>
      <c r="I903" t="e">
        <f ca="1"/>
        <v>#N/A</v>
      </c>
      <c r="J903" t="e">
        <f ca="1"/>
        <v>#N/A</v>
      </c>
      <c r="K903" s="49" t="e">
        <f ca="1"/>
        <v>#N/A</v>
      </c>
    </row>
    <row r="904" spans="1:11" x14ac:dyDescent="0.25">
      <c r="A904" s="2" t="e">
        <f ca="1"/>
        <v>#N/A</v>
      </c>
      <c r="C904" t="e">
        <f ca="1"/>
        <v>#N/A</v>
      </c>
      <c r="D904" t="e">
        <f ca="1"/>
        <v>#N/A</v>
      </c>
      <c r="E904" t="e">
        <f ca="1"/>
        <v>#N/A</v>
      </c>
      <c r="F904" t="e">
        <f ca="1"/>
        <v>#N/A</v>
      </c>
      <c r="G904" t="e">
        <f ca="1"/>
        <v>#N/A</v>
      </c>
      <c r="H904" t="e">
        <f ca="1"/>
        <v>#N/A</v>
      </c>
      <c r="I904" t="e">
        <f ca="1"/>
        <v>#N/A</v>
      </c>
      <c r="J904" t="e">
        <f ca="1"/>
        <v>#N/A</v>
      </c>
      <c r="K904" s="49" t="e">
        <f ca="1"/>
        <v>#N/A</v>
      </c>
    </row>
    <row r="905" spans="1:11" x14ac:dyDescent="0.25">
      <c r="A905" s="2" t="e">
        <f ca="1"/>
        <v>#N/A</v>
      </c>
      <c r="C905" t="e">
        <f ca="1"/>
        <v>#N/A</v>
      </c>
      <c r="D905" t="e">
        <f ca="1"/>
        <v>#N/A</v>
      </c>
      <c r="E905" t="e">
        <f ca="1"/>
        <v>#N/A</v>
      </c>
      <c r="F905" t="e">
        <f ca="1"/>
        <v>#N/A</v>
      </c>
      <c r="G905" t="e">
        <f ca="1"/>
        <v>#N/A</v>
      </c>
      <c r="H905" t="e">
        <f ca="1"/>
        <v>#N/A</v>
      </c>
      <c r="I905" t="e">
        <f ca="1"/>
        <v>#N/A</v>
      </c>
      <c r="J905" t="e">
        <f ca="1"/>
        <v>#N/A</v>
      </c>
      <c r="K905" s="49" t="e">
        <f ca="1"/>
        <v>#N/A</v>
      </c>
    </row>
    <row r="906" spans="1:11" x14ac:dyDescent="0.25">
      <c r="A906" s="2" t="e">
        <f ca="1"/>
        <v>#N/A</v>
      </c>
      <c r="C906" t="e">
        <f ca="1"/>
        <v>#N/A</v>
      </c>
      <c r="D906" t="e">
        <f ca="1"/>
        <v>#N/A</v>
      </c>
      <c r="E906" t="e">
        <f ca="1"/>
        <v>#N/A</v>
      </c>
      <c r="F906" t="e">
        <f ca="1"/>
        <v>#N/A</v>
      </c>
      <c r="G906" t="e">
        <f ca="1"/>
        <v>#N/A</v>
      </c>
      <c r="H906" t="e">
        <f ca="1"/>
        <v>#N/A</v>
      </c>
      <c r="I906" t="e">
        <f ca="1"/>
        <v>#N/A</v>
      </c>
      <c r="J906" t="e">
        <f ca="1"/>
        <v>#N/A</v>
      </c>
      <c r="K906" s="49" t="e">
        <f ca="1"/>
        <v>#N/A</v>
      </c>
    </row>
    <row r="907" spans="1:11" x14ac:dyDescent="0.25">
      <c r="A907" s="2" t="e">
        <f ca="1"/>
        <v>#N/A</v>
      </c>
      <c r="C907" t="e">
        <f ca="1"/>
        <v>#N/A</v>
      </c>
      <c r="D907" t="e">
        <f ca="1"/>
        <v>#N/A</v>
      </c>
      <c r="E907" t="e">
        <f ca="1"/>
        <v>#N/A</v>
      </c>
      <c r="F907" t="e">
        <f ca="1"/>
        <v>#N/A</v>
      </c>
      <c r="G907" t="e">
        <f ca="1"/>
        <v>#N/A</v>
      </c>
      <c r="H907" t="e">
        <f ca="1"/>
        <v>#N/A</v>
      </c>
      <c r="I907" t="e">
        <f ca="1"/>
        <v>#N/A</v>
      </c>
      <c r="J907" t="e">
        <f ca="1"/>
        <v>#N/A</v>
      </c>
      <c r="K907" s="49" t="e">
        <f ca="1"/>
        <v>#N/A</v>
      </c>
    </row>
    <row r="908" spans="1:11" x14ac:dyDescent="0.25">
      <c r="A908" s="2" t="e">
        <f ca="1"/>
        <v>#N/A</v>
      </c>
      <c r="C908" t="e">
        <f ca="1"/>
        <v>#N/A</v>
      </c>
      <c r="D908" t="e">
        <f ca="1"/>
        <v>#N/A</v>
      </c>
      <c r="E908" t="e">
        <f ca="1"/>
        <v>#N/A</v>
      </c>
      <c r="F908" t="e">
        <f ca="1"/>
        <v>#N/A</v>
      </c>
      <c r="G908" t="e">
        <f ca="1"/>
        <v>#N/A</v>
      </c>
      <c r="H908" t="e">
        <f ca="1"/>
        <v>#N/A</v>
      </c>
      <c r="I908" t="e">
        <f ca="1"/>
        <v>#N/A</v>
      </c>
      <c r="J908" t="e">
        <f ca="1"/>
        <v>#N/A</v>
      </c>
      <c r="K908" s="49" t="e">
        <f ca="1"/>
        <v>#N/A</v>
      </c>
    </row>
    <row r="909" spans="1:11" x14ac:dyDescent="0.25">
      <c r="A909" s="2" t="e">
        <f ca="1"/>
        <v>#N/A</v>
      </c>
      <c r="C909" t="e">
        <f ca="1"/>
        <v>#N/A</v>
      </c>
      <c r="D909" t="e">
        <f ca="1"/>
        <v>#N/A</v>
      </c>
      <c r="E909" t="e">
        <f ca="1"/>
        <v>#N/A</v>
      </c>
      <c r="F909" t="e">
        <f ca="1"/>
        <v>#N/A</v>
      </c>
      <c r="G909" t="e">
        <f ca="1"/>
        <v>#N/A</v>
      </c>
      <c r="H909" t="e">
        <f ca="1"/>
        <v>#N/A</v>
      </c>
      <c r="I909" t="e">
        <f ca="1"/>
        <v>#N/A</v>
      </c>
      <c r="J909" t="e">
        <f ca="1"/>
        <v>#N/A</v>
      </c>
      <c r="K909" s="49" t="e">
        <f ca="1"/>
        <v>#N/A</v>
      </c>
    </row>
    <row r="910" spans="1:11" x14ac:dyDescent="0.25">
      <c r="A910" s="2" t="e">
        <f ca="1"/>
        <v>#N/A</v>
      </c>
      <c r="C910" t="e">
        <f ca="1"/>
        <v>#N/A</v>
      </c>
      <c r="D910" t="e">
        <f ca="1"/>
        <v>#N/A</v>
      </c>
      <c r="E910" t="e">
        <f ca="1"/>
        <v>#N/A</v>
      </c>
      <c r="F910" t="e">
        <f ca="1"/>
        <v>#N/A</v>
      </c>
      <c r="G910" t="e">
        <f ca="1"/>
        <v>#N/A</v>
      </c>
      <c r="H910" t="e">
        <f ca="1"/>
        <v>#N/A</v>
      </c>
      <c r="I910" t="e">
        <f ca="1"/>
        <v>#N/A</v>
      </c>
      <c r="J910" t="e">
        <f ca="1"/>
        <v>#N/A</v>
      </c>
      <c r="K910" s="49" t="e">
        <f ca="1"/>
        <v>#N/A</v>
      </c>
    </row>
    <row r="911" spans="1:11" x14ac:dyDescent="0.25">
      <c r="A911" s="2" t="e">
        <f ca="1"/>
        <v>#N/A</v>
      </c>
      <c r="C911" t="e">
        <f ca="1"/>
        <v>#N/A</v>
      </c>
      <c r="D911" t="e">
        <f ca="1"/>
        <v>#N/A</v>
      </c>
      <c r="E911" t="e">
        <f ca="1"/>
        <v>#N/A</v>
      </c>
      <c r="F911" t="e">
        <f ca="1"/>
        <v>#N/A</v>
      </c>
      <c r="G911" t="e">
        <f ca="1"/>
        <v>#N/A</v>
      </c>
      <c r="H911" t="e">
        <f ca="1"/>
        <v>#N/A</v>
      </c>
      <c r="I911" t="e">
        <f ca="1"/>
        <v>#N/A</v>
      </c>
      <c r="J911" t="e">
        <f ca="1"/>
        <v>#N/A</v>
      </c>
      <c r="K911" s="49" t="e">
        <f ca="1"/>
        <v>#N/A</v>
      </c>
    </row>
    <row r="912" spans="1:11" x14ac:dyDescent="0.25">
      <c r="A912" s="2" t="e">
        <f ca="1"/>
        <v>#N/A</v>
      </c>
      <c r="C912" t="e">
        <f ca="1"/>
        <v>#N/A</v>
      </c>
      <c r="D912" t="e">
        <f ca="1"/>
        <v>#N/A</v>
      </c>
      <c r="E912" t="e">
        <f ca="1"/>
        <v>#N/A</v>
      </c>
      <c r="F912" t="e">
        <f ca="1"/>
        <v>#N/A</v>
      </c>
      <c r="G912" t="e">
        <f ca="1"/>
        <v>#N/A</v>
      </c>
      <c r="H912" t="e">
        <f ca="1"/>
        <v>#N/A</v>
      </c>
      <c r="I912" t="e">
        <f ca="1"/>
        <v>#N/A</v>
      </c>
      <c r="J912" t="e">
        <f ca="1"/>
        <v>#N/A</v>
      </c>
      <c r="K912" s="49" t="e">
        <f ca="1"/>
        <v>#N/A</v>
      </c>
    </row>
    <row r="913" spans="1:11" x14ac:dyDescent="0.25">
      <c r="A913" s="2" t="e">
        <f ca="1"/>
        <v>#N/A</v>
      </c>
      <c r="C913" t="e">
        <f ca="1"/>
        <v>#N/A</v>
      </c>
      <c r="D913" t="e">
        <f ca="1"/>
        <v>#N/A</v>
      </c>
      <c r="E913" t="e">
        <f ca="1"/>
        <v>#N/A</v>
      </c>
      <c r="F913" t="e">
        <f ca="1"/>
        <v>#N/A</v>
      </c>
      <c r="G913" t="e">
        <f ca="1"/>
        <v>#N/A</v>
      </c>
      <c r="H913" t="e">
        <f ca="1"/>
        <v>#N/A</v>
      </c>
      <c r="I913" t="e">
        <f ca="1"/>
        <v>#N/A</v>
      </c>
      <c r="J913" t="e">
        <f ca="1"/>
        <v>#N/A</v>
      </c>
      <c r="K913" s="49" t="e">
        <f ca="1"/>
        <v>#N/A</v>
      </c>
    </row>
    <row r="914" spans="1:11" x14ac:dyDescent="0.25">
      <c r="A914" s="2" t="e">
        <f ca="1"/>
        <v>#N/A</v>
      </c>
      <c r="C914" t="e">
        <f ca="1"/>
        <v>#N/A</v>
      </c>
      <c r="D914" t="e">
        <f ca="1"/>
        <v>#N/A</v>
      </c>
      <c r="E914" t="e">
        <f ca="1"/>
        <v>#N/A</v>
      </c>
      <c r="F914" t="e">
        <f ca="1"/>
        <v>#N/A</v>
      </c>
      <c r="G914" t="e">
        <f ca="1"/>
        <v>#N/A</v>
      </c>
      <c r="H914" t="e">
        <f ca="1"/>
        <v>#N/A</v>
      </c>
      <c r="I914" t="e">
        <f ca="1"/>
        <v>#N/A</v>
      </c>
      <c r="J914" t="e">
        <f ca="1"/>
        <v>#N/A</v>
      </c>
      <c r="K914" s="49" t="e">
        <f ca="1"/>
        <v>#N/A</v>
      </c>
    </row>
    <row r="915" spans="1:11" x14ac:dyDescent="0.25">
      <c r="A915" s="2" t="e">
        <f ca="1"/>
        <v>#N/A</v>
      </c>
      <c r="C915" t="e">
        <f ca="1"/>
        <v>#N/A</v>
      </c>
      <c r="D915" t="e">
        <f ca="1"/>
        <v>#N/A</v>
      </c>
      <c r="E915" t="e">
        <f ca="1"/>
        <v>#N/A</v>
      </c>
      <c r="F915" t="e">
        <f ca="1"/>
        <v>#N/A</v>
      </c>
      <c r="G915" t="e">
        <f ca="1"/>
        <v>#N/A</v>
      </c>
      <c r="H915" t="e">
        <f ca="1"/>
        <v>#N/A</v>
      </c>
      <c r="I915" t="e">
        <f ca="1"/>
        <v>#N/A</v>
      </c>
      <c r="J915" t="e">
        <f ca="1"/>
        <v>#N/A</v>
      </c>
      <c r="K915" s="49" t="e">
        <f ca="1"/>
        <v>#N/A</v>
      </c>
    </row>
    <row r="916" spans="1:11" x14ac:dyDescent="0.25">
      <c r="A916" s="2" t="e">
        <f ca="1"/>
        <v>#N/A</v>
      </c>
      <c r="C916" t="e">
        <f ca="1"/>
        <v>#N/A</v>
      </c>
      <c r="D916" t="e">
        <f ca="1"/>
        <v>#N/A</v>
      </c>
      <c r="E916" t="e">
        <f ca="1"/>
        <v>#N/A</v>
      </c>
      <c r="F916" t="e">
        <f ca="1"/>
        <v>#N/A</v>
      </c>
      <c r="G916" t="e">
        <f ca="1"/>
        <v>#N/A</v>
      </c>
      <c r="H916" t="e">
        <f ca="1"/>
        <v>#N/A</v>
      </c>
      <c r="I916" t="e">
        <f ca="1"/>
        <v>#N/A</v>
      </c>
      <c r="J916" t="e">
        <f ca="1"/>
        <v>#N/A</v>
      </c>
      <c r="K916" s="49" t="e">
        <f ca="1"/>
        <v>#N/A</v>
      </c>
    </row>
    <row r="917" spans="1:11" x14ac:dyDescent="0.25">
      <c r="A917" s="2" t="e">
        <f ca="1"/>
        <v>#N/A</v>
      </c>
      <c r="C917" t="e">
        <f ca="1"/>
        <v>#N/A</v>
      </c>
      <c r="D917" t="e">
        <f ca="1"/>
        <v>#N/A</v>
      </c>
      <c r="E917" t="e">
        <f ca="1"/>
        <v>#N/A</v>
      </c>
      <c r="F917" t="e">
        <f ca="1"/>
        <v>#N/A</v>
      </c>
      <c r="G917" t="e">
        <f ca="1"/>
        <v>#N/A</v>
      </c>
      <c r="H917" t="e">
        <f ca="1"/>
        <v>#N/A</v>
      </c>
      <c r="I917" t="e">
        <f ca="1"/>
        <v>#N/A</v>
      </c>
      <c r="J917" t="e">
        <f ca="1"/>
        <v>#N/A</v>
      </c>
      <c r="K917" s="49" t="e">
        <f ca="1"/>
        <v>#N/A</v>
      </c>
    </row>
    <row r="918" spans="1:11" x14ac:dyDescent="0.25">
      <c r="A918" s="2" t="e">
        <f ca="1"/>
        <v>#N/A</v>
      </c>
      <c r="C918" t="e">
        <f ca="1"/>
        <v>#N/A</v>
      </c>
      <c r="D918" t="e">
        <f ca="1"/>
        <v>#N/A</v>
      </c>
      <c r="E918" t="e">
        <f ca="1"/>
        <v>#N/A</v>
      </c>
      <c r="F918" t="e">
        <f ca="1"/>
        <v>#N/A</v>
      </c>
      <c r="G918" t="e">
        <f ca="1"/>
        <v>#N/A</v>
      </c>
      <c r="H918" t="e">
        <f ca="1"/>
        <v>#N/A</v>
      </c>
      <c r="I918" t="e">
        <f ca="1"/>
        <v>#N/A</v>
      </c>
      <c r="J918" t="e">
        <f ca="1"/>
        <v>#N/A</v>
      </c>
      <c r="K918" s="49" t="e">
        <f ca="1"/>
        <v>#N/A</v>
      </c>
    </row>
    <row r="919" spans="1:11" x14ac:dyDescent="0.25">
      <c r="A919" s="2" t="e">
        <f ca="1"/>
        <v>#N/A</v>
      </c>
      <c r="C919" t="e">
        <f ca="1"/>
        <v>#N/A</v>
      </c>
      <c r="D919" t="e">
        <f ca="1"/>
        <v>#N/A</v>
      </c>
      <c r="E919" t="e">
        <f ca="1"/>
        <v>#N/A</v>
      </c>
      <c r="F919" t="e">
        <f ca="1"/>
        <v>#N/A</v>
      </c>
      <c r="G919" t="e">
        <f ca="1"/>
        <v>#N/A</v>
      </c>
      <c r="H919" t="e">
        <f ca="1"/>
        <v>#N/A</v>
      </c>
      <c r="I919" t="e">
        <f ca="1"/>
        <v>#N/A</v>
      </c>
      <c r="J919" t="e">
        <f ca="1"/>
        <v>#N/A</v>
      </c>
      <c r="K919" s="49" t="e">
        <f ca="1"/>
        <v>#N/A</v>
      </c>
    </row>
    <row r="920" spans="1:11" x14ac:dyDescent="0.25">
      <c r="A920" s="2" t="e">
        <f ca="1"/>
        <v>#N/A</v>
      </c>
      <c r="C920" t="e">
        <f ca="1"/>
        <v>#N/A</v>
      </c>
      <c r="D920" t="e">
        <f ca="1"/>
        <v>#N/A</v>
      </c>
      <c r="E920" t="e">
        <f ca="1"/>
        <v>#N/A</v>
      </c>
      <c r="F920" t="e">
        <f ca="1"/>
        <v>#N/A</v>
      </c>
      <c r="G920" t="e">
        <f ca="1"/>
        <v>#N/A</v>
      </c>
      <c r="H920" t="e">
        <f ca="1"/>
        <v>#N/A</v>
      </c>
      <c r="I920" t="e">
        <f ca="1"/>
        <v>#N/A</v>
      </c>
      <c r="J920" t="e">
        <f ca="1"/>
        <v>#N/A</v>
      </c>
      <c r="K920" s="49" t="e">
        <f ca="1"/>
        <v>#N/A</v>
      </c>
    </row>
    <row r="921" spans="1:11" x14ac:dyDescent="0.25">
      <c r="A921" s="2" t="e">
        <f ca="1"/>
        <v>#N/A</v>
      </c>
      <c r="C921" t="e">
        <f ca="1"/>
        <v>#N/A</v>
      </c>
      <c r="D921" t="e">
        <f ca="1"/>
        <v>#N/A</v>
      </c>
      <c r="E921" t="e">
        <f ca="1"/>
        <v>#N/A</v>
      </c>
      <c r="F921" t="e">
        <f ca="1"/>
        <v>#N/A</v>
      </c>
      <c r="G921" t="e">
        <f ca="1"/>
        <v>#N/A</v>
      </c>
      <c r="H921" t="e">
        <f ca="1"/>
        <v>#N/A</v>
      </c>
      <c r="I921" t="e">
        <f ca="1"/>
        <v>#N/A</v>
      </c>
      <c r="J921" t="e">
        <f ca="1"/>
        <v>#N/A</v>
      </c>
      <c r="K921" s="49" t="e">
        <f ca="1"/>
        <v>#N/A</v>
      </c>
    </row>
    <row r="922" spans="1:11" x14ac:dyDescent="0.25">
      <c r="A922" s="2" t="e">
        <f ca="1"/>
        <v>#N/A</v>
      </c>
      <c r="C922" t="e">
        <f ca="1"/>
        <v>#N/A</v>
      </c>
      <c r="D922" t="e">
        <f ca="1"/>
        <v>#N/A</v>
      </c>
      <c r="E922" t="e">
        <f ca="1"/>
        <v>#N/A</v>
      </c>
      <c r="F922" t="e">
        <f ca="1"/>
        <v>#N/A</v>
      </c>
      <c r="G922" t="e">
        <f ca="1"/>
        <v>#N/A</v>
      </c>
      <c r="H922" t="e">
        <f ca="1"/>
        <v>#N/A</v>
      </c>
      <c r="I922" t="e">
        <f ca="1"/>
        <v>#N/A</v>
      </c>
      <c r="J922" t="e">
        <f ca="1"/>
        <v>#N/A</v>
      </c>
      <c r="K922" s="49" t="e">
        <f ca="1"/>
        <v>#N/A</v>
      </c>
    </row>
    <row r="923" spans="1:11" x14ac:dyDescent="0.25">
      <c r="A923" s="2" t="e">
        <f ca="1"/>
        <v>#N/A</v>
      </c>
      <c r="C923" t="e">
        <f ca="1"/>
        <v>#N/A</v>
      </c>
      <c r="D923" t="e">
        <f ca="1"/>
        <v>#N/A</v>
      </c>
      <c r="E923" t="e">
        <f ca="1"/>
        <v>#N/A</v>
      </c>
      <c r="F923" t="e">
        <f ca="1"/>
        <v>#N/A</v>
      </c>
      <c r="G923" t="e">
        <f ca="1"/>
        <v>#N/A</v>
      </c>
      <c r="H923" t="e">
        <f ca="1"/>
        <v>#N/A</v>
      </c>
      <c r="I923" t="e">
        <f ca="1"/>
        <v>#N/A</v>
      </c>
      <c r="J923" t="e">
        <f ca="1"/>
        <v>#N/A</v>
      </c>
      <c r="K923" s="49" t="e">
        <f ca="1"/>
        <v>#N/A</v>
      </c>
    </row>
    <row r="924" spans="1:11" x14ac:dyDescent="0.25">
      <c r="A924" s="2" t="e">
        <f ca="1"/>
        <v>#N/A</v>
      </c>
      <c r="C924" t="e">
        <f ca="1"/>
        <v>#N/A</v>
      </c>
      <c r="D924" t="e">
        <f ca="1"/>
        <v>#N/A</v>
      </c>
      <c r="E924" t="e">
        <f ca="1"/>
        <v>#N/A</v>
      </c>
      <c r="F924" t="e">
        <f ca="1"/>
        <v>#N/A</v>
      </c>
      <c r="G924" t="e">
        <f ca="1"/>
        <v>#N/A</v>
      </c>
      <c r="H924" t="e">
        <f ca="1"/>
        <v>#N/A</v>
      </c>
      <c r="I924" t="e">
        <f ca="1"/>
        <v>#N/A</v>
      </c>
      <c r="J924" t="e">
        <f ca="1"/>
        <v>#N/A</v>
      </c>
      <c r="K924" s="49" t="e">
        <f ca="1"/>
        <v>#N/A</v>
      </c>
    </row>
    <row r="925" spans="1:11" x14ac:dyDescent="0.25">
      <c r="A925" s="2" t="e">
        <f ca="1"/>
        <v>#N/A</v>
      </c>
      <c r="C925" t="e">
        <f ca="1"/>
        <v>#N/A</v>
      </c>
      <c r="D925" t="e">
        <f ca="1"/>
        <v>#N/A</v>
      </c>
      <c r="E925" t="e">
        <f ca="1"/>
        <v>#N/A</v>
      </c>
      <c r="F925" t="e">
        <f ca="1"/>
        <v>#N/A</v>
      </c>
      <c r="G925" t="e">
        <f ca="1"/>
        <v>#N/A</v>
      </c>
      <c r="H925" t="e">
        <f ca="1"/>
        <v>#N/A</v>
      </c>
      <c r="I925" t="e">
        <f ca="1"/>
        <v>#N/A</v>
      </c>
      <c r="J925" t="e">
        <f ca="1"/>
        <v>#N/A</v>
      </c>
      <c r="K925" s="49" t="e">
        <f ca="1"/>
        <v>#N/A</v>
      </c>
    </row>
    <row r="926" spans="1:11" x14ac:dyDescent="0.25">
      <c r="A926" s="2" t="e">
        <f ca="1"/>
        <v>#N/A</v>
      </c>
      <c r="C926" t="e">
        <f ca="1"/>
        <v>#N/A</v>
      </c>
      <c r="D926" t="e">
        <f ca="1"/>
        <v>#N/A</v>
      </c>
      <c r="E926" t="e">
        <f ca="1"/>
        <v>#N/A</v>
      </c>
      <c r="F926" t="e">
        <f ca="1"/>
        <v>#N/A</v>
      </c>
      <c r="G926" t="e">
        <f ca="1"/>
        <v>#N/A</v>
      </c>
      <c r="H926" t="e">
        <f ca="1"/>
        <v>#N/A</v>
      </c>
      <c r="I926" t="e">
        <f ca="1"/>
        <v>#N/A</v>
      </c>
      <c r="J926" t="e">
        <f ca="1"/>
        <v>#N/A</v>
      </c>
      <c r="K926" s="49" t="e">
        <f ca="1"/>
        <v>#N/A</v>
      </c>
    </row>
    <row r="927" spans="1:11" x14ac:dyDescent="0.25">
      <c r="A927" s="2" t="e">
        <f ca="1"/>
        <v>#N/A</v>
      </c>
      <c r="C927" t="e">
        <f ca="1"/>
        <v>#N/A</v>
      </c>
      <c r="D927" t="e">
        <f ca="1"/>
        <v>#N/A</v>
      </c>
      <c r="E927" t="e">
        <f ca="1"/>
        <v>#N/A</v>
      </c>
      <c r="F927" t="e">
        <f ca="1"/>
        <v>#N/A</v>
      </c>
      <c r="G927" t="e">
        <f ca="1"/>
        <v>#N/A</v>
      </c>
      <c r="H927" t="e">
        <f ca="1"/>
        <v>#N/A</v>
      </c>
      <c r="I927" t="e">
        <f ca="1"/>
        <v>#N/A</v>
      </c>
      <c r="J927" t="e">
        <f ca="1"/>
        <v>#N/A</v>
      </c>
      <c r="K927" s="49" t="e">
        <f ca="1"/>
        <v>#N/A</v>
      </c>
    </row>
    <row r="928" spans="1:11" x14ac:dyDescent="0.25">
      <c r="A928" s="2" t="e">
        <f ca="1"/>
        <v>#N/A</v>
      </c>
      <c r="C928" t="e">
        <f ca="1"/>
        <v>#N/A</v>
      </c>
      <c r="D928" t="e">
        <f ca="1"/>
        <v>#N/A</v>
      </c>
      <c r="E928" t="e">
        <f ca="1"/>
        <v>#N/A</v>
      </c>
      <c r="F928" t="e">
        <f ca="1"/>
        <v>#N/A</v>
      </c>
      <c r="G928" t="e">
        <f ca="1"/>
        <v>#N/A</v>
      </c>
      <c r="H928" t="e">
        <f ca="1"/>
        <v>#N/A</v>
      </c>
      <c r="I928" t="e">
        <f ca="1"/>
        <v>#N/A</v>
      </c>
      <c r="J928" t="e">
        <f ca="1"/>
        <v>#N/A</v>
      </c>
      <c r="K928" s="49" t="e">
        <f ca="1"/>
        <v>#N/A</v>
      </c>
    </row>
    <row r="929" spans="1:11" x14ac:dyDescent="0.25">
      <c r="A929" s="2" t="e">
        <f ca="1"/>
        <v>#N/A</v>
      </c>
      <c r="C929" t="e">
        <f ca="1"/>
        <v>#N/A</v>
      </c>
      <c r="D929" t="e">
        <f ca="1"/>
        <v>#N/A</v>
      </c>
      <c r="E929" t="e">
        <f ca="1"/>
        <v>#N/A</v>
      </c>
      <c r="F929" t="e">
        <f ca="1"/>
        <v>#N/A</v>
      </c>
      <c r="G929" t="e">
        <f ca="1"/>
        <v>#N/A</v>
      </c>
      <c r="H929" t="e">
        <f ca="1"/>
        <v>#N/A</v>
      </c>
      <c r="I929" t="e">
        <f ca="1"/>
        <v>#N/A</v>
      </c>
      <c r="J929" t="e">
        <f ca="1"/>
        <v>#N/A</v>
      </c>
      <c r="K929" s="49" t="e">
        <f ca="1"/>
        <v>#N/A</v>
      </c>
    </row>
    <row r="930" spans="1:11" x14ac:dyDescent="0.25">
      <c r="A930" s="2" t="e">
        <f ca="1"/>
        <v>#N/A</v>
      </c>
      <c r="C930" t="e">
        <f ca="1"/>
        <v>#N/A</v>
      </c>
      <c r="D930" t="e">
        <f ca="1"/>
        <v>#N/A</v>
      </c>
      <c r="E930" t="e">
        <f ca="1"/>
        <v>#N/A</v>
      </c>
      <c r="F930" t="e">
        <f ca="1"/>
        <v>#N/A</v>
      </c>
      <c r="G930" t="e">
        <f ca="1"/>
        <v>#N/A</v>
      </c>
      <c r="H930" t="e">
        <f ca="1"/>
        <v>#N/A</v>
      </c>
      <c r="I930" t="e">
        <f ca="1"/>
        <v>#N/A</v>
      </c>
      <c r="J930" t="e">
        <f ca="1"/>
        <v>#N/A</v>
      </c>
      <c r="K930" s="49" t="e">
        <f ca="1"/>
        <v>#N/A</v>
      </c>
    </row>
    <row r="931" spans="1:11" x14ac:dyDescent="0.25">
      <c r="A931" s="2" t="e">
        <f ca="1"/>
        <v>#N/A</v>
      </c>
      <c r="C931" t="e">
        <f ca="1"/>
        <v>#N/A</v>
      </c>
      <c r="D931" t="e">
        <f ca="1"/>
        <v>#N/A</v>
      </c>
      <c r="E931" t="e">
        <f ca="1"/>
        <v>#N/A</v>
      </c>
      <c r="F931" t="e">
        <f ca="1"/>
        <v>#N/A</v>
      </c>
      <c r="G931" t="e">
        <f ca="1"/>
        <v>#N/A</v>
      </c>
      <c r="H931" t="e">
        <f ca="1"/>
        <v>#N/A</v>
      </c>
      <c r="I931" t="e">
        <f ca="1"/>
        <v>#N/A</v>
      </c>
      <c r="J931" t="e">
        <f ca="1"/>
        <v>#N/A</v>
      </c>
      <c r="K931" s="49" t="e">
        <f ca="1"/>
        <v>#N/A</v>
      </c>
    </row>
    <row r="932" spans="1:11" x14ac:dyDescent="0.25">
      <c r="A932" s="2" t="e">
        <f ca="1"/>
        <v>#N/A</v>
      </c>
      <c r="C932" t="e">
        <f ca="1"/>
        <v>#N/A</v>
      </c>
      <c r="D932" t="e">
        <f ca="1"/>
        <v>#N/A</v>
      </c>
      <c r="E932" t="e">
        <f ca="1"/>
        <v>#N/A</v>
      </c>
      <c r="F932" t="e">
        <f ca="1"/>
        <v>#N/A</v>
      </c>
      <c r="G932" t="e">
        <f ca="1"/>
        <v>#N/A</v>
      </c>
      <c r="H932" t="e">
        <f ca="1"/>
        <v>#N/A</v>
      </c>
      <c r="I932" t="e">
        <f ca="1"/>
        <v>#N/A</v>
      </c>
      <c r="J932" t="e">
        <f ca="1"/>
        <v>#N/A</v>
      </c>
      <c r="K932" s="49" t="e">
        <f ca="1"/>
        <v>#N/A</v>
      </c>
    </row>
    <row r="933" spans="1:11" x14ac:dyDescent="0.25">
      <c r="A933" s="2" t="e">
        <f ca="1"/>
        <v>#N/A</v>
      </c>
      <c r="C933" t="e">
        <f ca="1"/>
        <v>#N/A</v>
      </c>
      <c r="D933" t="e">
        <f ca="1"/>
        <v>#N/A</v>
      </c>
      <c r="E933" t="e">
        <f ca="1"/>
        <v>#N/A</v>
      </c>
      <c r="F933" t="e">
        <f ca="1"/>
        <v>#N/A</v>
      </c>
      <c r="G933" t="e">
        <f ca="1"/>
        <v>#N/A</v>
      </c>
      <c r="H933" t="e">
        <f ca="1"/>
        <v>#N/A</v>
      </c>
      <c r="I933" t="e">
        <f ca="1"/>
        <v>#N/A</v>
      </c>
      <c r="J933" t="e">
        <f ca="1"/>
        <v>#N/A</v>
      </c>
      <c r="K933" s="49" t="e">
        <f ca="1"/>
        <v>#N/A</v>
      </c>
    </row>
    <row r="934" spans="1:11" x14ac:dyDescent="0.25">
      <c r="A934" s="2" t="e">
        <f ca="1"/>
        <v>#N/A</v>
      </c>
      <c r="C934" t="e">
        <f ca="1"/>
        <v>#N/A</v>
      </c>
      <c r="D934" t="e">
        <f ca="1"/>
        <v>#N/A</v>
      </c>
      <c r="E934" t="e">
        <f ca="1"/>
        <v>#N/A</v>
      </c>
      <c r="F934" t="e">
        <f ca="1"/>
        <v>#N/A</v>
      </c>
      <c r="G934" t="e">
        <f ca="1"/>
        <v>#N/A</v>
      </c>
      <c r="H934" t="e">
        <f ca="1"/>
        <v>#N/A</v>
      </c>
      <c r="I934" t="e">
        <f ca="1"/>
        <v>#N/A</v>
      </c>
      <c r="J934" t="e">
        <f ca="1"/>
        <v>#N/A</v>
      </c>
      <c r="K934" s="49" t="e">
        <f ca="1"/>
        <v>#N/A</v>
      </c>
    </row>
    <row r="935" spans="1:11" x14ac:dyDescent="0.25">
      <c r="A935" s="2" t="e">
        <f ca="1"/>
        <v>#N/A</v>
      </c>
      <c r="C935" t="e">
        <f ca="1"/>
        <v>#N/A</v>
      </c>
      <c r="D935" t="e">
        <f ca="1"/>
        <v>#N/A</v>
      </c>
      <c r="E935" t="e">
        <f ca="1"/>
        <v>#N/A</v>
      </c>
      <c r="F935" t="e">
        <f ca="1"/>
        <v>#N/A</v>
      </c>
      <c r="G935" t="e">
        <f ca="1"/>
        <v>#N/A</v>
      </c>
      <c r="H935" t="e">
        <f ca="1"/>
        <v>#N/A</v>
      </c>
      <c r="I935" t="e">
        <f ca="1"/>
        <v>#N/A</v>
      </c>
      <c r="J935" t="e">
        <f ca="1"/>
        <v>#N/A</v>
      </c>
      <c r="K935" s="49" t="e">
        <f ca="1"/>
        <v>#N/A</v>
      </c>
    </row>
    <row r="936" spans="1:11" x14ac:dyDescent="0.25">
      <c r="A936" s="2" t="e">
        <f ca="1"/>
        <v>#N/A</v>
      </c>
      <c r="C936" t="e">
        <f ca="1"/>
        <v>#N/A</v>
      </c>
      <c r="D936" t="e">
        <f ca="1"/>
        <v>#N/A</v>
      </c>
      <c r="E936" t="e">
        <f ca="1"/>
        <v>#N/A</v>
      </c>
      <c r="F936" t="e">
        <f ca="1"/>
        <v>#N/A</v>
      </c>
      <c r="G936" t="e">
        <f ca="1"/>
        <v>#N/A</v>
      </c>
      <c r="H936" t="e">
        <f ca="1"/>
        <v>#N/A</v>
      </c>
      <c r="I936" t="e">
        <f ca="1"/>
        <v>#N/A</v>
      </c>
      <c r="J936" t="e">
        <f ca="1"/>
        <v>#N/A</v>
      </c>
      <c r="K936" s="49" t="e">
        <f ca="1"/>
        <v>#N/A</v>
      </c>
    </row>
    <row r="937" spans="1:11" x14ac:dyDescent="0.25">
      <c r="A937" s="2" t="e">
        <f ca="1"/>
        <v>#N/A</v>
      </c>
      <c r="C937" t="e">
        <f ca="1"/>
        <v>#N/A</v>
      </c>
      <c r="D937" t="e">
        <f ca="1"/>
        <v>#N/A</v>
      </c>
      <c r="E937" t="e">
        <f ca="1"/>
        <v>#N/A</v>
      </c>
      <c r="F937" t="e">
        <f ca="1"/>
        <v>#N/A</v>
      </c>
      <c r="G937" t="e">
        <f ca="1"/>
        <v>#N/A</v>
      </c>
      <c r="H937" t="e">
        <f ca="1"/>
        <v>#N/A</v>
      </c>
      <c r="I937" t="e">
        <f ca="1"/>
        <v>#N/A</v>
      </c>
      <c r="J937" t="e">
        <f ca="1"/>
        <v>#N/A</v>
      </c>
      <c r="K937" s="49" t="e">
        <f ca="1"/>
        <v>#N/A</v>
      </c>
    </row>
    <row r="938" spans="1:11" x14ac:dyDescent="0.25">
      <c r="A938" s="2" t="e">
        <f ca="1"/>
        <v>#N/A</v>
      </c>
      <c r="C938" t="e">
        <f ca="1"/>
        <v>#N/A</v>
      </c>
      <c r="D938" t="e">
        <f ca="1"/>
        <v>#N/A</v>
      </c>
      <c r="E938" t="e">
        <f ca="1"/>
        <v>#N/A</v>
      </c>
      <c r="F938" t="e">
        <f ca="1"/>
        <v>#N/A</v>
      </c>
      <c r="G938" t="e">
        <f ca="1"/>
        <v>#N/A</v>
      </c>
      <c r="H938" t="e">
        <f ca="1"/>
        <v>#N/A</v>
      </c>
      <c r="I938" t="e">
        <f ca="1"/>
        <v>#N/A</v>
      </c>
      <c r="J938" t="e">
        <f ca="1"/>
        <v>#N/A</v>
      </c>
      <c r="K938" s="49" t="e">
        <f ca="1"/>
        <v>#N/A</v>
      </c>
    </row>
    <row r="939" spans="1:11" x14ac:dyDescent="0.25">
      <c r="A939" s="2" t="e">
        <f ca="1"/>
        <v>#N/A</v>
      </c>
      <c r="C939" t="e">
        <f ca="1"/>
        <v>#N/A</v>
      </c>
      <c r="D939" t="e">
        <f ca="1"/>
        <v>#N/A</v>
      </c>
      <c r="E939" t="e">
        <f ca="1"/>
        <v>#N/A</v>
      </c>
      <c r="F939" t="e">
        <f ca="1"/>
        <v>#N/A</v>
      </c>
      <c r="G939" t="e">
        <f ca="1"/>
        <v>#N/A</v>
      </c>
      <c r="H939" t="e">
        <f ca="1"/>
        <v>#N/A</v>
      </c>
      <c r="I939" t="e">
        <f ca="1"/>
        <v>#N/A</v>
      </c>
      <c r="J939" t="e">
        <f ca="1"/>
        <v>#N/A</v>
      </c>
      <c r="K939" s="49" t="e">
        <f ca="1"/>
        <v>#N/A</v>
      </c>
    </row>
    <row r="940" spans="1:11" x14ac:dyDescent="0.25">
      <c r="A940" s="2" t="e">
        <f ca="1"/>
        <v>#N/A</v>
      </c>
      <c r="C940" t="e">
        <f ca="1"/>
        <v>#N/A</v>
      </c>
      <c r="D940" t="e">
        <f ca="1"/>
        <v>#N/A</v>
      </c>
      <c r="E940" t="e">
        <f ca="1"/>
        <v>#N/A</v>
      </c>
      <c r="F940" t="e">
        <f ca="1"/>
        <v>#N/A</v>
      </c>
      <c r="G940" t="e">
        <f ca="1"/>
        <v>#N/A</v>
      </c>
      <c r="H940" t="e">
        <f ca="1"/>
        <v>#N/A</v>
      </c>
      <c r="I940" t="e">
        <f ca="1"/>
        <v>#N/A</v>
      </c>
      <c r="J940" t="e">
        <f ca="1"/>
        <v>#N/A</v>
      </c>
      <c r="K940" s="49" t="e">
        <f ca="1"/>
        <v>#N/A</v>
      </c>
    </row>
    <row r="941" spans="1:11" x14ac:dyDescent="0.25">
      <c r="A941" s="2" t="e">
        <f ca="1"/>
        <v>#N/A</v>
      </c>
      <c r="C941" t="e">
        <f ca="1"/>
        <v>#N/A</v>
      </c>
      <c r="D941" t="e">
        <f ca="1"/>
        <v>#N/A</v>
      </c>
      <c r="E941" t="e">
        <f ca="1"/>
        <v>#N/A</v>
      </c>
      <c r="F941" t="e">
        <f ca="1"/>
        <v>#N/A</v>
      </c>
      <c r="G941" t="e">
        <f ca="1"/>
        <v>#N/A</v>
      </c>
      <c r="H941" t="e">
        <f ca="1"/>
        <v>#N/A</v>
      </c>
      <c r="I941" t="e">
        <f ca="1"/>
        <v>#N/A</v>
      </c>
      <c r="J941" t="e">
        <f ca="1"/>
        <v>#N/A</v>
      </c>
      <c r="K941" s="49" t="e">
        <f ca="1"/>
        <v>#N/A</v>
      </c>
    </row>
    <row r="942" spans="1:11" x14ac:dyDescent="0.25">
      <c r="A942" s="2" t="e">
        <f ca="1"/>
        <v>#N/A</v>
      </c>
      <c r="C942" t="e">
        <f ca="1"/>
        <v>#N/A</v>
      </c>
      <c r="D942" t="e">
        <f ca="1"/>
        <v>#N/A</v>
      </c>
      <c r="E942" t="e">
        <f ca="1"/>
        <v>#N/A</v>
      </c>
      <c r="F942" t="e">
        <f ca="1"/>
        <v>#N/A</v>
      </c>
      <c r="G942" t="e">
        <f ca="1"/>
        <v>#N/A</v>
      </c>
      <c r="H942" t="e">
        <f ca="1"/>
        <v>#N/A</v>
      </c>
      <c r="I942" t="e">
        <f ca="1"/>
        <v>#N/A</v>
      </c>
      <c r="J942" t="e">
        <f ca="1"/>
        <v>#N/A</v>
      </c>
      <c r="K942" s="49" t="e">
        <f ca="1"/>
        <v>#N/A</v>
      </c>
    </row>
    <row r="943" spans="1:11" x14ac:dyDescent="0.25">
      <c r="A943" s="2" t="e">
        <f ca="1"/>
        <v>#N/A</v>
      </c>
      <c r="C943" t="e">
        <f ca="1"/>
        <v>#N/A</v>
      </c>
      <c r="D943" t="e">
        <f ca="1"/>
        <v>#N/A</v>
      </c>
      <c r="E943" t="e">
        <f ca="1"/>
        <v>#N/A</v>
      </c>
      <c r="F943" t="e">
        <f ca="1"/>
        <v>#N/A</v>
      </c>
      <c r="G943" t="e">
        <f ca="1"/>
        <v>#N/A</v>
      </c>
      <c r="H943" t="e">
        <f ca="1"/>
        <v>#N/A</v>
      </c>
      <c r="I943" t="e">
        <f ca="1"/>
        <v>#N/A</v>
      </c>
      <c r="J943" t="e">
        <f ca="1"/>
        <v>#N/A</v>
      </c>
      <c r="K943" s="49" t="e">
        <f ca="1"/>
        <v>#N/A</v>
      </c>
    </row>
    <row r="944" spans="1:11" x14ac:dyDescent="0.25">
      <c r="A944" s="2" t="e">
        <f ca="1"/>
        <v>#N/A</v>
      </c>
      <c r="C944" t="e">
        <f ca="1"/>
        <v>#N/A</v>
      </c>
      <c r="D944" t="e">
        <f ca="1"/>
        <v>#N/A</v>
      </c>
      <c r="E944" t="e">
        <f ca="1"/>
        <v>#N/A</v>
      </c>
      <c r="F944" t="e">
        <f ca="1"/>
        <v>#N/A</v>
      </c>
      <c r="G944" t="e">
        <f ca="1"/>
        <v>#N/A</v>
      </c>
      <c r="H944" t="e">
        <f ca="1"/>
        <v>#N/A</v>
      </c>
      <c r="I944" t="e">
        <f ca="1"/>
        <v>#N/A</v>
      </c>
      <c r="J944" t="e">
        <f ca="1"/>
        <v>#N/A</v>
      </c>
      <c r="K944" s="49" t="e">
        <f ca="1"/>
        <v>#N/A</v>
      </c>
    </row>
    <row r="945" spans="1:11" x14ac:dyDescent="0.25">
      <c r="A945" s="2" t="e">
        <f ca="1"/>
        <v>#N/A</v>
      </c>
      <c r="C945" t="e">
        <f ca="1"/>
        <v>#N/A</v>
      </c>
      <c r="D945" t="e">
        <f ca="1"/>
        <v>#N/A</v>
      </c>
      <c r="E945" t="e">
        <f ca="1"/>
        <v>#N/A</v>
      </c>
      <c r="F945" t="e">
        <f ca="1"/>
        <v>#N/A</v>
      </c>
      <c r="G945" t="e">
        <f ca="1"/>
        <v>#N/A</v>
      </c>
      <c r="H945" t="e">
        <f ca="1"/>
        <v>#N/A</v>
      </c>
      <c r="I945" t="e">
        <f ca="1"/>
        <v>#N/A</v>
      </c>
      <c r="J945" t="e">
        <f ca="1"/>
        <v>#N/A</v>
      </c>
      <c r="K945" s="49" t="e">
        <f ca="1"/>
        <v>#N/A</v>
      </c>
    </row>
    <row r="946" spans="1:11" x14ac:dyDescent="0.25">
      <c r="A946" s="2" t="e">
        <f ca="1"/>
        <v>#N/A</v>
      </c>
      <c r="C946" t="e">
        <f ca="1"/>
        <v>#N/A</v>
      </c>
      <c r="D946" t="e">
        <f ca="1"/>
        <v>#N/A</v>
      </c>
      <c r="E946" t="e">
        <f ca="1"/>
        <v>#N/A</v>
      </c>
      <c r="F946" t="e">
        <f ca="1"/>
        <v>#N/A</v>
      </c>
      <c r="G946" t="e">
        <f ca="1"/>
        <v>#N/A</v>
      </c>
      <c r="H946" t="e">
        <f ca="1"/>
        <v>#N/A</v>
      </c>
      <c r="I946" t="e">
        <f ca="1"/>
        <v>#N/A</v>
      </c>
      <c r="J946" t="e">
        <f ca="1"/>
        <v>#N/A</v>
      </c>
      <c r="K946" s="49" t="e">
        <f ca="1"/>
        <v>#N/A</v>
      </c>
    </row>
    <row r="947" spans="1:11" x14ac:dyDescent="0.25">
      <c r="A947" s="2" t="e">
        <f ca="1"/>
        <v>#N/A</v>
      </c>
      <c r="C947" t="e">
        <f ca="1"/>
        <v>#N/A</v>
      </c>
      <c r="D947" t="e">
        <f ca="1"/>
        <v>#N/A</v>
      </c>
      <c r="E947" t="e">
        <f ca="1"/>
        <v>#N/A</v>
      </c>
      <c r="F947" t="e">
        <f ca="1"/>
        <v>#N/A</v>
      </c>
      <c r="G947" t="e">
        <f ca="1"/>
        <v>#N/A</v>
      </c>
      <c r="H947" t="e">
        <f ca="1"/>
        <v>#N/A</v>
      </c>
      <c r="I947" t="e">
        <f ca="1"/>
        <v>#N/A</v>
      </c>
      <c r="J947" t="e">
        <f ca="1"/>
        <v>#N/A</v>
      </c>
      <c r="K947" s="49" t="e">
        <f ca="1"/>
        <v>#N/A</v>
      </c>
    </row>
    <row r="948" spans="1:11" x14ac:dyDescent="0.25">
      <c r="A948" s="2" t="e">
        <f ca="1"/>
        <v>#N/A</v>
      </c>
      <c r="C948" t="e">
        <f ca="1"/>
        <v>#N/A</v>
      </c>
      <c r="D948" t="e">
        <f ca="1"/>
        <v>#N/A</v>
      </c>
      <c r="E948" t="e">
        <f ca="1"/>
        <v>#N/A</v>
      </c>
      <c r="F948" t="e">
        <f ca="1"/>
        <v>#N/A</v>
      </c>
      <c r="G948" t="e">
        <f ca="1"/>
        <v>#N/A</v>
      </c>
      <c r="H948" t="e">
        <f ca="1"/>
        <v>#N/A</v>
      </c>
      <c r="I948" t="e">
        <f ca="1"/>
        <v>#N/A</v>
      </c>
      <c r="J948" t="e">
        <f ca="1"/>
        <v>#N/A</v>
      </c>
      <c r="K948" s="49" t="e">
        <f ca="1"/>
        <v>#N/A</v>
      </c>
    </row>
    <row r="949" spans="1:11" x14ac:dyDescent="0.25">
      <c r="A949" s="2" t="e">
        <f ca="1"/>
        <v>#N/A</v>
      </c>
      <c r="C949" t="e">
        <f ca="1"/>
        <v>#N/A</v>
      </c>
      <c r="D949" t="e">
        <f ca="1"/>
        <v>#N/A</v>
      </c>
      <c r="E949" t="e">
        <f ca="1"/>
        <v>#N/A</v>
      </c>
      <c r="F949" t="e">
        <f ca="1"/>
        <v>#N/A</v>
      </c>
      <c r="G949" t="e">
        <f ca="1"/>
        <v>#N/A</v>
      </c>
      <c r="H949" t="e">
        <f ca="1"/>
        <v>#N/A</v>
      </c>
      <c r="I949" t="e">
        <f ca="1"/>
        <v>#N/A</v>
      </c>
      <c r="J949" t="e">
        <f ca="1"/>
        <v>#N/A</v>
      </c>
      <c r="K949" s="49" t="e">
        <f ca="1"/>
        <v>#N/A</v>
      </c>
    </row>
    <row r="950" spans="1:11" x14ac:dyDescent="0.25">
      <c r="A950" s="2" t="e">
        <f ca="1"/>
        <v>#N/A</v>
      </c>
      <c r="C950" t="e">
        <f ca="1"/>
        <v>#N/A</v>
      </c>
      <c r="D950" t="e">
        <f ca="1"/>
        <v>#N/A</v>
      </c>
      <c r="E950" t="e">
        <f ca="1"/>
        <v>#N/A</v>
      </c>
      <c r="F950" t="e">
        <f ca="1"/>
        <v>#N/A</v>
      </c>
      <c r="G950" t="e">
        <f ca="1"/>
        <v>#N/A</v>
      </c>
      <c r="H950" t="e">
        <f ca="1"/>
        <v>#N/A</v>
      </c>
      <c r="I950" t="e">
        <f ca="1"/>
        <v>#N/A</v>
      </c>
      <c r="J950" t="e">
        <f ca="1"/>
        <v>#N/A</v>
      </c>
      <c r="K950" s="49" t="e">
        <f ca="1"/>
        <v>#N/A</v>
      </c>
    </row>
    <row r="951" spans="1:11" x14ac:dyDescent="0.25">
      <c r="A951" s="2" t="e">
        <f ca="1"/>
        <v>#N/A</v>
      </c>
      <c r="C951" t="e">
        <f ca="1"/>
        <v>#N/A</v>
      </c>
      <c r="D951" t="e">
        <f ca="1"/>
        <v>#N/A</v>
      </c>
      <c r="E951" t="e">
        <f ca="1"/>
        <v>#N/A</v>
      </c>
      <c r="F951" t="e">
        <f ca="1"/>
        <v>#N/A</v>
      </c>
      <c r="G951" t="e">
        <f ca="1"/>
        <v>#N/A</v>
      </c>
      <c r="H951" t="e">
        <f ca="1"/>
        <v>#N/A</v>
      </c>
      <c r="I951" t="e">
        <f ca="1"/>
        <v>#N/A</v>
      </c>
      <c r="J951" t="e">
        <f ca="1"/>
        <v>#N/A</v>
      </c>
      <c r="K951" s="49" t="e">
        <f ca="1"/>
        <v>#N/A</v>
      </c>
    </row>
    <row r="952" spans="1:11" x14ac:dyDescent="0.25">
      <c r="A952" s="2" t="e">
        <f ca="1"/>
        <v>#N/A</v>
      </c>
      <c r="C952" t="e">
        <f ca="1"/>
        <v>#N/A</v>
      </c>
      <c r="D952" t="e">
        <f ca="1"/>
        <v>#N/A</v>
      </c>
      <c r="E952" t="e">
        <f ca="1"/>
        <v>#N/A</v>
      </c>
      <c r="F952" t="e">
        <f ca="1"/>
        <v>#N/A</v>
      </c>
      <c r="G952" t="e">
        <f ca="1"/>
        <v>#N/A</v>
      </c>
      <c r="H952" t="e">
        <f ca="1"/>
        <v>#N/A</v>
      </c>
      <c r="I952" t="e">
        <f ca="1"/>
        <v>#N/A</v>
      </c>
      <c r="J952" t="e">
        <f ca="1"/>
        <v>#N/A</v>
      </c>
      <c r="K952" s="49" t="e">
        <f ca="1"/>
        <v>#N/A</v>
      </c>
    </row>
    <row r="953" spans="1:11" x14ac:dyDescent="0.25">
      <c r="A953" s="2" t="e">
        <f ca="1"/>
        <v>#N/A</v>
      </c>
      <c r="C953" t="e">
        <f ca="1"/>
        <v>#N/A</v>
      </c>
      <c r="D953" t="e">
        <f ca="1"/>
        <v>#N/A</v>
      </c>
      <c r="E953" t="e">
        <f ca="1"/>
        <v>#N/A</v>
      </c>
      <c r="F953" t="e">
        <f ca="1"/>
        <v>#N/A</v>
      </c>
      <c r="G953" t="e">
        <f ca="1"/>
        <v>#N/A</v>
      </c>
      <c r="H953" t="e">
        <f ca="1"/>
        <v>#N/A</v>
      </c>
      <c r="I953" t="e">
        <f ca="1"/>
        <v>#N/A</v>
      </c>
      <c r="J953" t="e">
        <f ca="1"/>
        <v>#N/A</v>
      </c>
      <c r="K953" s="49" t="e">
        <f ca="1"/>
        <v>#N/A</v>
      </c>
    </row>
    <row r="954" spans="1:11" x14ac:dyDescent="0.25">
      <c r="A954" s="2" t="e">
        <f ca="1"/>
        <v>#N/A</v>
      </c>
      <c r="C954" t="e">
        <f ca="1"/>
        <v>#N/A</v>
      </c>
      <c r="D954" t="e">
        <f ca="1"/>
        <v>#N/A</v>
      </c>
      <c r="E954" t="e">
        <f ca="1"/>
        <v>#N/A</v>
      </c>
      <c r="F954" t="e">
        <f ca="1"/>
        <v>#N/A</v>
      </c>
      <c r="G954" t="e">
        <f ca="1"/>
        <v>#N/A</v>
      </c>
      <c r="H954" t="e">
        <f ca="1"/>
        <v>#N/A</v>
      </c>
      <c r="I954" t="e">
        <f ca="1"/>
        <v>#N/A</v>
      </c>
      <c r="J954" t="e">
        <f ca="1"/>
        <v>#N/A</v>
      </c>
      <c r="K954" s="49" t="e">
        <f ca="1"/>
        <v>#N/A</v>
      </c>
    </row>
    <row r="955" spans="1:11" x14ac:dyDescent="0.25">
      <c r="A955" s="2" t="e">
        <f ca="1"/>
        <v>#N/A</v>
      </c>
      <c r="C955" t="e">
        <f ca="1"/>
        <v>#N/A</v>
      </c>
      <c r="D955" t="e">
        <f ca="1"/>
        <v>#N/A</v>
      </c>
      <c r="E955" t="e">
        <f ca="1"/>
        <v>#N/A</v>
      </c>
      <c r="F955" t="e">
        <f ca="1"/>
        <v>#N/A</v>
      </c>
      <c r="G955" t="e">
        <f ca="1"/>
        <v>#N/A</v>
      </c>
      <c r="H955" t="e">
        <f ca="1"/>
        <v>#N/A</v>
      </c>
      <c r="I955" t="e">
        <f ca="1"/>
        <v>#N/A</v>
      </c>
      <c r="J955" t="e">
        <f ca="1"/>
        <v>#N/A</v>
      </c>
      <c r="K955" s="49" t="e">
        <f ca="1"/>
        <v>#N/A</v>
      </c>
    </row>
    <row r="956" spans="1:11" x14ac:dyDescent="0.25">
      <c r="A956" s="2" t="e">
        <f ca="1"/>
        <v>#N/A</v>
      </c>
      <c r="C956" t="e">
        <f ca="1"/>
        <v>#N/A</v>
      </c>
      <c r="D956" t="e">
        <f ca="1"/>
        <v>#N/A</v>
      </c>
      <c r="E956" t="e">
        <f ca="1"/>
        <v>#N/A</v>
      </c>
      <c r="F956" t="e">
        <f ca="1"/>
        <v>#N/A</v>
      </c>
      <c r="G956" t="e">
        <f ca="1"/>
        <v>#N/A</v>
      </c>
      <c r="H956" t="e">
        <f ca="1"/>
        <v>#N/A</v>
      </c>
      <c r="I956" t="e">
        <f ca="1"/>
        <v>#N/A</v>
      </c>
      <c r="J956" t="e">
        <f ca="1"/>
        <v>#N/A</v>
      </c>
      <c r="K956" s="49" t="e">
        <f ca="1"/>
        <v>#N/A</v>
      </c>
    </row>
    <row r="957" spans="1:11" x14ac:dyDescent="0.25">
      <c r="A957" s="2" t="e">
        <f ca="1"/>
        <v>#N/A</v>
      </c>
      <c r="C957" t="e">
        <f ca="1"/>
        <v>#N/A</v>
      </c>
      <c r="D957" t="e">
        <f ca="1"/>
        <v>#N/A</v>
      </c>
      <c r="E957" t="e">
        <f ca="1"/>
        <v>#N/A</v>
      </c>
      <c r="F957" t="e">
        <f ca="1"/>
        <v>#N/A</v>
      </c>
      <c r="G957" t="e">
        <f ca="1"/>
        <v>#N/A</v>
      </c>
      <c r="H957" t="e">
        <f ca="1"/>
        <v>#N/A</v>
      </c>
      <c r="I957" t="e">
        <f ca="1"/>
        <v>#N/A</v>
      </c>
      <c r="J957" t="e">
        <f ca="1"/>
        <v>#N/A</v>
      </c>
      <c r="K957" s="49" t="e">
        <f ca="1"/>
        <v>#N/A</v>
      </c>
    </row>
    <row r="958" spans="1:11" x14ac:dyDescent="0.25">
      <c r="A958" s="2" t="e">
        <f ca="1"/>
        <v>#N/A</v>
      </c>
      <c r="C958" t="e">
        <f ca="1"/>
        <v>#N/A</v>
      </c>
      <c r="D958" t="e">
        <f ca="1"/>
        <v>#N/A</v>
      </c>
      <c r="E958" t="e">
        <f ca="1"/>
        <v>#N/A</v>
      </c>
      <c r="F958" t="e">
        <f ca="1"/>
        <v>#N/A</v>
      </c>
      <c r="G958" t="e">
        <f ca="1"/>
        <v>#N/A</v>
      </c>
      <c r="H958" t="e">
        <f ca="1"/>
        <v>#N/A</v>
      </c>
      <c r="I958" t="e">
        <f ca="1"/>
        <v>#N/A</v>
      </c>
      <c r="J958" t="e">
        <f ca="1"/>
        <v>#N/A</v>
      </c>
      <c r="K958" s="49" t="e">
        <f ca="1"/>
        <v>#N/A</v>
      </c>
    </row>
    <row r="959" spans="1:11" x14ac:dyDescent="0.25">
      <c r="A959" s="2" t="e">
        <f ca="1"/>
        <v>#N/A</v>
      </c>
      <c r="C959" t="e">
        <f ca="1"/>
        <v>#N/A</v>
      </c>
      <c r="D959" t="e">
        <f ca="1"/>
        <v>#N/A</v>
      </c>
      <c r="E959" t="e">
        <f ca="1"/>
        <v>#N/A</v>
      </c>
      <c r="F959" t="e">
        <f ca="1"/>
        <v>#N/A</v>
      </c>
      <c r="G959" t="e">
        <f ca="1"/>
        <v>#N/A</v>
      </c>
      <c r="H959" t="e">
        <f ca="1"/>
        <v>#N/A</v>
      </c>
      <c r="I959" t="e">
        <f ca="1"/>
        <v>#N/A</v>
      </c>
      <c r="J959" t="e">
        <f ca="1"/>
        <v>#N/A</v>
      </c>
      <c r="K959" s="49" t="e">
        <f ca="1"/>
        <v>#N/A</v>
      </c>
    </row>
    <row r="960" spans="1:11" x14ac:dyDescent="0.25">
      <c r="A960" s="2" t="e">
        <f ca="1"/>
        <v>#N/A</v>
      </c>
      <c r="C960" t="e">
        <f ca="1"/>
        <v>#N/A</v>
      </c>
      <c r="D960" t="e">
        <f ca="1"/>
        <v>#N/A</v>
      </c>
      <c r="E960" t="e">
        <f ca="1"/>
        <v>#N/A</v>
      </c>
      <c r="F960" t="e">
        <f ca="1"/>
        <v>#N/A</v>
      </c>
      <c r="G960" t="e">
        <f ca="1"/>
        <v>#N/A</v>
      </c>
      <c r="H960" t="e">
        <f ca="1"/>
        <v>#N/A</v>
      </c>
      <c r="I960" t="e">
        <f ca="1"/>
        <v>#N/A</v>
      </c>
      <c r="J960" t="e">
        <f ca="1"/>
        <v>#N/A</v>
      </c>
      <c r="K960" s="49" t="e">
        <f ca="1"/>
        <v>#N/A</v>
      </c>
    </row>
    <row r="961" spans="1:11" x14ac:dyDescent="0.25">
      <c r="A961" s="2" t="e">
        <f ca="1"/>
        <v>#N/A</v>
      </c>
      <c r="C961" t="e">
        <f ca="1"/>
        <v>#N/A</v>
      </c>
      <c r="D961" t="e">
        <f ca="1"/>
        <v>#N/A</v>
      </c>
      <c r="E961" t="e">
        <f ca="1"/>
        <v>#N/A</v>
      </c>
      <c r="F961" t="e">
        <f ca="1"/>
        <v>#N/A</v>
      </c>
      <c r="G961" t="e">
        <f ca="1"/>
        <v>#N/A</v>
      </c>
      <c r="H961" t="e">
        <f ca="1"/>
        <v>#N/A</v>
      </c>
      <c r="I961" t="e">
        <f ca="1"/>
        <v>#N/A</v>
      </c>
      <c r="J961" t="e">
        <f ca="1"/>
        <v>#N/A</v>
      </c>
      <c r="K961" s="49" t="e">
        <f ca="1"/>
        <v>#N/A</v>
      </c>
    </row>
    <row r="962" spans="1:11" x14ac:dyDescent="0.25">
      <c r="A962" s="2" t="e">
        <f ca="1"/>
        <v>#N/A</v>
      </c>
      <c r="C962" t="e">
        <f ca="1"/>
        <v>#N/A</v>
      </c>
      <c r="D962" t="e">
        <f ca="1"/>
        <v>#N/A</v>
      </c>
      <c r="E962" t="e">
        <f ca="1"/>
        <v>#N/A</v>
      </c>
      <c r="F962" t="e">
        <f ca="1"/>
        <v>#N/A</v>
      </c>
      <c r="G962" t="e">
        <f ca="1"/>
        <v>#N/A</v>
      </c>
      <c r="H962" t="e">
        <f ca="1"/>
        <v>#N/A</v>
      </c>
      <c r="I962" t="e">
        <f ca="1"/>
        <v>#N/A</v>
      </c>
      <c r="J962" t="e">
        <f ca="1"/>
        <v>#N/A</v>
      </c>
      <c r="K962" s="49" t="e">
        <f ca="1"/>
        <v>#N/A</v>
      </c>
    </row>
    <row r="963" spans="1:11" x14ac:dyDescent="0.25">
      <c r="A963" s="2" t="e">
        <f ca="1"/>
        <v>#N/A</v>
      </c>
      <c r="C963" t="e">
        <f ca="1"/>
        <v>#N/A</v>
      </c>
      <c r="D963" t="e">
        <f ca="1"/>
        <v>#N/A</v>
      </c>
      <c r="E963" t="e">
        <f ca="1"/>
        <v>#N/A</v>
      </c>
      <c r="F963" t="e">
        <f ca="1"/>
        <v>#N/A</v>
      </c>
      <c r="G963" t="e">
        <f ca="1"/>
        <v>#N/A</v>
      </c>
      <c r="H963" t="e">
        <f ca="1"/>
        <v>#N/A</v>
      </c>
      <c r="I963" t="e">
        <f ca="1"/>
        <v>#N/A</v>
      </c>
      <c r="J963" t="e">
        <f ca="1"/>
        <v>#N/A</v>
      </c>
      <c r="K963" s="49" t="e">
        <f ca="1"/>
        <v>#N/A</v>
      </c>
    </row>
    <row r="964" spans="1:11" x14ac:dyDescent="0.25">
      <c r="A964" s="2" t="e">
        <f ca="1"/>
        <v>#N/A</v>
      </c>
      <c r="C964" t="e">
        <f ca="1"/>
        <v>#N/A</v>
      </c>
      <c r="D964" t="e">
        <f ca="1"/>
        <v>#N/A</v>
      </c>
      <c r="E964" t="e">
        <f ca="1"/>
        <v>#N/A</v>
      </c>
      <c r="F964" t="e">
        <f ca="1"/>
        <v>#N/A</v>
      </c>
      <c r="G964" t="e">
        <f ca="1"/>
        <v>#N/A</v>
      </c>
      <c r="H964" t="e">
        <f ca="1"/>
        <v>#N/A</v>
      </c>
      <c r="I964" t="e">
        <f ca="1"/>
        <v>#N/A</v>
      </c>
      <c r="J964" t="e">
        <f ca="1"/>
        <v>#N/A</v>
      </c>
      <c r="K964" s="49" t="e">
        <f ca="1"/>
        <v>#N/A</v>
      </c>
    </row>
    <row r="965" spans="1:11" x14ac:dyDescent="0.25">
      <c r="A965" s="2" t="e">
        <f ca="1"/>
        <v>#N/A</v>
      </c>
      <c r="C965" t="e">
        <f ca="1"/>
        <v>#N/A</v>
      </c>
      <c r="D965" t="e">
        <f ca="1"/>
        <v>#N/A</v>
      </c>
      <c r="E965" t="e">
        <f ca="1"/>
        <v>#N/A</v>
      </c>
      <c r="F965" t="e">
        <f ca="1"/>
        <v>#N/A</v>
      </c>
      <c r="G965" t="e">
        <f ca="1"/>
        <v>#N/A</v>
      </c>
      <c r="H965" t="e">
        <f ca="1"/>
        <v>#N/A</v>
      </c>
      <c r="I965" t="e">
        <f ca="1"/>
        <v>#N/A</v>
      </c>
      <c r="J965" t="e">
        <f ca="1"/>
        <v>#N/A</v>
      </c>
      <c r="K965" s="49" t="e">
        <f ca="1"/>
        <v>#N/A</v>
      </c>
    </row>
    <row r="966" spans="1:11" x14ac:dyDescent="0.25">
      <c r="A966" s="2" t="e">
        <f ca="1"/>
        <v>#N/A</v>
      </c>
      <c r="C966" t="e">
        <f ca="1"/>
        <v>#N/A</v>
      </c>
      <c r="D966" t="e">
        <f ca="1"/>
        <v>#N/A</v>
      </c>
      <c r="E966" t="e">
        <f ca="1"/>
        <v>#N/A</v>
      </c>
      <c r="F966" t="e">
        <f ca="1"/>
        <v>#N/A</v>
      </c>
      <c r="G966" t="e">
        <f ca="1"/>
        <v>#N/A</v>
      </c>
      <c r="H966" t="e">
        <f ca="1"/>
        <v>#N/A</v>
      </c>
      <c r="I966" t="e">
        <f ca="1"/>
        <v>#N/A</v>
      </c>
      <c r="J966" t="e">
        <f ca="1"/>
        <v>#N/A</v>
      </c>
      <c r="K966" s="49" t="e">
        <f ca="1"/>
        <v>#N/A</v>
      </c>
    </row>
    <row r="967" spans="1:11" x14ac:dyDescent="0.25">
      <c r="A967" s="2" t="e">
        <f ca="1"/>
        <v>#N/A</v>
      </c>
      <c r="C967" t="e">
        <f ca="1"/>
        <v>#N/A</v>
      </c>
      <c r="D967" t="e">
        <f ca="1"/>
        <v>#N/A</v>
      </c>
      <c r="E967" t="e">
        <f ca="1"/>
        <v>#N/A</v>
      </c>
      <c r="F967" t="e">
        <f ca="1"/>
        <v>#N/A</v>
      </c>
      <c r="G967" t="e">
        <f ca="1"/>
        <v>#N/A</v>
      </c>
      <c r="H967" t="e">
        <f ca="1"/>
        <v>#N/A</v>
      </c>
      <c r="I967" t="e">
        <f ca="1"/>
        <v>#N/A</v>
      </c>
      <c r="J967" t="e">
        <f ca="1"/>
        <v>#N/A</v>
      </c>
      <c r="K967" s="49" t="e">
        <f ca="1"/>
        <v>#N/A</v>
      </c>
    </row>
    <row r="968" spans="1:11" x14ac:dyDescent="0.25">
      <c r="A968" s="2" t="e">
        <f ca="1"/>
        <v>#N/A</v>
      </c>
      <c r="C968" t="e">
        <f ca="1"/>
        <v>#N/A</v>
      </c>
      <c r="D968" t="e">
        <f ca="1"/>
        <v>#N/A</v>
      </c>
      <c r="E968" t="e">
        <f ca="1"/>
        <v>#N/A</v>
      </c>
      <c r="F968" t="e">
        <f ca="1"/>
        <v>#N/A</v>
      </c>
      <c r="G968" t="e">
        <f ca="1"/>
        <v>#N/A</v>
      </c>
      <c r="H968" t="e">
        <f ca="1"/>
        <v>#N/A</v>
      </c>
      <c r="I968" t="e">
        <f ca="1"/>
        <v>#N/A</v>
      </c>
      <c r="J968" t="e">
        <f ca="1"/>
        <v>#N/A</v>
      </c>
      <c r="K968" s="49" t="e">
        <f ca="1"/>
        <v>#N/A</v>
      </c>
    </row>
    <row r="969" spans="1:11" x14ac:dyDescent="0.25">
      <c r="A969" s="2" t="e">
        <f ca="1"/>
        <v>#N/A</v>
      </c>
      <c r="C969" t="e">
        <f ca="1"/>
        <v>#N/A</v>
      </c>
      <c r="D969" t="e">
        <f ca="1"/>
        <v>#N/A</v>
      </c>
      <c r="E969" t="e">
        <f ca="1"/>
        <v>#N/A</v>
      </c>
      <c r="F969" t="e">
        <f ca="1"/>
        <v>#N/A</v>
      </c>
      <c r="G969" t="e">
        <f ca="1"/>
        <v>#N/A</v>
      </c>
      <c r="H969" t="e">
        <f ca="1"/>
        <v>#N/A</v>
      </c>
      <c r="I969" t="e">
        <f ca="1"/>
        <v>#N/A</v>
      </c>
      <c r="J969" t="e">
        <f ca="1"/>
        <v>#N/A</v>
      </c>
      <c r="K969" s="49" t="e">
        <f ca="1"/>
        <v>#N/A</v>
      </c>
    </row>
    <row r="970" spans="1:11" x14ac:dyDescent="0.25">
      <c r="A970" s="2" t="e">
        <f ca="1"/>
        <v>#N/A</v>
      </c>
      <c r="C970" t="e">
        <f ca="1"/>
        <v>#N/A</v>
      </c>
      <c r="D970" t="e">
        <f ca="1"/>
        <v>#N/A</v>
      </c>
      <c r="E970" t="e">
        <f ca="1"/>
        <v>#N/A</v>
      </c>
      <c r="F970" t="e">
        <f ca="1"/>
        <v>#N/A</v>
      </c>
      <c r="G970" t="e">
        <f ca="1"/>
        <v>#N/A</v>
      </c>
      <c r="H970" t="e">
        <f ca="1"/>
        <v>#N/A</v>
      </c>
      <c r="I970" t="e">
        <f ca="1"/>
        <v>#N/A</v>
      </c>
      <c r="J970" t="e">
        <f ca="1"/>
        <v>#N/A</v>
      </c>
      <c r="K970" s="49" t="e">
        <f ca="1"/>
        <v>#N/A</v>
      </c>
    </row>
    <row r="971" spans="1:11" x14ac:dyDescent="0.25">
      <c r="A971" s="2" t="e">
        <f ca="1"/>
        <v>#N/A</v>
      </c>
      <c r="C971" t="e">
        <f ca="1"/>
        <v>#N/A</v>
      </c>
      <c r="D971" t="e">
        <f ca="1"/>
        <v>#N/A</v>
      </c>
      <c r="E971" t="e">
        <f ca="1"/>
        <v>#N/A</v>
      </c>
      <c r="F971" t="e">
        <f ca="1"/>
        <v>#N/A</v>
      </c>
      <c r="G971" t="e">
        <f ca="1"/>
        <v>#N/A</v>
      </c>
      <c r="H971" t="e">
        <f ca="1"/>
        <v>#N/A</v>
      </c>
      <c r="I971" t="e">
        <f ca="1"/>
        <v>#N/A</v>
      </c>
      <c r="J971" t="e">
        <f ca="1"/>
        <v>#N/A</v>
      </c>
      <c r="K971" s="49" t="e">
        <f ca="1"/>
        <v>#N/A</v>
      </c>
    </row>
    <row r="972" spans="1:11" x14ac:dyDescent="0.25">
      <c r="A972" s="2" t="e">
        <f ca="1"/>
        <v>#N/A</v>
      </c>
      <c r="C972" t="e">
        <f ca="1"/>
        <v>#N/A</v>
      </c>
      <c r="D972" t="e">
        <f ca="1"/>
        <v>#N/A</v>
      </c>
      <c r="E972" t="e">
        <f ca="1"/>
        <v>#N/A</v>
      </c>
      <c r="F972" t="e">
        <f ca="1"/>
        <v>#N/A</v>
      </c>
      <c r="G972" t="e">
        <f ca="1"/>
        <v>#N/A</v>
      </c>
      <c r="H972" t="e">
        <f ca="1"/>
        <v>#N/A</v>
      </c>
      <c r="I972" t="e">
        <f ca="1"/>
        <v>#N/A</v>
      </c>
      <c r="J972" t="e">
        <f ca="1"/>
        <v>#N/A</v>
      </c>
      <c r="K972" s="49" t="e">
        <f ca="1"/>
        <v>#N/A</v>
      </c>
    </row>
    <row r="973" spans="1:11" x14ac:dyDescent="0.25">
      <c r="A973" s="2" t="e">
        <f ca="1"/>
        <v>#N/A</v>
      </c>
      <c r="C973" t="e">
        <f ca="1"/>
        <v>#N/A</v>
      </c>
      <c r="D973" t="e">
        <f ca="1"/>
        <v>#N/A</v>
      </c>
      <c r="E973" t="e">
        <f ca="1"/>
        <v>#N/A</v>
      </c>
      <c r="F973" t="e">
        <f ca="1"/>
        <v>#N/A</v>
      </c>
      <c r="G973" t="e">
        <f ca="1"/>
        <v>#N/A</v>
      </c>
      <c r="H973" t="e">
        <f ca="1"/>
        <v>#N/A</v>
      </c>
      <c r="I973" t="e">
        <f ca="1"/>
        <v>#N/A</v>
      </c>
      <c r="J973" t="e">
        <f ca="1"/>
        <v>#N/A</v>
      </c>
      <c r="K973" s="49" t="e">
        <f ca="1"/>
        <v>#N/A</v>
      </c>
    </row>
    <row r="974" spans="1:11" x14ac:dyDescent="0.25">
      <c r="A974" s="2" t="e">
        <f ca="1"/>
        <v>#N/A</v>
      </c>
      <c r="C974" t="e">
        <f ca="1"/>
        <v>#N/A</v>
      </c>
      <c r="D974" t="e">
        <f ca="1"/>
        <v>#N/A</v>
      </c>
      <c r="E974" t="e">
        <f ca="1"/>
        <v>#N/A</v>
      </c>
      <c r="F974" t="e">
        <f ca="1"/>
        <v>#N/A</v>
      </c>
      <c r="G974" t="e">
        <f ca="1"/>
        <v>#N/A</v>
      </c>
      <c r="H974" t="e">
        <f ca="1"/>
        <v>#N/A</v>
      </c>
      <c r="I974" t="e">
        <f ca="1"/>
        <v>#N/A</v>
      </c>
      <c r="J974" t="e">
        <f ca="1"/>
        <v>#N/A</v>
      </c>
      <c r="K974" s="49" t="e">
        <f ca="1"/>
        <v>#N/A</v>
      </c>
    </row>
    <row r="975" spans="1:11" x14ac:dyDescent="0.25">
      <c r="A975" s="2" t="e">
        <f ca="1"/>
        <v>#N/A</v>
      </c>
      <c r="C975" t="e">
        <f ca="1"/>
        <v>#N/A</v>
      </c>
      <c r="D975" t="e">
        <f ca="1"/>
        <v>#N/A</v>
      </c>
      <c r="E975" t="e">
        <f ca="1"/>
        <v>#N/A</v>
      </c>
      <c r="F975" t="e">
        <f ca="1"/>
        <v>#N/A</v>
      </c>
      <c r="G975" t="e">
        <f ca="1"/>
        <v>#N/A</v>
      </c>
      <c r="H975" t="e">
        <f ca="1"/>
        <v>#N/A</v>
      </c>
      <c r="I975" t="e">
        <f ca="1"/>
        <v>#N/A</v>
      </c>
      <c r="J975" t="e">
        <f ca="1"/>
        <v>#N/A</v>
      </c>
      <c r="K975" s="49" t="e">
        <f ca="1"/>
        <v>#N/A</v>
      </c>
    </row>
    <row r="976" spans="1:11" x14ac:dyDescent="0.25">
      <c r="A976" s="2" t="e">
        <f ca="1"/>
        <v>#N/A</v>
      </c>
      <c r="C976" t="e">
        <f ca="1"/>
        <v>#N/A</v>
      </c>
      <c r="D976" t="e">
        <f ca="1"/>
        <v>#N/A</v>
      </c>
      <c r="E976" t="e">
        <f ca="1"/>
        <v>#N/A</v>
      </c>
      <c r="F976" t="e">
        <f ca="1"/>
        <v>#N/A</v>
      </c>
      <c r="G976" t="e">
        <f ca="1"/>
        <v>#N/A</v>
      </c>
      <c r="H976" t="e">
        <f ca="1"/>
        <v>#N/A</v>
      </c>
      <c r="I976" t="e">
        <f ca="1"/>
        <v>#N/A</v>
      </c>
      <c r="J976" t="e">
        <f ca="1"/>
        <v>#N/A</v>
      </c>
      <c r="K976" s="49" t="e">
        <f ca="1"/>
        <v>#N/A</v>
      </c>
    </row>
    <row r="977" spans="1:11" x14ac:dyDescent="0.25">
      <c r="A977" s="2" t="e">
        <f ca="1"/>
        <v>#N/A</v>
      </c>
      <c r="C977" t="e">
        <f ca="1"/>
        <v>#N/A</v>
      </c>
      <c r="D977" t="e">
        <f ca="1"/>
        <v>#N/A</v>
      </c>
      <c r="E977" t="e">
        <f ca="1"/>
        <v>#N/A</v>
      </c>
      <c r="F977" t="e">
        <f ca="1"/>
        <v>#N/A</v>
      </c>
      <c r="G977" t="e">
        <f ca="1"/>
        <v>#N/A</v>
      </c>
      <c r="H977" t="e">
        <f ca="1"/>
        <v>#N/A</v>
      </c>
      <c r="I977" t="e">
        <f ca="1"/>
        <v>#N/A</v>
      </c>
      <c r="J977" t="e">
        <f ca="1"/>
        <v>#N/A</v>
      </c>
      <c r="K977" s="49" t="e">
        <f ca="1"/>
        <v>#N/A</v>
      </c>
    </row>
    <row r="978" spans="1:11" x14ac:dyDescent="0.25">
      <c r="A978" s="2" t="e">
        <f ca="1"/>
        <v>#N/A</v>
      </c>
      <c r="C978" t="e">
        <f ca="1"/>
        <v>#N/A</v>
      </c>
      <c r="D978" t="e">
        <f ca="1"/>
        <v>#N/A</v>
      </c>
      <c r="E978" t="e">
        <f ca="1"/>
        <v>#N/A</v>
      </c>
      <c r="F978" t="e">
        <f ca="1"/>
        <v>#N/A</v>
      </c>
      <c r="G978" t="e">
        <f ca="1"/>
        <v>#N/A</v>
      </c>
      <c r="H978" t="e">
        <f ca="1"/>
        <v>#N/A</v>
      </c>
      <c r="I978" t="e">
        <f ca="1"/>
        <v>#N/A</v>
      </c>
      <c r="J978" t="e">
        <f ca="1"/>
        <v>#N/A</v>
      </c>
      <c r="K978" s="49" t="e">
        <f ca="1"/>
        <v>#N/A</v>
      </c>
    </row>
    <row r="979" spans="1:11" x14ac:dyDescent="0.25">
      <c r="A979" s="2" t="e">
        <f ca="1"/>
        <v>#N/A</v>
      </c>
      <c r="C979" t="e">
        <f ca="1"/>
        <v>#N/A</v>
      </c>
      <c r="D979" t="e">
        <f ca="1"/>
        <v>#N/A</v>
      </c>
      <c r="E979" t="e">
        <f ca="1"/>
        <v>#N/A</v>
      </c>
      <c r="F979" t="e">
        <f ca="1"/>
        <v>#N/A</v>
      </c>
      <c r="G979" t="e">
        <f ca="1"/>
        <v>#N/A</v>
      </c>
      <c r="H979" t="e">
        <f ca="1"/>
        <v>#N/A</v>
      </c>
      <c r="I979" t="e">
        <f ca="1"/>
        <v>#N/A</v>
      </c>
      <c r="J979" t="e">
        <f ca="1"/>
        <v>#N/A</v>
      </c>
      <c r="K979" s="49" t="e">
        <f ca="1"/>
        <v>#N/A</v>
      </c>
    </row>
    <row r="980" spans="1:11" x14ac:dyDescent="0.25">
      <c r="A980" s="2" t="e">
        <f ca="1"/>
        <v>#N/A</v>
      </c>
      <c r="C980" t="e">
        <f ca="1"/>
        <v>#N/A</v>
      </c>
      <c r="D980" t="e">
        <f ca="1"/>
        <v>#N/A</v>
      </c>
      <c r="E980" t="e">
        <f ca="1"/>
        <v>#N/A</v>
      </c>
      <c r="F980" t="e">
        <f ca="1"/>
        <v>#N/A</v>
      </c>
      <c r="G980" t="e">
        <f ca="1"/>
        <v>#N/A</v>
      </c>
      <c r="H980" t="e">
        <f ca="1"/>
        <v>#N/A</v>
      </c>
      <c r="I980" t="e">
        <f ca="1"/>
        <v>#N/A</v>
      </c>
      <c r="J980" t="e">
        <f ca="1"/>
        <v>#N/A</v>
      </c>
      <c r="K980" s="49" t="e">
        <f ca="1"/>
        <v>#N/A</v>
      </c>
    </row>
    <row r="981" spans="1:11" x14ac:dyDescent="0.25">
      <c r="A981" s="2" t="e">
        <f ca="1"/>
        <v>#N/A</v>
      </c>
      <c r="C981" t="e">
        <f ca="1"/>
        <v>#N/A</v>
      </c>
      <c r="D981" t="e">
        <f ca="1"/>
        <v>#N/A</v>
      </c>
      <c r="E981" t="e">
        <f ca="1"/>
        <v>#N/A</v>
      </c>
      <c r="F981" t="e">
        <f ca="1"/>
        <v>#N/A</v>
      </c>
      <c r="G981" t="e">
        <f ca="1"/>
        <v>#N/A</v>
      </c>
      <c r="H981" t="e">
        <f ca="1"/>
        <v>#N/A</v>
      </c>
      <c r="I981" t="e">
        <f ca="1"/>
        <v>#N/A</v>
      </c>
      <c r="J981" t="e">
        <f ca="1"/>
        <v>#N/A</v>
      </c>
      <c r="K981" s="49" t="e">
        <f ca="1"/>
        <v>#N/A</v>
      </c>
    </row>
    <row r="982" spans="1:11" x14ac:dyDescent="0.25">
      <c r="A982" s="2" t="e">
        <f ca="1"/>
        <v>#N/A</v>
      </c>
      <c r="C982" t="e">
        <f ca="1"/>
        <v>#N/A</v>
      </c>
      <c r="D982" t="e">
        <f ca="1"/>
        <v>#N/A</v>
      </c>
      <c r="E982" t="e">
        <f ca="1"/>
        <v>#N/A</v>
      </c>
      <c r="F982" t="e">
        <f ca="1"/>
        <v>#N/A</v>
      </c>
      <c r="G982" t="e">
        <f ca="1"/>
        <v>#N/A</v>
      </c>
      <c r="H982" t="e">
        <f ca="1"/>
        <v>#N/A</v>
      </c>
      <c r="I982" t="e">
        <f ca="1"/>
        <v>#N/A</v>
      </c>
      <c r="J982" t="e">
        <f ca="1"/>
        <v>#N/A</v>
      </c>
      <c r="K982" s="49" t="e">
        <f ca="1"/>
        <v>#N/A</v>
      </c>
    </row>
    <row r="983" spans="1:11" x14ac:dyDescent="0.25">
      <c r="A983" s="2" t="e">
        <f ca="1"/>
        <v>#N/A</v>
      </c>
      <c r="C983" t="e">
        <f ca="1"/>
        <v>#N/A</v>
      </c>
      <c r="D983" t="e">
        <f ca="1"/>
        <v>#N/A</v>
      </c>
      <c r="E983" t="e">
        <f ca="1"/>
        <v>#N/A</v>
      </c>
      <c r="F983" t="e">
        <f ca="1"/>
        <v>#N/A</v>
      </c>
      <c r="G983" t="e">
        <f ca="1"/>
        <v>#N/A</v>
      </c>
      <c r="H983" t="e">
        <f ca="1"/>
        <v>#N/A</v>
      </c>
      <c r="I983" t="e">
        <f ca="1"/>
        <v>#N/A</v>
      </c>
      <c r="J983" t="e">
        <f ca="1"/>
        <v>#N/A</v>
      </c>
      <c r="K983" s="49" t="e">
        <f ca="1"/>
        <v>#N/A</v>
      </c>
    </row>
    <row r="984" spans="1:11" x14ac:dyDescent="0.25">
      <c r="A984" s="2" t="e">
        <f ca="1"/>
        <v>#N/A</v>
      </c>
      <c r="C984" t="e">
        <f ca="1"/>
        <v>#N/A</v>
      </c>
      <c r="D984" t="e">
        <f ca="1"/>
        <v>#N/A</v>
      </c>
      <c r="E984" t="e">
        <f ca="1"/>
        <v>#N/A</v>
      </c>
      <c r="F984" t="e">
        <f ca="1"/>
        <v>#N/A</v>
      </c>
      <c r="G984" t="e">
        <f ca="1"/>
        <v>#N/A</v>
      </c>
      <c r="H984" t="e">
        <f ca="1"/>
        <v>#N/A</v>
      </c>
      <c r="I984" t="e">
        <f ca="1"/>
        <v>#N/A</v>
      </c>
      <c r="J984" t="e">
        <f ca="1"/>
        <v>#N/A</v>
      </c>
      <c r="K984" s="49" t="e">
        <f ca="1"/>
        <v>#N/A</v>
      </c>
    </row>
    <row r="985" spans="1:11" x14ac:dyDescent="0.25">
      <c r="A985" s="2" t="e">
        <f ca="1"/>
        <v>#N/A</v>
      </c>
      <c r="C985" t="e">
        <f ca="1"/>
        <v>#N/A</v>
      </c>
      <c r="D985" t="e">
        <f ca="1"/>
        <v>#N/A</v>
      </c>
      <c r="E985" t="e">
        <f ca="1"/>
        <v>#N/A</v>
      </c>
      <c r="F985" t="e">
        <f ca="1"/>
        <v>#N/A</v>
      </c>
      <c r="G985" t="e">
        <f ca="1"/>
        <v>#N/A</v>
      </c>
      <c r="H985" t="e">
        <f ca="1"/>
        <v>#N/A</v>
      </c>
      <c r="I985" t="e">
        <f ca="1"/>
        <v>#N/A</v>
      </c>
      <c r="J985" t="e">
        <f ca="1"/>
        <v>#N/A</v>
      </c>
      <c r="K985" s="49" t="e">
        <f ca="1"/>
        <v>#N/A</v>
      </c>
    </row>
    <row r="986" spans="1:11" x14ac:dyDescent="0.25">
      <c r="A986" s="2" t="e">
        <f ca="1"/>
        <v>#N/A</v>
      </c>
      <c r="C986" t="e">
        <f ca="1"/>
        <v>#N/A</v>
      </c>
      <c r="D986" t="e">
        <f ca="1"/>
        <v>#N/A</v>
      </c>
      <c r="E986" t="e">
        <f ca="1"/>
        <v>#N/A</v>
      </c>
      <c r="F986" t="e">
        <f ca="1"/>
        <v>#N/A</v>
      </c>
      <c r="G986" t="e">
        <f ca="1"/>
        <v>#N/A</v>
      </c>
      <c r="H986" t="e">
        <f ca="1"/>
        <v>#N/A</v>
      </c>
      <c r="I986" t="e">
        <f ca="1"/>
        <v>#N/A</v>
      </c>
      <c r="J986" t="e">
        <f ca="1"/>
        <v>#N/A</v>
      </c>
      <c r="K986" s="49" t="e">
        <f ca="1"/>
        <v>#N/A</v>
      </c>
    </row>
    <row r="987" spans="1:11" x14ac:dyDescent="0.25">
      <c r="A987" s="2" t="e">
        <f ca="1"/>
        <v>#N/A</v>
      </c>
      <c r="C987" t="e">
        <f ca="1"/>
        <v>#N/A</v>
      </c>
      <c r="D987" t="e">
        <f ca="1"/>
        <v>#N/A</v>
      </c>
      <c r="E987" t="e">
        <f ca="1"/>
        <v>#N/A</v>
      </c>
      <c r="F987" t="e">
        <f ca="1"/>
        <v>#N/A</v>
      </c>
      <c r="G987" t="e">
        <f ca="1"/>
        <v>#N/A</v>
      </c>
      <c r="H987" t="e">
        <f ca="1"/>
        <v>#N/A</v>
      </c>
      <c r="I987" t="e">
        <f ca="1"/>
        <v>#N/A</v>
      </c>
      <c r="J987" t="e">
        <f ca="1"/>
        <v>#N/A</v>
      </c>
      <c r="K987" s="49" t="e">
        <f ca="1"/>
        <v>#N/A</v>
      </c>
    </row>
    <row r="988" spans="1:11" x14ac:dyDescent="0.25">
      <c r="A988" s="2" t="e">
        <f ca="1"/>
        <v>#N/A</v>
      </c>
      <c r="C988" t="e">
        <f ca="1"/>
        <v>#N/A</v>
      </c>
      <c r="D988" t="e">
        <f ca="1"/>
        <v>#N/A</v>
      </c>
      <c r="E988" t="e">
        <f ca="1"/>
        <v>#N/A</v>
      </c>
      <c r="F988" t="e">
        <f ca="1"/>
        <v>#N/A</v>
      </c>
      <c r="G988" t="e">
        <f ca="1"/>
        <v>#N/A</v>
      </c>
      <c r="H988" t="e">
        <f ca="1"/>
        <v>#N/A</v>
      </c>
      <c r="I988" t="e">
        <f ca="1"/>
        <v>#N/A</v>
      </c>
      <c r="J988" t="e">
        <f ca="1"/>
        <v>#N/A</v>
      </c>
      <c r="K988" s="49" t="e">
        <f ca="1"/>
        <v>#N/A</v>
      </c>
    </row>
    <row r="989" spans="1:11" x14ac:dyDescent="0.25">
      <c r="A989" s="2" t="e">
        <f ca="1"/>
        <v>#N/A</v>
      </c>
      <c r="C989" t="e">
        <f ca="1"/>
        <v>#N/A</v>
      </c>
      <c r="D989" t="e">
        <f ca="1"/>
        <v>#N/A</v>
      </c>
      <c r="E989" t="e">
        <f ca="1"/>
        <v>#N/A</v>
      </c>
      <c r="F989" t="e">
        <f ca="1"/>
        <v>#N/A</v>
      </c>
      <c r="G989" t="e">
        <f ca="1"/>
        <v>#N/A</v>
      </c>
      <c r="H989" t="e">
        <f ca="1"/>
        <v>#N/A</v>
      </c>
      <c r="I989" t="e">
        <f ca="1"/>
        <v>#N/A</v>
      </c>
      <c r="J989" t="e">
        <f ca="1"/>
        <v>#N/A</v>
      </c>
      <c r="K989" s="49" t="e">
        <f ca="1"/>
        <v>#N/A</v>
      </c>
    </row>
    <row r="990" spans="1:11" x14ac:dyDescent="0.25">
      <c r="A990" s="2" t="e">
        <f ca="1"/>
        <v>#N/A</v>
      </c>
      <c r="C990" t="e">
        <f ca="1"/>
        <v>#N/A</v>
      </c>
      <c r="D990" t="e">
        <f ca="1"/>
        <v>#N/A</v>
      </c>
      <c r="E990" t="e">
        <f ca="1"/>
        <v>#N/A</v>
      </c>
      <c r="F990" t="e">
        <f ca="1"/>
        <v>#N/A</v>
      </c>
      <c r="G990" t="e">
        <f ca="1"/>
        <v>#N/A</v>
      </c>
      <c r="H990" t="e">
        <f ca="1"/>
        <v>#N/A</v>
      </c>
      <c r="I990" t="e">
        <f ca="1"/>
        <v>#N/A</v>
      </c>
      <c r="J990" t="e">
        <f ca="1"/>
        <v>#N/A</v>
      </c>
      <c r="K990" s="49" t="e">
        <f ca="1"/>
        <v>#N/A</v>
      </c>
    </row>
    <row r="991" spans="1:11" x14ac:dyDescent="0.25">
      <c r="A991" s="2" t="e">
        <f ca="1"/>
        <v>#N/A</v>
      </c>
      <c r="C991" t="e">
        <f ca="1"/>
        <v>#N/A</v>
      </c>
      <c r="D991" t="e">
        <f ca="1"/>
        <v>#N/A</v>
      </c>
      <c r="E991" t="e">
        <f ca="1"/>
        <v>#N/A</v>
      </c>
      <c r="F991" t="e">
        <f ca="1"/>
        <v>#N/A</v>
      </c>
      <c r="G991" t="e">
        <f ca="1"/>
        <v>#N/A</v>
      </c>
      <c r="H991" t="e">
        <f ca="1"/>
        <v>#N/A</v>
      </c>
      <c r="I991" t="e">
        <f ca="1"/>
        <v>#N/A</v>
      </c>
      <c r="J991" t="e">
        <f ca="1"/>
        <v>#N/A</v>
      </c>
      <c r="K991" s="49" t="e">
        <f ca="1"/>
        <v>#N/A</v>
      </c>
    </row>
    <row r="992" spans="1:11" x14ac:dyDescent="0.25">
      <c r="A992" s="2" t="e">
        <f ca="1"/>
        <v>#N/A</v>
      </c>
      <c r="C992" t="e">
        <f ca="1"/>
        <v>#N/A</v>
      </c>
      <c r="D992" t="e">
        <f ca="1"/>
        <v>#N/A</v>
      </c>
      <c r="E992" t="e">
        <f ca="1"/>
        <v>#N/A</v>
      </c>
      <c r="F992" t="e">
        <f ca="1"/>
        <v>#N/A</v>
      </c>
      <c r="G992" t="e">
        <f ca="1"/>
        <v>#N/A</v>
      </c>
      <c r="H992" t="e">
        <f ca="1"/>
        <v>#N/A</v>
      </c>
      <c r="I992" t="e">
        <f ca="1"/>
        <v>#N/A</v>
      </c>
      <c r="J992" t="e">
        <f ca="1"/>
        <v>#N/A</v>
      </c>
      <c r="K992" s="49" t="e">
        <f ca="1"/>
        <v>#N/A</v>
      </c>
    </row>
    <row r="993" spans="1:11" x14ac:dyDescent="0.25">
      <c r="A993" s="2" t="e">
        <f ca="1"/>
        <v>#N/A</v>
      </c>
      <c r="C993" t="e">
        <f ca="1"/>
        <v>#N/A</v>
      </c>
      <c r="D993" t="e">
        <f ca="1"/>
        <v>#N/A</v>
      </c>
      <c r="E993" t="e">
        <f ca="1"/>
        <v>#N/A</v>
      </c>
      <c r="F993" t="e">
        <f ca="1"/>
        <v>#N/A</v>
      </c>
      <c r="G993" t="e">
        <f ca="1"/>
        <v>#N/A</v>
      </c>
      <c r="H993" t="e">
        <f ca="1"/>
        <v>#N/A</v>
      </c>
      <c r="I993" t="e">
        <f ca="1"/>
        <v>#N/A</v>
      </c>
      <c r="J993" t="e">
        <f ca="1"/>
        <v>#N/A</v>
      </c>
      <c r="K993" s="49" t="e">
        <f ca="1"/>
        <v>#N/A</v>
      </c>
    </row>
    <row r="994" spans="1:11" x14ac:dyDescent="0.25">
      <c r="A994" s="2" t="e">
        <f ca="1"/>
        <v>#N/A</v>
      </c>
      <c r="C994" t="e">
        <f ca="1"/>
        <v>#N/A</v>
      </c>
      <c r="D994" t="e">
        <f ca="1"/>
        <v>#N/A</v>
      </c>
      <c r="E994" t="e">
        <f ca="1"/>
        <v>#N/A</v>
      </c>
      <c r="F994" t="e">
        <f ca="1"/>
        <v>#N/A</v>
      </c>
      <c r="G994" t="e">
        <f ca="1"/>
        <v>#N/A</v>
      </c>
      <c r="H994" t="e">
        <f ca="1"/>
        <v>#N/A</v>
      </c>
      <c r="I994" t="e">
        <f ca="1"/>
        <v>#N/A</v>
      </c>
      <c r="J994" t="e">
        <f ca="1"/>
        <v>#N/A</v>
      </c>
      <c r="K994" s="49" t="e">
        <f ca="1"/>
        <v>#N/A</v>
      </c>
    </row>
    <row r="995" spans="1:11" x14ac:dyDescent="0.25">
      <c r="A995" s="2" t="e">
        <f ca="1"/>
        <v>#N/A</v>
      </c>
      <c r="C995" t="e">
        <f ca="1"/>
        <v>#N/A</v>
      </c>
      <c r="D995" t="e">
        <f ca="1"/>
        <v>#N/A</v>
      </c>
      <c r="E995" t="e">
        <f ca="1"/>
        <v>#N/A</v>
      </c>
      <c r="F995" t="e">
        <f ca="1"/>
        <v>#N/A</v>
      </c>
      <c r="G995" t="e">
        <f ca="1"/>
        <v>#N/A</v>
      </c>
      <c r="H995" t="e">
        <f ca="1"/>
        <v>#N/A</v>
      </c>
      <c r="I995" t="e">
        <f ca="1"/>
        <v>#N/A</v>
      </c>
      <c r="J995" t="e">
        <f ca="1"/>
        <v>#N/A</v>
      </c>
      <c r="K995" s="49" t="e">
        <f ca="1"/>
        <v>#N/A</v>
      </c>
    </row>
    <row r="996" spans="1:11" x14ac:dyDescent="0.25">
      <c r="A996" s="2" t="e">
        <f ca="1"/>
        <v>#N/A</v>
      </c>
      <c r="C996" t="e">
        <f ca="1"/>
        <v>#N/A</v>
      </c>
      <c r="D996" t="e">
        <f ca="1"/>
        <v>#N/A</v>
      </c>
      <c r="E996" t="e">
        <f ca="1"/>
        <v>#N/A</v>
      </c>
      <c r="F996" t="e">
        <f ca="1"/>
        <v>#N/A</v>
      </c>
      <c r="G996" t="e">
        <f ca="1"/>
        <v>#N/A</v>
      </c>
      <c r="H996" t="e">
        <f ca="1"/>
        <v>#N/A</v>
      </c>
      <c r="I996" t="e">
        <f ca="1"/>
        <v>#N/A</v>
      </c>
      <c r="J996" t="e">
        <f ca="1"/>
        <v>#N/A</v>
      </c>
      <c r="K996" s="49" t="e">
        <f ca="1"/>
        <v>#N/A</v>
      </c>
    </row>
    <row r="997" spans="1:11" x14ac:dyDescent="0.25">
      <c r="A997" s="2" t="e">
        <f ca="1"/>
        <v>#N/A</v>
      </c>
      <c r="C997" t="e">
        <f ca="1"/>
        <v>#N/A</v>
      </c>
      <c r="D997" t="e">
        <f ca="1"/>
        <v>#N/A</v>
      </c>
      <c r="E997" t="e">
        <f ca="1"/>
        <v>#N/A</v>
      </c>
      <c r="F997" t="e">
        <f ca="1"/>
        <v>#N/A</v>
      </c>
      <c r="G997" t="e">
        <f ca="1"/>
        <v>#N/A</v>
      </c>
      <c r="H997" t="e">
        <f ca="1"/>
        <v>#N/A</v>
      </c>
      <c r="I997" t="e">
        <f ca="1"/>
        <v>#N/A</v>
      </c>
      <c r="J997" t="e">
        <f ca="1"/>
        <v>#N/A</v>
      </c>
      <c r="K997" s="49" t="e">
        <f ca="1"/>
        <v>#N/A</v>
      </c>
    </row>
    <row r="998" spans="1:11" x14ac:dyDescent="0.25">
      <c r="A998" s="2" t="e">
        <f ca="1"/>
        <v>#N/A</v>
      </c>
      <c r="C998" t="e">
        <f ca="1"/>
        <v>#N/A</v>
      </c>
      <c r="D998" t="e">
        <f ca="1"/>
        <v>#N/A</v>
      </c>
      <c r="E998" t="e">
        <f ca="1"/>
        <v>#N/A</v>
      </c>
      <c r="F998" t="e">
        <f ca="1"/>
        <v>#N/A</v>
      </c>
      <c r="G998" t="e">
        <f ca="1"/>
        <v>#N/A</v>
      </c>
      <c r="H998" t="e">
        <f ca="1"/>
        <v>#N/A</v>
      </c>
      <c r="I998" t="e">
        <f ca="1"/>
        <v>#N/A</v>
      </c>
      <c r="J998" t="e">
        <f ca="1"/>
        <v>#N/A</v>
      </c>
      <c r="K998" s="49" t="e">
        <f ca="1"/>
        <v>#N/A</v>
      </c>
    </row>
    <row r="999" spans="1:11" x14ac:dyDescent="0.25">
      <c r="A999" s="2" t="e">
        <f ca="1"/>
        <v>#N/A</v>
      </c>
      <c r="C999" t="e">
        <f ca="1"/>
        <v>#N/A</v>
      </c>
      <c r="D999" t="e">
        <f ca="1"/>
        <v>#N/A</v>
      </c>
      <c r="E999" t="e">
        <f ca="1"/>
        <v>#N/A</v>
      </c>
      <c r="F999" t="e">
        <f ca="1"/>
        <v>#N/A</v>
      </c>
      <c r="G999" t="e">
        <f ca="1"/>
        <v>#N/A</v>
      </c>
      <c r="H999" t="e">
        <f ca="1"/>
        <v>#N/A</v>
      </c>
      <c r="I999" t="e">
        <f ca="1"/>
        <v>#N/A</v>
      </c>
      <c r="J999" t="e">
        <f ca="1"/>
        <v>#N/A</v>
      </c>
      <c r="K999" s="49" t="e">
        <f ca="1"/>
        <v>#N/A</v>
      </c>
    </row>
    <row r="1000" spans="1:11" x14ac:dyDescent="0.25">
      <c r="A1000" s="2" t="e">
        <f ca="1"/>
        <v>#N/A</v>
      </c>
      <c r="C1000" t="e">
        <f ca="1"/>
        <v>#N/A</v>
      </c>
      <c r="D1000" t="e">
        <f ca="1"/>
        <v>#N/A</v>
      </c>
      <c r="E1000" t="e">
        <f ca="1"/>
        <v>#N/A</v>
      </c>
      <c r="F1000" t="e">
        <f ca="1"/>
        <v>#N/A</v>
      </c>
      <c r="G1000" t="e">
        <f ca="1"/>
        <v>#N/A</v>
      </c>
      <c r="H1000" t="e">
        <f ca="1"/>
        <v>#N/A</v>
      </c>
      <c r="I1000" t="e">
        <f ca="1"/>
        <v>#N/A</v>
      </c>
      <c r="J1000" t="e">
        <f ca="1"/>
        <v>#N/A</v>
      </c>
      <c r="K1000" s="49" t="e">
        <f ca="1"/>
        <v>#N/A</v>
      </c>
    </row>
    <row r="1001" spans="1:11" x14ac:dyDescent="0.25">
      <c r="A1001" s="2" t="e">
        <f ca="1"/>
        <v>#N/A</v>
      </c>
      <c r="C1001" t="e">
        <f ca="1"/>
        <v>#N/A</v>
      </c>
      <c r="D1001" t="e">
        <f ca="1"/>
        <v>#N/A</v>
      </c>
      <c r="E1001" t="e">
        <f ca="1"/>
        <v>#N/A</v>
      </c>
      <c r="F1001" t="e">
        <f ca="1"/>
        <v>#N/A</v>
      </c>
      <c r="G1001" t="e">
        <f ca="1"/>
        <v>#N/A</v>
      </c>
      <c r="H1001" t="e">
        <f ca="1"/>
        <v>#N/A</v>
      </c>
      <c r="I1001" t="e">
        <f ca="1"/>
        <v>#N/A</v>
      </c>
      <c r="J1001" t="e">
        <f ca="1"/>
        <v>#N/A</v>
      </c>
      <c r="K1001" s="49" t="e">
        <f ca="1"/>
        <v>#N/A</v>
      </c>
    </row>
    <row r="1002" spans="1:11" x14ac:dyDescent="0.25">
      <c r="A1002" s="91"/>
      <c r="B1002" s="92"/>
      <c r="C1002" s="88"/>
      <c r="D1002" s="88"/>
      <c r="E1002" s="88"/>
      <c r="F1002" s="88"/>
      <c r="G1002" s="88"/>
      <c r="H1002" s="88"/>
      <c r="I1002" s="88"/>
      <c r="J1002" s="88"/>
      <c r="K1002" s="93"/>
    </row>
  </sheetData>
  <sheetProtection selectLockedCells="1" selectUnlockedCells="1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92D050"/>
  </sheetPr>
  <dimension ref="A1:L1002"/>
  <sheetViews>
    <sheetView workbookViewId="0">
      <selection activeCell="L1" sqref="L1"/>
    </sheetView>
  </sheetViews>
  <sheetFormatPr defaultRowHeight="15" x14ac:dyDescent="0.25"/>
  <cols>
    <col min="1" max="1" width="8.7109375" style="2" customWidth="1"/>
    <col min="2" max="2" width="70.7109375" style="13" customWidth="1"/>
    <col min="3" max="3" width="13.7109375" customWidth="1"/>
    <col min="4" max="4" width="23.7109375" customWidth="1"/>
    <col min="5" max="5" width="9.7109375" customWidth="1"/>
    <col min="6" max="6" width="8.7109375" customWidth="1"/>
    <col min="7" max="7" width="17.7109375" customWidth="1"/>
    <col min="8" max="8" width="19.7109375" customWidth="1"/>
    <col min="9" max="9" width="25.7109375" customWidth="1"/>
    <col min="10" max="10" width="24.7109375" customWidth="1"/>
    <col min="11" max="11" width="29.7109375" customWidth="1"/>
    <col min="12" max="12" width="15.7109375" style="23" customWidth="1"/>
  </cols>
  <sheetData>
    <row r="1" spans="1:11" x14ac:dyDescent="0.25">
      <c r="A1" s="14" t="s">
        <v>29</v>
      </c>
      <c r="B1" s="26" t="s">
        <v>30</v>
      </c>
      <c r="C1" s="15" t="s">
        <v>2</v>
      </c>
      <c r="D1" s="16" t="s">
        <v>3</v>
      </c>
      <c r="E1" s="16" t="s">
        <v>4</v>
      </c>
      <c r="F1" s="16" t="s">
        <v>5</v>
      </c>
      <c r="G1" s="64" t="s">
        <v>83</v>
      </c>
      <c r="H1" s="64" t="s">
        <v>82</v>
      </c>
      <c r="I1" s="64" t="s">
        <v>97</v>
      </c>
      <c r="J1" s="63" t="s">
        <v>80</v>
      </c>
      <c r="K1" s="63" t="s">
        <v>81</v>
      </c>
    </row>
    <row r="2" spans="1:11" x14ac:dyDescent="0.25">
      <c r="A2" s="2">
        <f t="array" aca="1" ref="A2:A1001" ca="1">Brawdata</f>
        <v>0.38356183469295502</v>
      </c>
      <c r="B2" s="3">
        <f ca="1">IFERROR(SUM(Bdata)/B4,"")</f>
        <v>3.4224142698039941</v>
      </c>
      <c r="C2">
        <f t="array" aca="1" ref="C2:C1001" ca="1">IF(Bdata="","", (Bdata-$B$2)^2*$B$12)</f>
        <v>9.234624122380293E-2</v>
      </c>
      <c r="D2">
        <f t="array" aca="1" ref="D2:D1001" ca="1">IF(Bdata="", "", ((Bdata-$B$2)^2)*$B$16)</f>
        <v>9.3279031539194882E-2</v>
      </c>
      <c r="E2">
        <f t="array" aca="1" ref="E2:E1001" ca="1">IF(Bdata="", "", Bdata*$B$12)</f>
        <v>3.8356183469295505E-3</v>
      </c>
      <c r="F2">
        <f t="array" aca="1" ref="F2:F1001" ca="1">IF(Bdata="", "", Bdata/$B$4)</f>
        <v>3.83561834692955E-3</v>
      </c>
      <c r="G2">
        <f t="array" aca="1" ref="G2:G1001" ca="1">NORMDIST(Bdata,$B$2,$B$6,FALSE)</f>
        <v>9.8574473537831088E-3</v>
      </c>
      <c r="H2">
        <f t="array" aca="1" ref="H2:H1001" ca="1">(Bdata-$B$2)/$B$6</f>
        <v>-2.6729332193204955</v>
      </c>
      <c r="I2">
        <f t="array" aca="1" ref="I2:I1001" ca="1">NORMDIST(Bdistz,0,1,FALSE)</f>
        <v>1.1206912196122062E-2</v>
      </c>
      <c r="J2">
        <f t="array" aca="1" ref="J2:J1001" ca="1">(Bdata-$B$2)/$B$10</f>
        <v>-26.729332193204957</v>
      </c>
      <c r="K2">
        <f t="array" aca="1" ref="K2:K1001" ca="1">NORMDIST(Bsampz,0,1,FALSE)</f>
        <v>2.874090356698764E-156</v>
      </c>
    </row>
    <row r="3" spans="1:11" x14ac:dyDescent="0.25">
      <c r="A3" s="2">
        <f ca="1"/>
        <v>0.73411747254431248</v>
      </c>
      <c r="B3" s="17" t="s">
        <v>6</v>
      </c>
      <c r="C3">
        <f ca="1"/>
        <v>7.226939670156661E-2</v>
      </c>
      <c r="D3">
        <f ca="1"/>
        <v>7.2999390607643058E-2</v>
      </c>
      <c r="E3">
        <f ca="1"/>
        <v>7.3411747254431246E-3</v>
      </c>
      <c r="F3">
        <f ca="1"/>
        <v>7.3411747254431246E-3</v>
      </c>
      <c r="G3">
        <f ca="1"/>
        <v>2.1431720121598753E-2</v>
      </c>
      <c r="H3">
        <f ca="1"/>
        <v>-2.3645892540766749</v>
      </c>
      <c r="I3">
        <f ca="1"/>
        <v>2.4365679774332415E-2</v>
      </c>
      <c r="J3">
        <f ca="1"/>
        <v>-23.645892540766749</v>
      </c>
      <c r="K3">
        <f ca="1"/>
        <v>1.5408370185697422E-122</v>
      </c>
    </row>
    <row r="4" spans="1:11" x14ac:dyDescent="0.25">
      <c r="A4" s="2">
        <f ca="1"/>
        <v>1.1886465447023511</v>
      </c>
      <c r="B4" s="3">
        <f ca="1">IFERROR(COUNT(Bdata),"")</f>
        <v>100</v>
      </c>
      <c r="C4">
        <f ca="1"/>
        <v>4.9897182497057699E-2</v>
      </c>
      <c r="D4">
        <f ca="1"/>
        <v>5.0401194441472424E-2</v>
      </c>
      <c r="E4">
        <f ca="1"/>
        <v>1.1886465447023511E-2</v>
      </c>
      <c r="F4">
        <f ca="1"/>
        <v>1.1886465447023511E-2</v>
      </c>
      <c r="G4">
        <f ca="1"/>
        <v>5.0922765683331123E-2</v>
      </c>
      <c r="H4">
        <f ca="1"/>
        <v>-1.9647916719101846</v>
      </c>
      <c r="I4">
        <f ca="1"/>
        <v>5.7893990534757488E-2</v>
      </c>
      <c r="J4">
        <f ca="1"/>
        <v>-19.647916719101847</v>
      </c>
      <c r="K4">
        <f ca="1"/>
        <v>5.9326955477990511E-85</v>
      </c>
    </row>
    <row r="5" spans="1:11" x14ac:dyDescent="0.25">
      <c r="A5" s="2">
        <f ca="1"/>
        <v>1.39556568430271</v>
      </c>
      <c r="B5" s="17" t="s">
        <v>7</v>
      </c>
      <c r="C5">
        <f ca="1"/>
        <v>4.1081151885485563E-2</v>
      </c>
      <c r="D5">
        <f ca="1"/>
        <v>4.1496113015641982E-2</v>
      </c>
      <c r="E5">
        <f ca="1"/>
        <v>1.39556568430271E-2</v>
      </c>
      <c r="F5">
        <f ca="1"/>
        <v>1.39556568430271E-2</v>
      </c>
      <c r="G5">
        <f ca="1"/>
        <v>7.161796698610548E-2</v>
      </c>
      <c r="H5">
        <f ca="1"/>
        <v>-1.7827884145092359</v>
      </c>
      <c r="I5">
        <f ca="1"/>
        <v>8.142232353592263E-2</v>
      </c>
      <c r="J5">
        <f ca="1"/>
        <v>-17.827884145092359</v>
      </c>
      <c r="K5">
        <f ca="1"/>
        <v>3.8393052699993431E-70</v>
      </c>
    </row>
    <row r="6" spans="1:11" x14ac:dyDescent="0.25">
      <c r="A6" s="2">
        <f ca="1"/>
        <v>1.6655764713650569</v>
      </c>
      <c r="B6" s="3">
        <f ca="1">IFERROR(STDEV(Bdata),"")</f>
        <v>1.1368980014710455</v>
      </c>
      <c r="C6">
        <f ca="1"/>
        <v>3.0864790500237715E-2</v>
      </c>
      <c r="D6">
        <f ca="1"/>
        <v>3.117655606084618E-2</v>
      </c>
      <c r="E6">
        <f ca="1"/>
        <v>1.6655764713650569E-2</v>
      </c>
      <c r="F6">
        <f ca="1"/>
        <v>1.6655764713650569E-2</v>
      </c>
      <c r="G6">
        <f ca="1"/>
        <v>0.10633045229816473</v>
      </c>
      <c r="H6">
        <f ca="1"/>
        <v>-1.5452906031726192</v>
      </c>
      <c r="I6">
        <f ca="1"/>
        <v>0.12088687871329583</v>
      </c>
      <c r="J6">
        <f ca="1"/>
        <v>-15.452906031726192</v>
      </c>
      <c r="K6">
        <f ca="1"/>
        <v>5.5952553674239482E-53</v>
      </c>
    </row>
    <row r="7" spans="1:11" x14ac:dyDescent="0.25">
      <c r="A7" s="2">
        <f ca="1"/>
        <v>1.8318139129551128</v>
      </c>
      <c r="B7" s="17" t="s">
        <v>8</v>
      </c>
      <c r="C7">
        <f ca="1"/>
        <v>2.5300094952077887E-2</v>
      </c>
      <c r="D7">
        <f ca="1"/>
        <v>2.5555651466745342E-2</v>
      </c>
      <c r="E7">
        <f ca="1"/>
        <v>1.8318139129551127E-2</v>
      </c>
      <c r="F7">
        <f ca="1"/>
        <v>1.8318139129551127E-2</v>
      </c>
      <c r="G7">
        <f ca="1"/>
        <v>0.13186968930593704</v>
      </c>
      <c r="H7">
        <f ca="1"/>
        <v>-1.3990704133447198</v>
      </c>
      <c r="I7">
        <f ca="1"/>
        <v>0.14992238622652754</v>
      </c>
      <c r="J7">
        <f ca="1"/>
        <v>-13.990704133447197</v>
      </c>
      <c r="K7">
        <f ca="1"/>
        <v>1.2489702236548769E-43</v>
      </c>
    </row>
    <row r="8" spans="1:11" x14ac:dyDescent="0.25">
      <c r="A8" s="2">
        <f ca="1"/>
        <v>1.9626629156991839</v>
      </c>
      <c r="B8" s="3">
        <f ca="1">IFERROR(VAR(Bdata),"")</f>
        <v>1.2925370657488573</v>
      </c>
      <c r="C8">
        <f ca="1"/>
        <v>2.1308740158108269E-2</v>
      </c>
      <c r="D8">
        <f ca="1"/>
        <v>2.1523979957685121E-2</v>
      </c>
      <c r="E8">
        <f ca="1"/>
        <v>1.9626629156991839E-2</v>
      </c>
      <c r="F8">
        <f ca="1"/>
        <v>1.9626629156991839E-2</v>
      </c>
      <c r="G8">
        <f ca="1"/>
        <v>0.15388633503547142</v>
      </c>
      <c r="H8">
        <f ca="1"/>
        <v>-1.2839774124116861</v>
      </c>
      <c r="I8">
        <f ca="1"/>
        <v>0.17495306675553118</v>
      </c>
      <c r="J8">
        <f ca="1"/>
        <v>-12.839774124116861</v>
      </c>
      <c r="K8">
        <f ca="1"/>
        <v>6.3395648370523865E-37</v>
      </c>
    </row>
    <row r="9" spans="1:11" x14ac:dyDescent="0.25">
      <c r="A9" s="2">
        <f ca="1"/>
        <v>1.9794021656853147</v>
      </c>
      <c r="B9" s="17" t="s">
        <v>9</v>
      </c>
      <c r="C9">
        <f ca="1"/>
        <v>2.0822839326330188E-2</v>
      </c>
      <c r="D9">
        <f ca="1"/>
        <v>2.1033171036697159E-2</v>
      </c>
      <c r="E9">
        <f ca="1"/>
        <v>1.9794021656853147E-2</v>
      </c>
      <c r="F9">
        <f ca="1"/>
        <v>1.9794021656853147E-2</v>
      </c>
      <c r="G9">
        <f ca="1"/>
        <v>0.15680619939220147</v>
      </c>
      <c r="H9">
        <f ca="1"/>
        <v>-1.2692537960762966</v>
      </c>
      <c r="I9">
        <f ca="1"/>
        <v>0.17827265470726411</v>
      </c>
      <c r="J9">
        <f ca="1"/>
        <v>-12.692537960762966</v>
      </c>
      <c r="K9">
        <f ca="1"/>
        <v>4.1531408191048409E-36</v>
      </c>
    </row>
    <row r="10" spans="1:11" x14ac:dyDescent="0.25">
      <c r="A10" s="2">
        <f ca="1"/>
        <v>2.0631529852980748</v>
      </c>
      <c r="B10" s="3">
        <f ca="1">IFERROR(B6/SQRT(B4),"")</f>
        <v>0.11368980014710454</v>
      </c>
      <c r="C10">
        <f ca="1"/>
        <v>1.8475912395566819E-2</v>
      </c>
      <c r="D10">
        <f ca="1"/>
        <v>1.8662537773299816E-2</v>
      </c>
      <c r="E10">
        <f ca="1"/>
        <v>2.0631529852980748E-2</v>
      </c>
      <c r="F10">
        <f ca="1"/>
        <v>2.0631529852980748E-2</v>
      </c>
      <c r="G10">
        <f ca="1"/>
        <v>0.17170849638837851</v>
      </c>
      <c r="H10">
        <f ca="1"/>
        <v>-1.1955877156500894</v>
      </c>
      <c r="I10">
        <f ca="1"/>
        <v>0.19521504637954573</v>
      </c>
      <c r="J10">
        <f ca="1"/>
        <v>-11.955877156500895</v>
      </c>
      <c r="K10">
        <f ca="1"/>
        <v>3.641097517267777E-32</v>
      </c>
    </row>
    <row r="11" spans="1:11" x14ac:dyDescent="0.25">
      <c r="A11" s="2">
        <f ca="1"/>
        <v>2.0644399203010835</v>
      </c>
      <c r="B11" s="27" t="s">
        <v>31</v>
      </c>
      <c r="C11">
        <f ca="1"/>
        <v>1.8440943339078534E-2</v>
      </c>
      <c r="D11">
        <f ca="1"/>
        <v>1.8627215494018721E-2</v>
      </c>
      <c r="E11">
        <f ca="1"/>
        <v>2.0644399203010835E-2</v>
      </c>
      <c r="F11">
        <f ca="1"/>
        <v>2.0644399203010835E-2</v>
      </c>
      <c r="G11">
        <f ca="1"/>
        <v>0.17194092868458691</v>
      </c>
      <c r="H11">
        <f ca="1"/>
        <v>-1.1944557451467166</v>
      </c>
      <c r="I11">
        <f ca="1"/>
        <v>0.19547929819258239</v>
      </c>
      <c r="J11">
        <f ca="1"/>
        <v>-11.944557451467167</v>
      </c>
      <c r="K11">
        <f ca="1"/>
        <v>4.1685076201764363E-32</v>
      </c>
    </row>
    <row r="12" spans="1:11" x14ac:dyDescent="0.25">
      <c r="A12" s="2">
        <f ca="1"/>
        <v>2.1152943165507168</v>
      </c>
      <c r="B12" s="3">
        <f ca="1">IFERROR(1/B4,"")</f>
        <v>0.01</v>
      </c>
      <c r="C12">
        <f ca="1"/>
        <v>1.70856257219285E-2</v>
      </c>
      <c r="D12">
        <f ca="1"/>
        <v>1.7258207799927778E-2</v>
      </c>
      <c r="E12">
        <f ca="1"/>
        <v>2.1152943165507167E-2</v>
      </c>
      <c r="F12">
        <f ca="1"/>
        <v>2.1152943165507167E-2</v>
      </c>
      <c r="G12">
        <f ca="1"/>
        <v>0.18119604348928567</v>
      </c>
      <c r="H12">
        <f ca="1"/>
        <v>-1.1497249107325194</v>
      </c>
      <c r="I12">
        <f ca="1"/>
        <v>0.20600141971742952</v>
      </c>
      <c r="J12">
        <f ca="1"/>
        <v>-11.497249107325192</v>
      </c>
      <c r="K12">
        <f ca="1"/>
        <v>7.8872358583926706E-30</v>
      </c>
    </row>
    <row r="13" spans="1:11" x14ac:dyDescent="0.25">
      <c r="A13" s="2">
        <f ca="1"/>
        <v>2.1182820066460408</v>
      </c>
      <c r="B13" s="17" t="s">
        <v>11</v>
      </c>
      <c r="C13">
        <f ca="1"/>
        <v>1.7007609598094851E-2</v>
      </c>
      <c r="D13">
        <f ca="1"/>
        <v>1.7179403634439244E-2</v>
      </c>
      <c r="E13">
        <f ca="1"/>
        <v>2.1182820066460408E-2</v>
      </c>
      <c r="F13">
        <f ca="1"/>
        <v>2.1182820066460408E-2</v>
      </c>
      <c r="G13">
        <f ca="1"/>
        <v>0.18174370923814687</v>
      </c>
      <c r="H13">
        <f ca="1"/>
        <v>-1.147096979210555</v>
      </c>
      <c r="I13">
        <f ca="1"/>
        <v>0.20662405981278398</v>
      </c>
      <c r="J13">
        <f ca="1"/>
        <v>-11.470969792105549</v>
      </c>
      <c r="K13">
        <f ca="1"/>
        <v>1.0665777709429472E-29</v>
      </c>
    </row>
    <row r="14" spans="1:11" x14ac:dyDescent="0.25">
      <c r="A14" s="2">
        <f ca="1"/>
        <v>2.2412911650608294</v>
      </c>
      <c r="B14" s="3">
        <f ca="1">IFERROR(B4/(B4-1),"")</f>
        <v>1.0101010101010102</v>
      </c>
      <c r="C14">
        <f ca="1"/>
        <v>1.3950517885581328E-2</v>
      </c>
      <c r="D14">
        <f ca="1"/>
        <v>1.4091432207657909E-2</v>
      </c>
      <c r="E14">
        <f ca="1"/>
        <v>2.2412911650608294E-2</v>
      </c>
      <c r="F14">
        <f ca="1"/>
        <v>2.2412911650608294E-2</v>
      </c>
      <c r="G14">
        <f ca="1"/>
        <v>0.20455908291171082</v>
      </c>
      <c r="H14">
        <f ca="1"/>
        <v>-1.0388997985878203</v>
      </c>
      <c r="I14">
        <f ca="1"/>
        <v>0.23256281254507394</v>
      </c>
      <c r="J14">
        <f ca="1"/>
        <v>-10.388997985878206</v>
      </c>
      <c r="K14">
        <f ca="1"/>
        <v>1.4585811138685899E-24</v>
      </c>
    </row>
    <row r="15" spans="1:11" x14ac:dyDescent="0.25">
      <c r="A15" s="2">
        <f ca="1"/>
        <v>2.3811214279849082</v>
      </c>
      <c r="B15" s="17" t="s">
        <v>12</v>
      </c>
      <c r="C15">
        <f ca="1"/>
        <v>1.0842907824236678E-2</v>
      </c>
      <c r="D15">
        <f ca="1"/>
        <v>1.0952432145693615E-2</v>
      </c>
      <c r="E15">
        <f ca="1"/>
        <v>2.3811214279849082E-2</v>
      </c>
      <c r="F15">
        <f ca="1"/>
        <v>2.3811214279849082E-2</v>
      </c>
      <c r="G15">
        <f ca="1"/>
        <v>0.23068898636498369</v>
      </c>
      <c r="H15">
        <f ca="1"/>
        <v>-0.915907003505807</v>
      </c>
      <c r="I15">
        <f ca="1"/>
        <v>0.26226984755973126</v>
      </c>
      <c r="J15">
        <f ca="1"/>
        <v>-9.15907003505807</v>
      </c>
      <c r="K15">
        <f ca="1"/>
        <v>2.4251570377623051E-19</v>
      </c>
    </row>
    <row r="16" spans="1:11" x14ac:dyDescent="0.25">
      <c r="A16" s="2">
        <f ca="1"/>
        <v>2.3899458003288601</v>
      </c>
      <c r="B16" s="3">
        <f ca="1">IFERROR(B12*B14,"")</f>
        <v>1.0101010101010102E-2</v>
      </c>
      <c r="C16">
        <f ca="1"/>
        <v>1.0659911404603258E-2</v>
      </c>
      <c r="D16">
        <f ca="1"/>
        <v>1.0767587277377028E-2</v>
      </c>
      <c r="E16">
        <f ca="1"/>
        <v>2.38994580032886E-2</v>
      </c>
      <c r="F16">
        <f ca="1"/>
        <v>2.38994580032886E-2</v>
      </c>
      <c r="G16">
        <f ca="1"/>
        <v>0.23232781874317626</v>
      </c>
      <c r="H16">
        <f ca="1"/>
        <v>-0.90814520576094881</v>
      </c>
      <c r="I16">
        <f ca="1"/>
        <v>0.26413303281524436</v>
      </c>
      <c r="J16">
        <f ca="1"/>
        <v>-9.0814520576094875</v>
      </c>
      <c r="K16">
        <f ca="1"/>
        <v>4.9223816882544515E-19</v>
      </c>
    </row>
    <row r="17" spans="1:11" x14ac:dyDescent="0.25">
      <c r="A17" s="2">
        <f ca="1"/>
        <v>2.4623802321148105</v>
      </c>
      <c r="B17" s="17" t="s">
        <v>26</v>
      </c>
      <c r="C17">
        <f ca="1"/>
        <v>9.2166535352179689E-3</v>
      </c>
      <c r="D17">
        <f ca="1"/>
        <v>9.3097510456747155E-3</v>
      </c>
      <c r="E17">
        <f ca="1"/>
        <v>2.4623802321148105E-2</v>
      </c>
      <c r="F17">
        <f ca="1"/>
        <v>2.4623802321148105E-2</v>
      </c>
      <c r="G17">
        <f ca="1"/>
        <v>0.24566770029213925</v>
      </c>
      <c r="H17">
        <f ca="1"/>
        <v>-0.84443286596245615</v>
      </c>
      <c r="I17">
        <f ca="1"/>
        <v>0.27929911748812086</v>
      </c>
      <c r="J17">
        <f ca="1"/>
        <v>-8.4443286596245617</v>
      </c>
      <c r="K17">
        <f ca="1"/>
        <v>1.3087594434755317E-16</v>
      </c>
    </row>
    <row r="18" spans="1:11" x14ac:dyDescent="0.25">
      <c r="A18" s="2">
        <f ca="1"/>
        <v>2.4677394296450075</v>
      </c>
      <c r="B18" s="3">
        <f ca="1">IFERROR(SUM(BCcol),"")</f>
        <v>1.2796116950913723</v>
      </c>
      <c r="C18">
        <f ca="1"/>
        <v>9.1140405043258661E-3</v>
      </c>
      <c r="D18">
        <f ca="1"/>
        <v>9.2061015195210785E-3</v>
      </c>
      <c r="E18">
        <f ca="1"/>
        <v>2.4677394296450075E-2</v>
      </c>
      <c r="F18">
        <f ca="1"/>
        <v>2.4677394296450075E-2</v>
      </c>
      <c r="G18">
        <f ca="1"/>
        <v>0.24664480209104866</v>
      </c>
      <c r="H18">
        <f ca="1"/>
        <v>-0.83971898879558393</v>
      </c>
      <c r="I18">
        <f ca="1"/>
        <v>0.28040998257053479</v>
      </c>
      <c r="J18">
        <f ca="1"/>
        <v>-8.3971898879558395</v>
      </c>
      <c r="K18">
        <f ca="1"/>
        <v>1.9464825972734321E-16</v>
      </c>
    </row>
    <row r="19" spans="1:11" x14ac:dyDescent="0.25">
      <c r="A19" s="2">
        <f ca="1"/>
        <v>2.514319200796308</v>
      </c>
      <c r="B19" s="17" t="s">
        <v>27</v>
      </c>
      <c r="C19">
        <f ca="1"/>
        <v>8.2463665435607413E-3</v>
      </c>
      <c r="D19">
        <f ca="1"/>
        <v>8.3296631753138808E-3</v>
      </c>
      <c r="E19">
        <f ca="1"/>
        <v>2.514319200796308E-2</v>
      </c>
      <c r="F19">
        <f ca="1"/>
        <v>2.514319200796308E-2</v>
      </c>
      <c r="G19">
        <f ca="1"/>
        <v>0.25506387773122791</v>
      </c>
      <c r="H19">
        <f ca="1"/>
        <v>-0.79874805640672375</v>
      </c>
      <c r="I19">
        <f ca="1"/>
        <v>0.28998161284008811</v>
      </c>
      <c r="J19">
        <f ca="1"/>
        <v>-7.9874805640672371</v>
      </c>
      <c r="K19">
        <f ca="1"/>
        <v>5.584053693601067E-15</v>
      </c>
    </row>
    <row r="20" spans="1:11" x14ac:dyDescent="0.25">
      <c r="A20" s="2">
        <f ca="1"/>
        <v>2.5150649864517618</v>
      </c>
      <c r="B20" s="3">
        <f ca="1">IFERROR(SUM(BDcol),"")</f>
        <v>1.2925370657488604</v>
      </c>
      <c r="C20">
        <f ca="1"/>
        <v>8.232827219998096E-3</v>
      </c>
      <c r="D20">
        <f ca="1"/>
        <v>8.3159870909071676E-3</v>
      </c>
      <c r="E20">
        <f ca="1"/>
        <v>2.5150649864517618E-2</v>
      </c>
      <c r="F20">
        <f ca="1"/>
        <v>2.5150649864517618E-2</v>
      </c>
      <c r="G20">
        <f ca="1"/>
        <v>0.25519750240537337</v>
      </c>
      <c r="H20">
        <f ca="1"/>
        <v>-0.79809207350017553</v>
      </c>
      <c r="I20">
        <f ca="1"/>
        <v>0.29013353046507134</v>
      </c>
      <c r="J20">
        <f ca="1"/>
        <v>-7.9809207350017557</v>
      </c>
      <c r="K20">
        <f ca="1"/>
        <v>5.8843128592812276E-15</v>
      </c>
    </row>
    <row r="21" spans="1:11" ht="15.75" x14ac:dyDescent="0.25">
      <c r="A21" s="2">
        <f ca="1"/>
        <v>2.5260630511329509</v>
      </c>
      <c r="B21" s="6" t="s">
        <v>13</v>
      </c>
      <c r="C21">
        <f ca="1"/>
        <v>8.0344550721306428E-3</v>
      </c>
      <c r="D21">
        <f ca="1"/>
        <v>8.1156111839703476E-3</v>
      </c>
      <c r="E21">
        <f ca="1"/>
        <v>2.5260630511329509E-2</v>
      </c>
      <c r="F21">
        <f ca="1"/>
        <v>2.5260630511329509E-2</v>
      </c>
      <c r="G21">
        <f ca="1"/>
        <v>0.25716335754812703</v>
      </c>
      <c r="H21">
        <f ca="1"/>
        <v>-0.78841832557647562</v>
      </c>
      <c r="I21">
        <f ca="1"/>
        <v>0.29236850724804953</v>
      </c>
      <c r="J21">
        <f ca="1"/>
        <v>-7.8841832557647562</v>
      </c>
      <c r="K21">
        <f ca="1"/>
        <v>1.2675424708189354E-14</v>
      </c>
    </row>
    <row r="22" spans="1:11" x14ac:dyDescent="0.25">
      <c r="A22" s="2">
        <f ca="1"/>
        <v>2.5413152772816829</v>
      </c>
      <c r="B22" s="7">
        <f ca="1">IFERROR((MAX(B18, B20)-MIN(B18, B20))/B8,"")</f>
        <v>9.9999999999996429E-3</v>
      </c>
      <c r="C22">
        <f ca="1"/>
        <v>7.7633543462383168E-3</v>
      </c>
      <c r="D22">
        <f ca="1"/>
        <v>7.8417720669073914E-3</v>
      </c>
      <c r="E22">
        <f ca="1"/>
        <v>2.5413152772816829E-2</v>
      </c>
      <c r="F22">
        <f ca="1"/>
        <v>2.5413152772816829E-2</v>
      </c>
      <c r="G22">
        <f ca="1"/>
        <v>0.25987446051885532</v>
      </c>
      <c r="H22">
        <f ca="1"/>
        <v>-0.77500267515841081</v>
      </c>
      <c r="I22">
        <f ca="1"/>
        <v>0.29545075479725275</v>
      </c>
      <c r="J22">
        <f ca="1"/>
        <v>-7.7500267515841088</v>
      </c>
      <c r="K22">
        <f ca="1"/>
        <v>3.6175443654866636E-14</v>
      </c>
    </row>
    <row r="23" spans="1:11" x14ac:dyDescent="0.25">
      <c r="A23" s="2">
        <f ca="1"/>
        <v>2.5900801094539929</v>
      </c>
      <c r="B23" s="17" t="s">
        <v>28</v>
      </c>
      <c r="C23">
        <f ca="1"/>
        <v>6.9278015448554151E-3</v>
      </c>
      <c r="D23">
        <f ca="1"/>
        <v>6.9977793382377937E-3</v>
      </c>
      <c r="E23">
        <f ca="1"/>
        <v>2.5900801094539929E-2</v>
      </c>
      <c r="F23">
        <f ca="1"/>
        <v>2.5900801094539929E-2</v>
      </c>
      <c r="G23">
        <f ca="1"/>
        <v>0.26841139758226223</v>
      </c>
      <c r="H23">
        <f ca="1"/>
        <v>-0.73210979285127986</v>
      </c>
      <c r="I23">
        <f ca="1"/>
        <v>0.30515638148332419</v>
      </c>
      <c r="J23">
        <f ca="1"/>
        <v>-7.3210979285127991</v>
      </c>
      <c r="K23">
        <f ca="1"/>
        <v>9.1653515302161028E-13</v>
      </c>
    </row>
    <row r="24" spans="1:11" x14ac:dyDescent="0.25">
      <c r="A24" s="2">
        <f ca="1"/>
        <v>2.591353402036475</v>
      </c>
      <c r="B24" s="3">
        <f ca="1">IFERROR(SQRT(B18),"")</f>
        <v>1.1311992287353154</v>
      </c>
      <c r="C24">
        <f ca="1"/>
        <v>6.9066216593450178E-3</v>
      </c>
      <c r="D24">
        <f ca="1"/>
        <v>6.9763855144899176E-3</v>
      </c>
      <c r="E24">
        <f ca="1"/>
        <v>2.591353402036475E-2</v>
      </c>
      <c r="F24">
        <f ca="1"/>
        <v>2.591353402036475E-2</v>
      </c>
      <c r="G24">
        <f ca="1"/>
        <v>0.26863140102846678</v>
      </c>
      <c r="H24">
        <f ca="1"/>
        <v>-0.730989822035222</v>
      </c>
      <c r="I24">
        <f ca="1"/>
        <v>0.3054065029616308</v>
      </c>
      <c r="J24">
        <f ca="1"/>
        <v>-7.3098982203522205</v>
      </c>
      <c r="K24">
        <f ca="1"/>
        <v>9.9479020507082694E-13</v>
      </c>
    </row>
    <row r="25" spans="1:11" x14ac:dyDescent="0.25">
      <c r="A25" s="2">
        <f ca="1"/>
        <v>2.6014783518039621</v>
      </c>
      <c r="B25" s="17" t="s">
        <v>14</v>
      </c>
      <c r="C25">
        <f ca="1"/>
        <v>6.7393578146255516E-3</v>
      </c>
      <c r="D25">
        <f ca="1"/>
        <v>6.8074321359854065E-3</v>
      </c>
      <c r="E25">
        <f ca="1"/>
        <v>2.6014783518039621E-2</v>
      </c>
      <c r="F25">
        <f ca="1"/>
        <v>2.6014783518039621E-2</v>
      </c>
      <c r="G25">
        <f ca="1"/>
        <v>0.27037518078254963</v>
      </c>
      <c r="H25">
        <f ca="1"/>
        <v>-0.72208405409967602</v>
      </c>
      <c r="I25">
        <f ca="1"/>
        <v>0.30738900267905322</v>
      </c>
      <c r="J25">
        <f ca="1"/>
        <v>-7.2208405409967602</v>
      </c>
      <c r="K25">
        <f ca="1"/>
        <v>1.8999233124182179E-12</v>
      </c>
    </row>
    <row r="26" spans="1:11" x14ac:dyDescent="0.25">
      <c r="A26" s="2">
        <f ca="1"/>
        <v>2.6434151525027119</v>
      </c>
      <c r="B26" s="3">
        <f ca="1">IFERROR(SQRT(B20),"")</f>
        <v>1.1368980014710468</v>
      </c>
      <c r="C26">
        <f ca="1"/>
        <v>6.068396247561769E-3</v>
      </c>
      <c r="D26">
        <f ca="1"/>
        <v>6.1296931793553226E-3</v>
      </c>
      <c r="E26">
        <f ca="1"/>
        <v>2.6434151525027118E-2</v>
      </c>
      <c r="F26">
        <f ca="1"/>
        <v>2.6434151525027118E-2</v>
      </c>
      <c r="G26">
        <f ca="1"/>
        <v>0.27748469225452105</v>
      </c>
      <c r="H26">
        <f ca="1"/>
        <v>-0.6851970152936554</v>
      </c>
      <c r="I26">
        <f ca="1"/>
        <v>0.31547179206297304</v>
      </c>
      <c r="J26">
        <f ca="1"/>
        <v>-6.8519701529365546</v>
      </c>
      <c r="K26">
        <f ca="1"/>
        <v>2.546576737439687E-11</v>
      </c>
    </row>
    <row r="27" spans="1:11" ht="15.75" x14ac:dyDescent="0.25">
      <c r="A27" s="2">
        <f ca="1"/>
        <v>2.6682147992833052</v>
      </c>
      <c r="B27" s="8" t="s">
        <v>32</v>
      </c>
      <c r="C27">
        <f ca="1"/>
        <v>5.6881684133368747E-3</v>
      </c>
      <c r="D27">
        <f ca="1"/>
        <v>5.745624659936238E-3</v>
      </c>
      <c r="E27">
        <f ca="1"/>
        <v>2.6682147992833052E-2</v>
      </c>
      <c r="F27">
        <f ca="1"/>
        <v>2.6682147992833052E-2</v>
      </c>
      <c r="G27">
        <f ca="1"/>
        <v>0.2815962630955347</v>
      </c>
      <c r="H27">
        <f ca="1"/>
        <v>-0.6633835837030424</v>
      </c>
      <c r="I27">
        <f ca="1"/>
        <v>0.32014622873502813</v>
      </c>
      <c r="J27">
        <f ca="1"/>
        <v>-6.633835837030424</v>
      </c>
      <c r="K27">
        <f ca="1"/>
        <v>1.108517392863908E-10</v>
      </c>
    </row>
    <row r="28" spans="1:11" x14ac:dyDescent="0.25">
      <c r="A28" s="2">
        <f ca="1"/>
        <v>2.6690788192499895</v>
      </c>
      <c r="B28" s="7">
        <f ca="1">IFERROR((MAX(B24, B26)-MIN(B24, B26))/B6,"")</f>
        <v>5.0125628933797711E-3</v>
      </c>
      <c r="C28">
        <f ca="1"/>
        <v>5.6751430106140519E-3</v>
      </c>
      <c r="D28">
        <f ca="1"/>
        <v>5.7324676874889423E-3</v>
      </c>
      <c r="E28">
        <f ca="1"/>
        <v>2.6690788192499895E-2</v>
      </c>
      <c r="F28">
        <f ca="1"/>
        <v>2.6690788192499895E-2</v>
      </c>
      <c r="G28">
        <f ca="1"/>
        <v>0.28173818664486078</v>
      </c>
      <c r="H28">
        <f ca="1"/>
        <v>-0.66262360350643168</v>
      </c>
      <c r="I28">
        <f ca="1"/>
        <v>0.32030758133461867</v>
      </c>
      <c r="J28">
        <f ca="1"/>
        <v>-6.6262360350643172</v>
      </c>
      <c r="K28">
        <f ca="1"/>
        <v>1.1658033270977221E-10</v>
      </c>
    </row>
    <row r="29" spans="1:11" x14ac:dyDescent="0.25">
      <c r="A29" s="2">
        <f ca="1"/>
        <v>2.7244283930631354</v>
      </c>
      <c r="B29" s="17" t="s">
        <v>15</v>
      </c>
      <c r="C29">
        <f ca="1"/>
        <v>4.8718428412970515E-3</v>
      </c>
      <c r="D29">
        <f ca="1"/>
        <v>4.9210533750475276E-3</v>
      </c>
      <c r="E29">
        <f ca="1"/>
        <v>2.7244283930631354E-2</v>
      </c>
      <c r="F29">
        <f ca="1"/>
        <v>2.7244283930631354E-2</v>
      </c>
      <c r="G29">
        <f ca="1"/>
        <v>0.29063052129069461</v>
      </c>
      <c r="H29">
        <f ca="1"/>
        <v>-0.61393887212197285</v>
      </c>
      <c r="I29">
        <f ca="1"/>
        <v>0.33041725882187883</v>
      </c>
      <c r="J29">
        <f ca="1"/>
        <v>-6.1393887212197287</v>
      </c>
      <c r="K29">
        <f ca="1"/>
        <v>2.6072091775700749E-9</v>
      </c>
    </row>
    <row r="30" spans="1:11" x14ac:dyDescent="0.25">
      <c r="A30" s="2">
        <f ca="1"/>
        <v>2.7356435996043729</v>
      </c>
      <c r="B30" s="3">
        <f ca="1">IFERROR(SUM(BEcolumn),"")</f>
        <v>3.4224142698039963</v>
      </c>
      <c r="C30">
        <f ca="1"/>
        <v>4.7165395344643691E-3</v>
      </c>
      <c r="D30">
        <f ca="1"/>
        <v>4.7641813479438076E-3</v>
      </c>
      <c r="E30">
        <f ca="1"/>
        <v>2.7356435996043729E-2</v>
      </c>
      <c r="F30">
        <f ca="1"/>
        <v>2.7356435996043729E-2</v>
      </c>
      <c r="G30">
        <f ca="1"/>
        <v>0.29238179540846826</v>
      </c>
      <c r="H30">
        <f ca="1"/>
        <v>-0.60407412917517733</v>
      </c>
      <c r="I30">
        <f ca="1"/>
        <v>0.33240827886640367</v>
      </c>
      <c r="J30">
        <f ca="1"/>
        <v>-6.0407412917517735</v>
      </c>
      <c r="K30">
        <f ca="1"/>
        <v>4.7543007374082537E-9</v>
      </c>
    </row>
    <row r="31" spans="1:11" x14ac:dyDescent="0.25">
      <c r="A31" s="2">
        <f ca="1"/>
        <v>2.7653260960651096</v>
      </c>
      <c r="B31" s="17" t="s">
        <v>16</v>
      </c>
      <c r="C31">
        <f ca="1"/>
        <v>4.3176486806750245E-3</v>
      </c>
      <c r="D31">
        <f ca="1"/>
        <v>4.3612612936111362E-3</v>
      </c>
      <c r="E31">
        <f ca="1"/>
        <v>2.7653260960651096E-2</v>
      </c>
      <c r="F31">
        <f ca="1"/>
        <v>2.7653260960651096E-2</v>
      </c>
      <c r="G31">
        <f ca="1"/>
        <v>0.29692839190237691</v>
      </c>
      <c r="H31">
        <f ca="1"/>
        <v>-0.57796580949977083</v>
      </c>
      <c r="I31">
        <f ca="1"/>
        <v>0.33757729533382363</v>
      </c>
      <c r="J31">
        <f ca="1"/>
        <v>-5.7796580949977088</v>
      </c>
      <c r="K31">
        <f ca="1"/>
        <v>2.2244692841991943E-8</v>
      </c>
    </row>
    <row r="32" spans="1:11" x14ac:dyDescent="0.25">
      <c r="A32" s="2">
        <f ca="1"/>
        <v>2.8227470440615434</v>
      </c>
      <c r="B32" s="3">
        <f ca="1">IFERROR(SUM(BFcolumn),"")</f>
        <v>3.4224142698039963</v>
      </c>
      <c r="C32">
        <f ca="1"/>
        <v>3.5960078162964731E-3</v>
      </c>
      <c r="D32">
        <f ca="1"/>
        <v>3.6323311275721954E-3</v>
      </c>
      <c r="E32">
        <f ca="1"/>
        <v>2.8227470440615434E-2</v>
      </c>
      <c r="F32">
        <f ca="1"/>
        <v>2.8227470440615434E-2</v>
      </c>
      <c r="G32">
        <f ca="1"/>
        <v>0.30533412808987231</v>
      </c>
      <c r="H32">
        <f ca="1"/>
        <v>-0.52745912559133212</v>
      </c>
      <c r="I32">
        <f ca="1"/>
        <v>0.34713376000627999</v>
      </c>
      <c r="J32">
        <f ca="1"/>
        <v>-5.2745912559133217</v>
      </c>
      <c r="K32">
        <f ca="1"/>
        <v>3.6273438521777497E-7</v>
      </c>
    </row>
    <row r="33" spans="1:11" ht="15.75" x14ac:dyDescent="0.25">
      <c r="A33" s="2">
        <f ca="1"/>
        <v>2.8328151504101697</v>
      </c>
      <c r="B33" s="6" t="s">
        <v>33</v>
      </c>
      <c r="C33">
        <f ca="1"/>
        <v>3.4762712158997316E-3</v>
      </c>
      <c r="D33">
        <f ca="1"/>
        <v>3.5113850665653857E-3</v>
      </c>
      <c r="E33">
        <f ca="1"/>
        <v>2.8328151504101697E-2</v>
      </c>
      <c r="F33">
        <f ca="1"/>
        <v>2.8328151504101697E-2</v>
      </c>
      <c r="G33">
        <f ca="1"/>
        <v>0.30675166850998592</v>
      </c>
      <c r="H33">
        <f ca="1"/>
        <v>-0.51860335635293164</v>
      </c>
      <c r="I33">
        <f ca="1"/>
        <v>0.3487453588769116</v>
      </c>
      <c r="J33">
        <f ca="1"/>
        <v>-5.1860335635293167</v>
      </c>
      <c r="K33">
        <f ca="1"/>
        <v>5.7643076824049766E-7</v>
      </c>
    </row>
    <row r="34" spans="1:11" x14ac:dyDescent="0.25">
      <c r="A34" s="2">
        <f ca="1"/>
        <v>2.8731807990116067</v>
      </c>
      <c r="B34" s="7">
        <f ca="1">IFERROR((MAX(B30, B32)-MIN(B32, B30))/B2,"")</f>
        <v>0</v>
      </c>
      <c r="C34">
        <f ca="1"/>
        <v>3.0165740543865224E-3</v>
      </c>
      <c r="D34">
        <f ca="1"/>
        <v>3.0470444993803258E-3</v>
      </c>
      <c r="E34">
        <f ca="1"/>
        <v>2.8731807990116067E-2</v>
      </c>
      <c r="F34">
        <f ca="1"/>
        <v>2.8731807990116067E-2</v>
      </c>
      <c r="G34">
        <f ca="1"/>
        <v>0.31225534566728608</v>
      </c>
      <c r="H34">
        <f ca="1"/>
        <v>-0.48309828153601103</v>
      </c>
      <c r="I34">
        <f ca="1"/>
        <v>0.35500247843778798</v>
      </c>
      <c r="J34">
        <f ca="1"/>
        <v>-4.8309828153601098</v>
      </c>
      <c r="K34">
        <f ca="1"/>
        <v>3.4122590283241391E-6</v>
      </c>
    </row>
    <row r="35" spans="1:11" x14ac:dyDescent="0.25">
      <c r="A35" s="2">
        <f ca="1"/>
        <v>2.9064489783340832</v>
      </c>
      <c r="B35" s="17" t="s">
        <v>18</v>
      </c>
      <c r="C35">
        <f ca="1"/>
        <v>2.6622018200163013E-3</v>
      </c>
      <c r="D35">
        <f ca="1"/>
        <v>2.6890927474912136E-3</v>
      </c>
      <c r="E35">
        <f ca="1"/>
        <v>2.9064489783340832E-2</v>
      </c>
      <c r="F35">
        <f ca="1"/>
        <v>2.9064489783340832E-2</v>
      </c>
      <c r="G35">
        <f ca="1"/>
        <v>0.31656534009176229</v>
      </c>
      <c r="H35">
        <f ca="1"/>
        <v>-0.45383604404467015</v>
      </c>
      <c r="I35">
        <f ca="1"/>
        <v>0.35990250248532635</v>
      </c>
      <c r="J35">
        <f ca="1"/>
        <v>-4.5383604404467022</v>
      </c>
      <c r="K35">
        <f ca="1"/>
        <v>1.3439717036665132E-5</v>
      </c>
    </row>
    <row r="36" spans="1:11" x14ac:dyDescent="0.25">
      <c r="A36" s="2">
        <f ca="1"/>
        <v>2.9222503119090106</v>
      </c>
      <c r="B36" s="3">
        <f ca="1">IFERROR(MAX(Bdata),"")</f>
        <v>6.8347168937325478</v>
      </c>
      <c r="C36">
        <f ca="1"/>
        <v>2.5016398477717477E-3</v>
      </c>
      <c r="D36">
        <f ca="1"/>
        <v>2.5269089371431799E-3</v>
      </c>
      <c r="E36">
        <f ca="1"/>
        <v>2.9222503119090106E-2</v>
      </c>
      <c r="F36">
        <f ca="1"/>
        <v>2.9222503119090106E-2</v>
      </c>
      <c r="G36">
        <f ca="1"/>
        <v>0.31853768326250154</v>
      </c>
      <c r="H36">
        <f ca="1"/>
        <v>-0.43993740621218047</v>
      </c>
      <c r="I36">
        <f ca="1"/>
        <v>0.36214485549435482</v>
      </c>
      <c r="J36">
        <f ca="1"/>
        <v>-4.3993740621218045</v>
      </c>
      <c r="K36">
        <f ca="1"/>
        <v>2.5011255799508838E-5</v>
      </c>
    </row>
    <row r="37" spans="1:11" x14ac:dyDescent="0.25">
      <c r="A37" s="2">
        <f ca="1"/>
        <v>2.9547613368922612</v>
      </c>
      <c r="B37" s="17" t="s">
        <v>19</v>
      </c>
      <c r="C37">
        <f ca="1"/>
        <v>2.1869926566094578E-3</v>
      </c>
      <c r="D37">
        <f ca="1"/>
        <v>2.2090834915247052E-3</v>
      </c>
      <c r="E37">
        <f ca="1"/>
        <v>2.9547613368922612E-2</v>
      </c>
      <c r="F37">
        <f ca="1"/>
        <v>2.9547613368922612E-2</v>
      </c>
      <c r="G37">
        <f ca="1"/>
        <v>0.32243851667705614</v>
      </c>
      <c r="H37">
        <f ca="1"/>
        <v>-0.41134115136681687</v>
      </c>
      <c r="I37">
        <f ca="1"/>
        <v>0.36657970520743349</v>
      </c>
      <c r="J37">
        <f ca="1"/>
        <v>-4.1134115136681695</v>
      </c>
      <c r="K37">
        <f ca="1"/>
        <v>8.4478315858373758E-5</v>
      </c>
    </row>
    <row r="38" spans="1:11" x14ac:dyDescent="0.25">
      <c r="A38" s="2">
        <f ca="1"/>
        <v>3.0024381860275753</v>
      </c>
      <c r="B38" s="3">
        <f ca="1">IFERROR(MIN(Bdata),"")</f>
        <v>0.38356183469295502</v>
      </c>
      <c r="C38">
        <f ca="1"/>
        <v>1.7637991094417757E-3</v>
      </c>
      <c r="D38">
        <f ca="1"/>
        <v>1.7816152620623998E-3</v>
      </c>
      <c r="E38">
        <f ca="1"/>
        <v>3.0024381860275753E-2</v>
      </c>
      <c r="F38">
        <f ca="1"/>
        <v>3.0024381860275753E-2</v>
      </c>
      <c r="G38">
        <f ca="1"/>
        <v>0.32776048936912866</v>
      </c>
      <c r="H38">
        <f ca="1"/>
        <v>-0.36940524412304965</v>
      </c>
      <c r="I38">
        <f ca="1"/>
        <v>0.37263024532493427</v>
      </c>
      <c r="J38">
        <f ca="1"/>
        <v>-3.6940524412304967</v>
      </c>
      <c r="K38">
        <f ca="1"/>
        <v>4.3422390251464697E-4</v>
      </c>
    </row>
    <row r="39" spans="1:11" x14ac:dyDescent="0.25">
      <c r="A39" s="2">
        <f ca="1"/>
        <v>3.0229404703422915</v>
      </c>
      <c r="B39" s="17" t="s">
        <v>20</v>
      </c>
      <c r="C39">
        <f ca="1"/>
        <v>1.5957931645636859E-3</v>
      </c>
      <c r="D39">
        <f ca="1"/>
        <v>1.6119122874380667E-3</v>
      </c>
      <c r="E39">
        <f ca="1"/>
        <v>3.0229404703422915E-2</v>
      </c>
      <c r="F39">
        <f ca="1"/>
        <v>3.0229404703422915E-2</v>
      </c>
      <c r="G39">
        <f ca="1"/>
        <v>0.3298975668495987</v>
      </c>
      <c r="H39">
        <f ca="1"/>
        <v>-0.35137171403663198</v>
      </c>
      <c r="I39">
        <f ca="1"/>
        <v>0.37505988444146943</v>
      </c>
      <c r="J39">
        <f ca="1"/>
        <v>-3.5137171403663197</v>
      </c>
      <c r="K39">
        <f ca="1"/>
        <v>8.316968018143541E-4</v>
      </c>
    </row>
    <row r="40" spans="1:11" x14ac:dyDescent="0.25">
      <c r="A40" s="2">
        <f ca="1"/>
        <v>3.0705866240314208</v>
      </c>
      <c r="B40" s="9" t="str">
        <f ca="1">IFERROR(IF(ISNA(MODE(Bdata)=TRUE),"There is NO modal number",MODE(Bdata)),"")</f>
        <v>There is NO modal number</v>
      </c>
      <c r="C40">
        <f ca="1"/>
        <v>1.2378269232987133E-3</v>
      </c>
      <c r="D40">
        <f ca="1"/>
        <v>1.2503302255542558E-3</v>
      </c>
      <c r="E40">
        <f ca="1"/>
        <v>3.0705866240314208E-2</v>
      </c>
      <c r="F40">
        <f ca="1"/>
        <v>3.0705866240314208E-2</v>
      </c>
      <c r="G40">
        <f ca="1"/>
        <v>0.3344975748025838</v>
      </c>
      <c r="H40">
        <f ca="1"/>
        <v>-0.30946280608932325</v>
      </c>
      <c r="I40">
        <f ca="1"/>
        <v>0.38028962428996904</v>
      </c>
      <c r="J40">
        <f ca="1"/>
        <v>-3.0946280608932328</v>
      </c>
      <c r="K40">
        <f ca="1"/>
        <v>3.3216290096331111E-3</v>
      </c>
    </row>
    <row r="41" spans="1:11" x14ac:dyDescent="0.25">
      <c r="A41" s="2">
        <f ca="1"/>
        <v>3.0972802935284562</v>
      </c>
      <c r="B41" s="17" t="s">
        <v>21</v>
      </c>
      <c r="C41">
        <f ca="1"/>
        <v>1.0571210252874202E-3</v>
      </c>
      <c r="D41">
        <f ca="1"/>
        <v>1.0677990154418385E-3</v>
      </c>
      <c r="E41">
        <f ca="1"/>
        <v>3.0972802935284562E-2</v>
      </c>
      <c r="F41">
        <f ca="1"/>
        <v>3.0972802935284562E-2</v>
      </c>
      <c r="G41">
        <f ca="1"/>
        <v>0.3368440238070074</v>
      </c>
      <c r="H41">
        <f ca="1"/>
        <v>-0.28598341790982412</v>
      </c>
      <c r="I41">
        <f ca="1"/>
        <v>0.38295729747365198</v>
      </c>
      <c r="J41">
        <f ca="1"/>
        <v>-2.8598341790982413</v>
      </c>
      <c r="K41">
        <f ca="1"/>
        <v>6.6824920530238431E-3</v>
      </c>
    </row>
    <row r="42" spans="1:11" x14ac:dyDescent="0.25">
      <c r="A42" s="2">
        <f ca="1"/>
        <v>3.1868587004428264</v>
      </c>
      <c r="B42" s="3">
        <f ca="1">IFERROR(MEDIAN(Bdata),"")</f>
        <v>3.3482962837442756</v>
      </c>
      <c r="C42">
        <f ca="1"/>
        <v>5.5486426257063902E-4</v>
      </c>
      <c r="D42">
        <f ca="1"/>
        <v>5.6046895209155463E-4</v>
      </c>
      <c r="E42">
        <f ca="1"/>
        <v>3.1868587004428267E-2</v>
      </c>
      <c r="F42">
        <f ca="1"/>
        <v>3.1868587004428267E-2</v>
      </c>
      <c r="G42">
        <f ca="1"/>
        <v>0.34345259305851028</v>
      </c>
      <c r="H42">
        <f ca="1"/>
        <v>-0.20719147105226648</v>
      </c>
      <c r="I42">
        <f ca="1"/>
        <v>0.39047056664826857</v>
      </c>
      <c r="J42">
        <f ca="1"/>
        <v>-2.0719147105226647</v>
      </c>
      <c r="K42">
        <f ca="1"/>
        <v>4.663733785988667E-2</v>
      </c>
    </row>
    <row r="43" spans="1:11" x14ac:dyDescent="0.25">
      <c r="A43" s="2">
        <f ca="1"/>
        <v>3.2412146512942854</v>
      </c>
      <c r="B43" s="17" t="s">
        <v>22</v>
      </c>
      <c r="C43">
        <f ca="1"/>
        <v>3.2833301748063959E-4</v>
      </c>
      <c r="D43">
        <f ca="1"/>
        <v>3.316495126067067E-4</v>
      </c>
      <c r="E43">
        <f ca="1"/>
        <v>3.2412146512942858E-2</v>
      </c>
      <c r="F43">
        <f ca="1"/>
        <v>3.2412146512942858E-2</v>
      </c>
      <c r="G43">
        <f ca="1"/>
        <v>0.34647550969564989</v>
      </c>
      <c r="H43">
        <f ca="1"/>
        <v>-0.15938071689390992</v>
      </c>
      <c r="I43">
        <f ca="1"/>
        <v>0.39390731453164618</v>
      </c>
      <c r="J43">
        <f ca="1"/>
        <v>-1.5938071689390991</v>
      </c>
      <c r="K43">
        <f ca="1"/>
        <v>0.11202321200838505</v>
      </c>
    </row>
    <row r="44" spans="1:11" x14ac:dyDescent="0.25">
      <c r="A44" s="2">
        <f ca="1"/>
        <v>3.2570819232350914</v>
      </c>
      <c r="B44" s="3">
        <f ca="1">IFERROR(QUARTILE(Bdata,3)-QUARTILE(Bdata,1),"")</f>
        <v>1.3696305245503027</v>
      </c>
      <c r="C44">
        <f ca="1"/>
        <v>2.7334784821979758E-4</v>
      </c>
      <c r="D44">
        <f ca="1"/>
        <v>2.7610893759575516E-4</v>
      </c>
      <c r="E44">
        <f ca="1"/>
        <v>3.2570819232350917E-2</v>
      </c>
      <c r="F44">
        <f ca="1"/>
        <v>3.2570819232350917E-2</v>
      </c>
      <c r="G44">
        <f ca="1"/>
        <v>0.34721325604019537</v>
      </c>
      <c r="H44">
        <f ca="1"/>
        <v>-0.14542408057273148</v>
      </c>
      <c r="I44">
        <f ca="1"/>
        <v>0.39474605687635256</v>
      </c>
      <c r="J44">
        <f ca="1"/>
        <v>-1.4542408057273148</v>
      </c>
      <c r="K44">
        <f ca="1"/>
        <v>0.13857456902554424</v>
      </c>
    </row>
    <row r="45" spans="1:11" x14ac:dyDescent="0.25">
      <c r="A45" s="2">
        <f ca="1"/>
        <v>3.2819077179883607</v>
      </c>
      <c r="B45" s="17" t="s">
        <v>23</v>
      </c>
      <c r="C45">
        <f ca="1"/>
        <v>1.974209110311928E-4</v>
      </c>
      <c r="D45">
        <f ca="1"/>
        <v>1.9941506164766951E-4</v>
      </c>
      <c r="E45">
        <f ca="1"/>
        <v>3.281907717988361E-2</v>
      </c>
      <c r="F45">
        <f ca="1"/>
        <v>3.281907717988361E-2</v>
      </c>
      <c r="G45">
        <f ca="1"/>
        <v>0.34823456495391936</v>
      </c>
      <c r="H45">
        <f ca="1"/>
        <v>-0.12358764958143156</v>
      </c>
      <c r="I45">
        <f ca="1"/>
        <v>0.39590718093924987</v>
      </c>
      <c r="J45">
        <f ca="1"/>
        <v>-1.2358764958143156</v>
      </c>
      <c r="K45">
        <f ca="1"/>
        <v>0.18588373345728487</v>
      </c>
    </row>
    <row r="46" spans="1:11" x14ac:dyDescent="0.25">
      <c r="A46" s="2">
        <f ca="1"/>
        <v>3.3092471287236549</v>
      </c>
      <c r="B46" s="3">
        <f ca="1">IFERROR(IF(IF(MROUND(B48,100)=0,MROUND(B48,1),(MROUND(B48,100)))=0,ROUND(B48,1),ROUND(B48,0)),"")</f>
        <v>0.3</v>
      </c>
      <c r="C46">
        <f ca="1"/>
        <v>1.2806801820297397E-4</v>
      </c>
      <c r="D46">
        <f ca="1"/>
        <v>1.2936163454845857E-4</v>
      </c>
      <c r="E46">
        <f ca="1"/>
        <v>3.3092471287236552E-2</v>
      </c>
      <c r="F46">
        <f ca="1"/>
        <v>3.3092471287236552E-2</v>
      </c>
      <c r="G46">
        <f ca="1"/>
        <v>0.34917007003884148</v>
      </c>
      <c r="H46">
        <f ca="1"/>
        <v>-9.9540276202360223E-2</v>
      </c>
      <c r="I46">
        <f ca="1"/>
        <v>0.39697075480066385</v>
      </c>
      <c r="J46">
        <f ca="1"/>
        <v>-0.99540276202360223</v>
      </c>
      <c r="K46">
        <f ca="1"/>
        <v>0.24308311367740992</v>
      </c>
    </row>
    <row r="47" spans="1:11" x14ac:dyDescent="0.25">
      <c r="A47" s="2">
        <f ca="1"/>
        <v>3.3164878434181446</v>
      </c>
      <c r="B47" s="17" t="s">
        <v>24</v>
      </c>
      <c r="C47">
        <f ca="1"/>
        <v>1.1220407806876789E-4</v>
      </c>
      <c r="D47">
        <f ca="1"/>
        <v>1.1333745259471506E-4</v>
      </c>
      <c r="E47">
        <f ca="1"/>
        <v>3.316487843418145E-2</v>
      </c>
      <c r="F47">
        <f ca="1"/>
        <v>3.316487843418145E-2</v>
      </c>
      <c r="G47">
        <f ca="1"/>
        <v>0.34938441256019565</v>
      </c>
      <c r="H47">
        <f ca="1"/>
        <v>-9.3171442159973944E-2</v>
      </c>
      <c r="I47">
        <f ca="1"/>
        <v>0.39721444038482168</v>
      </c>
      <c r="J47">
        <f ca="1"/>
        <v>-0.93171442159973938</v>
      </c>
      <c r="K47">
        <f ca="1"/>
        <v>0.25846773349010654</v>
      </c>
    </row>
    <row r="48" spans="1:11" x14ac:dyDescent="0.25">
      <c r="A48" s="2">
        <f ca="1"/>
        <v>3.3269800016714726</v>
      </c>
      <c r="B48" s="3">
        <f ca="1">IFERROR((2*B44)*(B4^(-1/2)),"")</f>
        <v>0.27392610491006053</v>
      </c>
      <c r="C48">
        <f ca="1"/>
        <v>9.1076995339900161E-5</v>
      </c>
      <c r="D48">
        <f ca="1"/>
        <v>9.1996964989798143E-5</v>
      </c>
      <c r="E48">
        <f ca="1"/>
        <v>3.3269800016714729E-2</v>
      </c>
      <c r="F48">
        <f ca="1"/>
        <v>3.3269800016714729E-2</v>
      </c>
      <c r="G48">
        <f ca="1"/>
        <v>0.34967007131386119</v>
      </c>
      <c r="H48">
        <f ca="1"/>
        <v>-8.3942682640868432E-2</v>
      </c>
      <c r="I48">
        <f ca="1"/>
        <v>0.39753920525096675</v>
      </c>
      <c r="J48">
        <f ca="1"/>
        <v>-0.83942682640868427</v>
      </c>
      <c r="K48">
        <f ca="1"/>
        <v>0.28047877322727183</v>
      </c>
    </row>
    <row r="49" spans="1:11" x14ac:dyDescent="0.25">
      <c r="A49" s="2">
        <f ca="1"/>
        <v>3.3270584455895005</v>
      </c>
      <c r="B49" s="17" t="s">
        <v>25</v>
      </c>
      <c r="C49">
        <f ca="1"/>
        <v>9.0927332116254086E-5</v>
      </c>
      <c r="D49">
        <f ca="1"/>
        <v>9.1845790016418277E-5</v>
      </c>
      <c r="E49">
        <f ca="1"/>
        <v>3.3270584455895008E-2</v>
      </c>
      <c r="F49">
        <f ca="1"/>
        <v>3.3270584455895008E-2</v>
      </c>
      <c r="G49">
        <f ca="1"/>
        <v>0.34967209573942559</v>
      </c>
      <c r="H49">
        <f ca="1"/>
        <v>-8.3873684438807716E-2</v>
      </c>
      <c r="I49">
        <f ca="1"/>
        <v>0.39754150681634504</v>
      </c>
      <c r="J49">
        <f ca="1"/>
        <v>-0.83873684438807727</v>
      </c>
      <c r="K49">
        <f ca="1"/>
        <v>0.28064120381533009</v>
      </c>
    </row>
    <row r="50" spans="1:11" ht="15.75" thickBot="1" x14ac:dyDescent="0.3">
      <c r="A50" s="2">
        <f ca="1"/>
        <v>3.3311727722466458</v>
      </c>
      <c r="B50" s="18">
        <f ca="1">IFERROR((B44*2)/B48,"")</f>
        <v>10</v>
      </c>
      <c r="C50">
        <f ca="1"/>
        <v>8.3250108765076038E-5</v>
      </c>
      <c r="D50">
        <f ca="1"/>
        <v>8.409101895462226E-5</v>
      </c>
      <c r="E50">
        <f ca="1"/>
        <v>3.3311727722466461E-2</v>
      </c>
      <c r="F50">
        <f ca="1"/>
        <v>3.3311727722466461E-2</v>
      </c>
      <c r="G50">
        <f ca="1"/>
        <v>0.34977595772976727</v>
      </c>
      <c r="H50">
        <f ca="1"/>
        <v>-8.025477873942069E-2</v>
      </c>
      <c r="I50">
        <f ca="1"/>
        <v>0.39765958730559325</v>
      </c>
      <c r="J50">
        <f ca="1"/>
        <v>-0.80254778739420696</v>
      </c>
      <c r="K50">
        <f ca="1"/>
        <v>0.2891007577984403</v>
      </c>
    </row>
    <row r="51" spans="1:11" ht="15.75" thickTop="1" x14ac:dyDescent="0.25">
      <c r="A51" s="2">
        <f ca="1"/>
        <v>3.3438852344406769</v>
      </c>
      <c r="B51" s="10"/>
      <c r="C51">
        <f ca="1"/>
        <v>6.1668093950931283E-5</v>
      </c>
      <c r="D51">
        <f ca="1"/>
        <v>6.2291003990839686E-5</v>
      </c>
      <c r="E51">
        <f ca="1"/>
        <v>3.3438852344406772E-2</v>
      </c>
      <c r="F51">
        <f ca="1"/>
        <v>3.3438852344406772E-2</v>
      </c>
      <c r="G51">
        <f ca="1"/>
        <v>0.35006809720267063</v>
      </c>
      <c r="H51">
        <f ca="1"/>
        <v>-6.9073070109814255E-2</v>
      </c>
      <c r="I51">
        <f ca="1"/>
        <v>0.39799172008848793</v>
      </c>
      <c r="J51">
        <f ca="1"/>
        <v>-0.69073070109814261</v>
      </c>
      <c r="K51">
        <f ca="1"/>
        <v>0.31427308175196128</v>
      </c>
    </row>
    <row r="52" spans="1:11" x14ac:dyDescent="0.25">
      <c r="A52" s="2">
        <f ca="1"/>
        <v>3.3527073330478743</v>
      </c>
      <c r="B52" s="10"/>
      <c r="C52">
        <f ca="1"/>
        <v>4.8590570319216902E-5</v>
      </c>
      <c r="D52">
        <f ca="1"/>
        <v>4.9081384160825153E-5</v>
      </c>
      <c r="E52">
        <f ca="1"/>
        <v>3.3527073330478746E-2</v>
      </c>
      <c r="F52">
        <f ca="1"/>
        <v>3.3527073330478746E-2</v>
      </c>
      <c r="G52">
        <f ca="1"/>
        <v>0.35024523649365097</v>
      </c>
      <c r="H52">
        <f ca="1"/>
        <v>-6.1313272312841803E-2</v>
      </c>
      <c r="I52">
        <f ca="1"/>
        <v>0.39819310939438546</v>
      </c>
      <c r="J52">
        <f ca="1"/>
        <v>-0.61313272312841804</v>
      </c>
      <c r="K52">
        <f ca="1"/>
        <v>0.33058072403804195</v>
      </c>
    </row>
    <row r="53" spans="1:11" x14ac:dyDescent="0.25">
      <c r="A53" s="2">
        <f ca="1"/>
        <v>3.4232352365652332</v>
      </c>
      <c r="B53" s="10"/>
      <c r="C53">
        <f ca="1"/>
        <v>6.7398642305942701E-9</v>
      </c>
      <c r="D53">
        <f ca="1"/>
        <v>6.8079436672669402E-9</v>
      </c>
      <c r="E53">
        <f ca="1"/>
        <v>3.4232352365652335E-2</v>
      </c>
      <c r="F53">
        <f ca="1"/>
        <v>3.4232352365652335E-2</v>
      </c>
      <c r="G53">
        <f ca="1"/>
        <v>0.35090410562082897</v>
      </c>
      <c r="H53">
        <f ca="1"/>
        <v>7.2211118339274717E-4</v>
      </c>
      <c r="I53">
        <f ca="1"/>
        <v>0.39894217638830509</v>
      </c>
      <c r="J53">
        <f ca="1"/>
        <v>7.2211118339274719E-3</v>
      </c>
      <c r="K53">
        <f ca="1"/>
        <v>0.39893187922290718</v>
      </c>
    </row>
    <row r="54" spans="1:11" x14ac:dyDescent="0.25">
      <c r="A54" s="2">
        <f ca="1"/>
        <v>3.5431964508607052</v>
      </c>
      <c r="B54" s="10"/>
      <c r="C54">
        <f ca="1"/>
        <v>1.4588335260816147E-4</v>
      </c>
      <c r="D54">
        <f ca="1"/>
        <v>1.4735692182642576E-4</v>
      </c>
      <c r="E54">
        <f ca="1"/>
        <v>3.5431964508607056E-2</v>
      </c>
      <c r="F54">
        <f ca="1"/>
        <v>3.5431964508607056E-2</v>
      </c>
      <c r="G54">
        <f ca="1"/>
        <v>0.34892951838556135</v>
      </c>
      <c r="H54">
        <f ca="1"/>
        <v>0.10623836166518867</v>
      </c>
      <c r="I54">
        <f ca="1"/>
        <v>0.39669727210679911</v>
      </c>
      <c r="J54">
        <f ca="1"/>
        <v>1.0623836166518867</v>
      </c>
      <c r="K54">
        <f ca="1"/>
        <v>0.22689498092007454</v>
      </c>
    </row>
    <row r="55" spans="1:11" x14ac:dyDescent="0.25">
      <c r="A55" s="2">
        <f ca="1"/>
        <v>3.5456475390819833</v>
      </c>
      <c r="B55" s="10"/>
      <c r="C55">
        <f ca="1"/>
        <v>1.5186438656941388E-4</v>
      </c>
      <c r="D55">
        <f ca="1"/>
        <v>1.5339837027213526E-4</v>
      </c>
      <c r="E55">
        <f ca="1"/>
        <v>3.5456475390819836E-2</v>
      </c>
      <c r="F55">
        <f ca="1"/>
        <v>3.5456475390819836E-2</v>
      </c>
      <c r="G55">
        <f ca="1"/>
        <v>0.34884879660412554</v>
      </c>
      <c r="H55">
        <f ca="1"/>
        <v>0.10839430548610009</v>
      </c>
      <c r="I55">
        <f ca="1"/>
        <v>0.39660549967480957</v>
      </c>
      <c r="J55">
        <f ca="1"/>
        <v>1.083943054861001</v>
      </c>
      <c r="K55">
        <f ca="1"/>
        <v>0.22170562151076884</v>
      </c>
    </row>
    <row r="56" spans="1:11" x14ac:dyDescent="0.25">
      <c r="A56" s="2">
        <f ca="1"/>
        <v>3.5462591742689256</v>
      </c>
      <c r="B56" s="10"/>
      <c r="C56">
        <f ca="1"/>
        <v>1.5337560361927999E-4</v>
      </c>
      <c r="D56">
        <f ca="1"/>
        <v>1.5492485214068687E-4</v>
      </c>
      <c r="E56">
        <f ca="1"/>
        <v>3.5462591742689259E-2</v>
      </c>
      <c r="F56">
        <f ca="1"/>
        <v>3.5462591742689259E-2</v>
      </c>
      <c r="G56">
        <f ca="1"/>
        <v>0.34882840373284763</v>
      </c>
      <c r="H56">
        <f ca="1"/>
        <v>0.10893229146738503</v>
      </c>
      <c r="I56">
        <f ca="1"/>
        <v>0.39658231506020947</v>
      </c>
      <c r="J56">
        <f ca="1"/>
        <v>1.0893229146738503</v>
      </c>
      <c r="K56">
        <f ca="1"/>
        <v>0.22041332628980417</v>
      </c>
    </row>
    <row r="57" spans="1:11" x14ac:dyDescent="0.25">
      <c r="A57" s="2">
        <f ca="1"/>
        <v>3.5543786882190034</v>
      </c>
      <c r="B57" s="10"/>
      <c r="C57">
        <f ca="1"/>
        <v>1.7414607727611641E-4</v>
      </c>
      <c r="D57">
        <f ca="1"/>
        <v>1.7590512856173376E-4</v>
      </c>
      <c r="E57">
        <f ca="1"/>
        <v>3.5543786882190037E-2</v>
      </c>
      <c r="F57">
        <f ca="1"/>
        <v>3.5543786882190037E-2</v>
      </c>
      <c r="G57">
        <f ca="1"/>
        <v>0.34854824073351548</v>
      </c>
      <c r="H57">
        <f ca="1"/>
        <v>0.11607410536763983</v>
      </c>
      <c r="I57">
        <f ca="1"/>
        <v>0.39626379830618258</v>
      </c>
      <c r="J57">
        <f ca="1"/>
        <v>1.1607410536763985</v>
      </c>
      <c r="K57">
        <f ca="1"/>
        <v>0.20339641313732962</v>
      </c>
    </row>
    <row r="58" spans="1:11" x14ac:dyDescent="0.25">
      <c r="A58" s="2">
        <f ca="1"/>
        <v>3.5726231519365683</v>
      </c>
      <c r="B58" s="10"/>
      <c r="C58">
        <f ca="1"/>
        <v>2.2562708271517575E-4</v>
      </c>
      <c r="D58">
        <f ca="1"/>
        <v>2.2790614415674318E-4</v>
      </c>
      <c r="E58">
        <f ca="1"/>
        <v>3.5726231519365687E-2</v>
      </c>
      <c r="F58">
        <f ca="1"/>
        <v>3.5726231519365687E-2</v>
      </c>
      <c r="G58">
        <f ca="1"/>
        <v>0.34785480767414545</v>
      </c>
      <c r="H58">
        <f ca="1"/>
        <v>0.13212168720344059</v>
      </c>
      <c r="I58">
        <f ca="1"/>
        <v>0.39547543564683085</v>
      </c>
      <c r="J58">
        <f ca="1"/>
        <v>1.321216872034406</v>
      </c>
      <c r="K58">
        <f ca="1"/>
        <v>0.16666898744102324</v>
      </c>
    </row>
    <row r="59" spans="1:11" x14ac:dyDescent="0.25">
      <c r="A59" s="2">
        <f ca="1"/>
        <v>3.5740806171961594</v>
      </c>
      <c r="B59" s="10"/>
      <c r="C59">
        <f ca="1"/>
        <v>2.3002680931280979E-4</v>
      </c>
      <c r="D59">
        <f ca="1"/>
        <v>2.3235031243718161E-4</v>
      </c>
      <c r="E59">
        <f ca="1"/>
        <v>3.5740806171961598E-2</v>
      </c>
      <c r="F59">
        <f ca="1"/>
        <v>3.5740806171961598E-2</v>
      </c>
      <c r="G59">
        <f ca="1"/>
        <v>0.34779560875997972</v>
      </c>
      <c r="H59">
        <f ca="1"/>
        <v>0.1334036537982497</v>
      </c>
      <c r="I59">
        <f ca="1"/>
        <v>0.39540813251962659</v>
      </c>
      <c r="J59">
        <f ca="1"/>
        <v>1.334036537982497</v>
      </c>
      <c r="K59">
        <f ca="1"/>
        <v>0.16385632936862346</v>
      </c>
    </row>
    <row r="60" spans="1:11" x14ac:dyDescent="0.25">
      <c r="A60" s="2">
        <f ca="1"/>
        <v>3.5782995357440086</v>
      </c>
      <c r="B60" s="10"/>
      <c r="C60">
        <f ca="1"/>
        <v>2.4300216137189049E-4</v>
      </c>
      <c r="D60">
        <f ca="1"/>
        <v>2.4545672865847526E-4</v>
      </c>
      <c r="E60">
        <f ca="1"/>
        <v>3.5782995357440089E-2</v>
      </c>
      <c r="F60">
        <f ca="1"/>
        <v>3.5782995357440089E-2</v>
      </c>
      <c r="G60">
        <f ca="1"/>
        <v>0.34762108231033145</v>
      </c>
      <c r="H60">
        <f ca="1"/>
        <v>0.13711455710038434</v>
      </c>
      <c r="I60">
        <f ca="1"/>
        <v>0.39520971374781766</v>
      </c>
      <c r="J60">
        <f ca="1"/>
        <v>1.3711455710038434</v>
      </c>
      <c r="K60">
        <f ca="1"/>
        <v>0.15583482891588055</v>
      </c>
    </row>
    <row r="61" spans="1:11" x14ac:dyDescent="0.25">
      <c r="A61" s="2">
        <f ca="1"/>
        <v>3.6044952568918234</v>
      </c>
      <c r="B61" s="10"/>
      <c r="C61">
        <f ca="1"/>
        <v>3.3153485858878251E-4</v>
      </c>
      <c r="D61">
        <f ca="1"/>
        <v>3.3488369554422477E-4</v>
      </c>
      <c r="E61">
        <f ca="1"/>
        <v>3.6044952568918237E-2</v>
      </c>
      <c r="F61">
        <f ca="1"/>
        <v>3.6044952568918237E-2</v>
      </c>
      <c r="G61">
        <f ca="1"/>
        <v>0.34643259832157081</v>
      </c>
      <c r="H61">
        <f ca="1"/>
        <v>0.1601559566928894</v>
      </c>
      <c r="I61">
        <f ca="1"/>
        <v>0.39385852867621524</v>
      </c>
      <c r="J61">
        <f ca="1"/>
        <v>1.601559566928894</v>
      </c>
      <c r="K61">
        <f ca="1"/>
        <v>0.11064426361780882</v>
      </c>
    </row>
    <row r="62" spans="1:11" x14ac:dyDescent="0.25">
      <c r="A62" s="2">
        <f ca="1"/>
        <v>3.6286036876990693</v>
      </c>
      <c r="B62" s="10"/>
      <c r="C62">
        <f ca="1"/>
        <v>4.2514076051909948E-4</v>
      </c>
      <c r="D62">
        <f ca="1"/>
        <v>4.2943511163545407E-4</v>
      </c>
      <c r="E62">
        <f ca="1"/>
        <v>3.6286036876990696E-2</v>
      </c>
      <c r="F62">
        <f ca="1"/>
        <v>3.6286036876990696E-2</v>
      </c>
      <c r="G62">
        <f ca="1"/>
        <v>0.34518042938529714</v>
      </c>
      <c r="H62">
        <f ca="1"/>
        <v>0.18136140412621388</v>
      </c>
      <c r="I62">
        <f ca="1"/>
        <v>0.39243494031506171</v>
      </c>
      <c r="J62">
        <f ca="1"/>
        <v>1.8136140412621387</v>
      </c>
      <c r="K62">
        <f ca="1"/>
        <v>7.7031836731456679E-2</v>
      </c>
    </row>
    <row r="63" spans="1:11" x14ac:dyDescent="0.25">
      <c r="A63" s="2">
        <f ca="1"/>
        <v>3.6299918039876502</v>
      </c>
      <c r="B63" s="10"/>
      <c r="C63">
        <f ca="1"/>
        <v>4.308843269776692E-4</v>
      </c>
      <c r="D63">
        <f ca="1"/>
        <v>4.352366939168376E-4</v>
      </c>
      <c r="E63">
        <f ca="1"/>
        <v>3.6299918039876505E-2</v>
      </c>
      <c r="F63">
        <f ca="1"/>
        <v>3.6299918039876505E-2</v>
      </c>
      <c r="G63">
        <f ca="1"/>
        <v>0.34510374506575209</v>
      </c>
      <c r="H63">
        <f ca="1"/>
        <v>0.18258237231050553</v>
      </c>
      <c r="I63">
        <f ca="1"/>
        <v>0.39234775806542671</v>
      </c>
      <c r="J63">
        <f ca="1"/>
        <v>1.8258237231050554</v>
      </c>
      <c r="K63">
        <f ca="1"/>
        <v>7.5339202122506985E-2</v>
      </c>
    </row>
    <row r="64" spans="1:11" x14ac:dyDescent="0.25">
      <c r="A64" s="2">
        <f ca="1"/>
        <v>3.6489945589128183</v>
      </c>
      <c r="B64" s="10"/>
      <c r="C64">
        <f ca="1"/>
        <v>5.1338627412638371E-4</v>
      </c>
      <c r="D64">
        <f ca="1"/>
        <v>5.1857199406705426E-4</v>
      </c>
      <c r="E64">
        <f ca="1"/>
        <v>3.6489945589128187E-2</v>
      </c>
      <c r="F64">
        <f ca="1"/>
        <v>3.6489945589128187E-2</v>
      </c>
      <c r="G64">
        <f ca="1"/>
        <v>0.3440041113839985</v>
      </c>
      <c r="H64">
        <f ca="1"/>
        <v>0.19929693676622648</v>
      </c>
      <c r="I64">
        <f ca="1"/>
        <v>0.39109758673029088</v>
      </c>
      <c r="J64">
        <f ca="1"/>
        <v>1.9929693676622648</v>
      </c>
      <c r="K64">
        <f ca="1"/>
        <v>5.4754157153446073E-2</v>
      </c>
    </row>
    <row r="65" spans="1:11" ht="15.75" thickBot="1" x14ac:dyDescent="0.3">
      <c r="A65" s="2">
        <f ca="1"/>
        <v>3.6582839104230516</v>
      </c>
      <c r="B65" s="19"/>
      <c r="C65">
        <f ca="1"/>
        <v>5.5634487365763328E-4</v>
      </c>
      <c r="D65">
        <f ca="1"/>
        <v>5.6196451884609421E-4</v>
      </c>
      <c r="E65">
        <f ca="1"/>
        <v>3.6582839104230519E-2</v>
      </c>
      <c r="F65">
        <f ca="1"/>
        <v>3.6582839104230519E-2</v>
      </c>
      <c r="G65">
        <f ca="1"/>
        <v>0.3434329222433336</v>
      </c>
      <c r="H65">
        <f ca="1"/>
        <v>0.20746772385373446</v>
      </c>
      <c r="I65">
        <f ca="1"/>
        <v>0.39044820293780691</v>
      </c>
      <c r="J65">
        <f ca="1"/>
        <v>2.0746772385373449</v>
      </c>
      <c r="K65">
        <f ca="1"/>
        <v>4.6370984228608927E-2</v>
      </c>
    </row>
    <row r="66" spans="1:11" ht="15.75" thickTop="1" x14ac:dyDescent="0.25">
      <c r="A66" s="2">
        <f ca="1"/>
        <v>3.6771365987224272</v>
      </c>
      <c r="B66" s="10"/>
      <c r="C66">
        <f ca="1"/>
        <v>6.4883464849630401E-4</v>
      </c>
      <c r="D66">
        <f ca="1"/>
        <v>6.5538853383465055E-4</v>
      </c>
      <c r="E66">
        <f ca="1"/>
        <v>3.6771365987224275E-2</v>
      </c>
      <c r="F66">
        <f ca="1"/>
        <v>3.6771365987224275E-2</v>
      </c>
      <c r="G66">
        <f ca="1"/>
        <v>0.34220637025853184</v>
      </c>
      <c r="H66">
        <f ca="1"/>
        <v>0.22405029174899146</v>
      </c>
      <c r="I66">
        <f ca="1"/>
        <v>0.38905373843758551</v>
      </c>
      <c r="J66">
        <f ca="1"/>
        <v>2.2405029174899145</v>
      </c>
      <c r="K66">
        <f ca="1"/>
        <v>3.2423714501810343E-2</v>
      </c>
    </row>
    <row r="67" spans="1:11" x14ac:dyDescent="0.25">
      <c r="A67" s="2">
        <f ca="1"/>
        <v>3.7254625997011317</v>
      </c>
      <c r="B67" s="10"/>
      <c r="C67">
        <f ca="1"/>
        <v>9.1838290253444337E-4</v>
      </c>
      <c r="D67">
        <f ca="1"/>
        <v>9.2765949750953883E-4</v>
      </c>
      <c r="E67">
        <f ca="1"/>
        <v>3.725462599701132E-2</v>
      </c>
      <c r="F67">
        <f ca="1"/>
        <v>3.725462599701132E-2</v>
      </c>
      <c r="G67">
        <f ca="1"/>
        <v>0.3386566889587756</v>
      </c>
      <c r="H67">
        <f ca="1"/>
        <v>0.26655718411415963</v>
      </c>
      <c r="I67">
        <f ca="1"/>
        <v>0.38501811286203347</v>
      </c>
      <c r="J67">
        <f ca="1"/>
        <v>2.6655718411415963</v>
      </c>
      <c r="K67">
        <f ca="1"/>
        <v>1.1429298766176743E-2</v>
      </c>
    </row>
    <row r="68" spans="1:11" x14ac:dyDescent="0.25">
      <c r="A68" s="2">
        <f ca="1"/>
        <v>3.7292313183716033</v>
      </c>
      <c r="B68" s="10"/>
      <c r="C68">
        <f ca="1"/>
        <v>9.4136701291738637E-4</v>
      </c>
      <c r="D68">
        <f ca="1"/>
        <v>9.5087577062362265E-4</v>
      </c>
      <c r="E68">
        <f ca="1"/>
        <v>3.7292313183716036E-2</v>
      </c>
      <c r="F68">
        <f ca="1"/>
        <v>3.7292313183716036E-2</v>
      </c>
      <c r="G68">
        <f ca="1"/>
        <v>0.33835572027996863</v>
      </c>
      <c r="H68">
        <f ca="1"/>
        <v>0.26987209773490239</v>
      </c>
      <c r="I68">
        <f ca="1"/>
        <v>0.38467594217259243</v>
      </c>
      <c r="J68">
        <f ca="1"/>
        <v>2.6987209773490237</v>
      </c>
      <c r="K68">
        <f ca="1"/>
        <v>1.0456975722734671E-2</v>
      </c>
    </row>
    <row r="69" spans="1:11" x14ac:dyDescent="0.25">
      <c r="A69" s="2">
        <f ca="1"/>
        <v>3.8821469363174401</v>
      </c>
      <c r="B69" s="10"/>
      <c r="C69">
        <f ca="1"/>
        <v>2.1135412465956337E-3</v>
      </c>
      <c r="D69">
        <f ca="1"/>
        <v>2.1348901480763979E-3</v>
      </c>
      <c r="E69">
        <f ca="1"/>
        <v>3.8821469363174405E-2</v>
      </c>
      <c r="F69">
        <f ca="1"/>
        <v>3.8821469363174405E-2</v>
      </c>
      <c r="G69">
        <f ca="1"/>
        <v>0.32335598523731635</v>
      </c>
      <c r="H69">
        <f ca="1"/>
        <v>0.40437459289979627</v>
      </c>
      <c r="I69">
        <f ca="1"/>
        <v>0.36762277338000582</v>
      </c>
      <c r="J69">
        <f ca="1"/>
        <v>4.0437459289979634</v>
      </c>
      <c r="K69">
        <f ca="1"/>
        <v>1.1223910430834968E-4</v>
      </c>
    </row>
    <row r="70" spans="1:11" x14ac:dyDescent="0.25">
      <c r="A70" s="2">
        <f ca="1"/>
        <v>3.8974150786234532</v>
      </c>
      <c r="B70" s="10"/>
      <c r="C70">
        <f ca="1"/>
        <v>2.2562576837914026E-3</v>
      </c>
      <c r="D70">
        <f ca="1"/>
        <v>2.2790481654458615E-3</v>
      </c>
      <c r="E70">
        <f ca="1"/>
        <v>3.8974150786234535E-2</v>
      </c>
      <c r="F70">
        <f ca="1"/>
        <v>3.8974150786234535E-2</v>
      </c>
      <c r="G70">
        <f ca="1"/>
        <v>0.32157572445214028</v>
      </c>
      <c r="H70">
        <f ca="1"/>
        <v>0.41780424295306179</v>
      </c>
      <c r="I70">
        <f ca="1"/>
        <v>0.36559879845124188</v>
      </c>
      <c r="J70">
        <f ca="1"/>
        <v>4.1780424295306178</v>
      </c>
      <c r="K70">
        <f ca="1"/>
        <v>6.4621860622962913E-5</v>
      </c>
    </row>
    <row r="71" spans="1:11" x14ac:dyDescent="0.25">
      <c r="A71" s="2">
        <f ca="1"/>
        <v>3.9206208359391894</v>
      </c>
      <c r="B71" s="10"/>
      <c r="C71">
        <f ca="1"/>
        <v>2.4820978254022274E-3</v>
      </c>
      <c r="D71">
        <f ca="1"/>
        <v>2.5071695206083109E-3</v>
      </c>
      <c r="E71">
        <f ca="1"/>
        <v>3.9206208359391898E-2</v>
      </c>
      <c r="F71">
        <f ca="1"/>
        <v>3.9206208359391898E-2</v>
      </c>
      <c r="G71">
        <f ca="1"/>
        <v>0.31877857476781707</v>
      </c>
      <c r="H71">
        <f ca="1"/>
        <v>0.43821571107571661</v>
      </c>
      <c r="I71">
        <f ca="1"/>
        <v>0.36241872456531943</v>
      </c>
      <c r="J71">
        <f ca="1"/>
        <v>4.3821571107571664</v>
      </c>
      <c r="K71">
        <f ca="1"/>
        <v>2.6975297857857389E-5</v>
      </c>
    </row>
    <row r="72" spans="1:11" x14ac:dyDescent="0.25">
      <c r="A72" s="2">
        <f ca="1"/>
        <v>3.9328546765464125</v>
      </c>
      <c r="B72" s="10"/>
      <c r="C72">
        <f ca="1"/>
        <v>2.6054940883536554E-3</v>
      </c>
      <c r="D72">
        <f ca="1"/>
        <v>2.6318122104582379E-3</v>
      </c>
      <c r="E72">
        <f ca="1"/>
        <v>3.9328546765464129E-2</v>
      </c>
      <c r="F72">
        <f ca="1"/>
        <v>3.9328546765464129E-2</v>
      </c>
      <c r="G72">
        <f ca="1"/>
        <v>0.31726053898412748</v>
      </c>
      <c r="H72">
        <f ca="1"/>
        <v>0.44897643067535847</v>
      </c>
      <c r="I72">
        <f ca="1"/>
        <v>0.36069287271668121</v>
      </c>
      <c r="J72">
        <f ca="1"/>
        <v>4.4897643067535844</v>
      </c>
      <c r="K72">
        <f ca="1"/>
        <v>1.6736304125637218E-5</v>
      </c>
    </row>
    <row r="73" spans="1:11" x14ac:dyDescent="0.25">
      <c r="A73" s="2">
        <f ca="1"/>
        <v>3.9899561645288486</v>
      </c>
      <c r="B73" s="10"/>
      <c r="C73">
        <f ca="1"/>
        <v>3.2210380226787784E-3</v>
      </c>
      <c r="D73">
        <f ca="1"/>
        <v>3.2535737602815947E-3</v>
      </c>
      <c r="E73">
        <f ca="1"/>
        <v>3.9899561645288489E-2</v>
      </c>
      <c r="F73">
        <f ca="1"/>
        <v>3.9899561645288489E-2</v>
      </c>
      <c r="G73">
        <f ca="1"/>
        <v>0.30979533328894127</v>
      </c>
      <c r="H73">
        <f ca="1"/>
        <v>0.49920212190583985</v>
      </c>
      <c r="I73">
        <f ca="1"/>
        <v>0.35220569528125373</v>
      </c>
      <c r="J73">
        <f ca="1"/>
        <v>4.9920212190583984</v>
      </c>
      <c r="K73">
        <f ca="1"/>
        <v>1.5471802783975079E-6</v>
      </c>
    </row>
    <row r="74" spans="1:11" x14ac:dyDescent="0.25">
      <c r="A74" s="2">
        <f ca="1"/>
        <v>3.9992944013793021</v>
      </c>
      <c r="B74" s="10"/>
      <c r="C74">
        <f ca="1"/>
        <v>3.3279068620634474E-3</v>
      </c>
      <c r="D74">
        <f ca="1"/>
        <v>3.3615220828923714E-3</v>
      </c>
      <c r="E74">
        <f ca="1"/>
        <v>3.9992944013793025E-2</v>
      </c>
      <c r="F74">
        <f ca="1"/>
        <v>3.9992944013793025E-2</v>
      </c>
      <c r="G74">
        <f ca="1"/>
        <v>0.30851726055658535</v>
      </c>
      <c r="H74">
        <f ca="1"/>
        <v>0.50741590787289292</v>
      </c>
      <c r="I74">
        <f ca="1"/>
        <v>0.35075265694610375</v>
      </c>
      <c r="J74">
        <f ca="1"/>
        <v>5.074159078728929</v>
      </c>
      <c r="K74">
        <f ca="1"/>
        <v>1.0232940111802893E-6</v>
      </c>
    </row>
    <row r="75" spans="1:11" x14ac:dyDescent="0.25">
      <c r="A75" s="2">
        <f ca="1"/>
        <v>4.0181004780752119</v>
      </c>
      <c r="B75" s="10"/>
      <c r="C75">
        <f ca="1"/>
        <v>3.548420587245406E-3</v>
      </c>
      <c r="D75">
        <f ca="1"/>
        <v>3.5842632194398043E-3</v>
      </c>
      <c r="E75">
        <f ca="1"/>
        <v>4.0181004780752122E-2</v>
      </c>
      <c r="F75">
        <f ca="1"/>
        <v>4.0181004780752122E-2</v>
      </c>
      <c r="G75">
        <f ca="1"/>
        <v>0.30589671880527919</v>
      </c>
      <c r="H75">
        <f ca="1"/>
        <v>0.52395747683649063</v>
      </c>
      <c r="I75">
        <f ca="1"/>
        <v>0.34777336826627225</v>
      </c>
      <c r="J75">
        <f ca="1"/>
        <v>5.2395747683649061</v>
      </c>
      <c r="K75">
        <f ca="1"/>
        <v>4.3604935090764394E-7</v>
      </c>
    </row>
    <row r="76" spans="1:11" x14ac:dyDescent="0.25">
      <c r="A76" s="2">
        <f ca="1"/>
        <v>4.0260778834781377</v>
      </c>
      <c r="B76" s="10"/>
      <c r="C76">
        <f ca="1"/>
        <v>3.6440975847412565E-3</v>
      </c>
      <c r="D76">
        <f ca="1"/>
        <v>3.6809066512537947E-3</v>
      </c>
      <c r="E76">
        <f ca="1"/>
        <v>4.026077883478138E-2</v>
      </c>
      <c r="F76">
        <f ca="1"/>
        <v>4.026077883478138E-2</v>
      </c>
      <c r="G76">
        <f ca="1"/>
        <v>0.30476664733179037</v>
      </c>
      <c r="H76">
        <f ca="1"/>
        <v>0.53097429399388185</v>
      </c>
      <c r="I76">
        <f ca="1"/>
        <v>0.34648859226654344</v>
      </c>
      <c r="J76">
        <f ca="1"/>
        <v>5.3097429399388183</v>
      </c>
      <c r="K76">
        <f ca="1"/>
        <v>3.0116017306006392E-7</v>
      </c>
    </row>
    <row r="77" spans="1:11" x14ac:dyDescent="0.25">
      <c r="A77" s="2">
        <f ca="1"/>
        <v>4.048347998119425</v>
      </c>
      <c r="B77" s="10"/>
      <c r="C77">
        <f ca="1"/>
        <v>3.917930322428557E-3</v>
      </c>
      <c r="D77">
        <f ca="1"/>
        <v>3.9575053761904625E-3</v>
      </c>
      <c r="E77">
        <f ca="1"/>
        <v>4.0483479981194254E-2</v>
      </c>
      <c r="F77">
        <f ca="1"/>
        <v>4.0483479981194254E-2</v>
      </c>
      <c r="G77">
        <f ca="1"/>
        <v>0.30155534178945598</v>
      </c>
      <c r="H77">
        <f ca="1"/>
        <v>0.55056278356152266</v>
      </c>
      <c r="I77">
        <f ca="1"/>
        <v>0.34283766541335053</v>
      </c>
      <c r="J77">
        <f ca="1"/>
        <v>5.5056278356152273</v>
      </c>
      <c r="K77">
        <f ca="1"/>
        <v>1.044134367418968E-7</v>
      </c>
    </row>
    <row r="78" spans="1:11" x14ac:dyDescent="0.25">
      <c r="A78" s="2">
        <f ca="1"/>
        <v>4.0615538611891679</v>
      </c>
      <c r="B78" s="10"/>
      <c r="C78">
        <f ca="1"/>
        <v>4.0849941727600699E-3</v>
      </c>
      <c r="D78">
        <f ca="1"/>
        <v>4.1262567401616872E-3</v>
      </c>
      <c r="E78">
        <f ca="1"/>
        <v>4.0615538611891683E-2</v>
      </c>
      <c r="F78">
        <f ca="1"/>
        <v>4.0615538611891683E-2</v>
      </c>
      <c r="G78">
        <f ca="1"/>
        <v>0.2996127841074317</v>
      </c>
      <c r="H78">
        <f ca="1"/>
        <v>0.56217848088235156</v>
      </c>
      <c r="I78">
        <f ca="1"/>
        <v>0.3406291754669149</v>
      </c>
      <c r="J78">
        <f ca="1"/>
        <v>5.6217848088235156</v>
      </c>
      <c r="K78">
        <f ca="1"/>
        <v>5.4712657728994983E-8</v>
      </c>
    </row>
    <row r="79" spans="1:11" x14ac:dyDescent="0.25">
      <c r="A79" s="2">
        <f ca="1"/>
        <v>4.0630772648146376</v>
      </c>
      <c r="B79" s="10"/>
      <c r="C79">
        <f ca="1"/>
        <v>4.1044907317600784E-3</v>
      </c>
      <c r="D79">
        <f ca="1"/>
        <v>4.145950234101089E-3</v>
      </c>
      <c r="E79">
        <f ca="1"/>
        <v>4.0630772648146379E-2</v>
      </c>
      <c r="F79">
        <f ca="1"/>
        <v>4.0630772648146379E-2</v>
      </c>
      <c r="G79">
        <f ca="1"/>
        <v>0.29938690214860869</v>
      </c>
      <c r="H79">
        <f ca="1"/>
        <v>0.56351844596584943</v>
      </c>
      <c r="I79">
        <f ca="1"/>
        <v>0.34037237071936066</v>
      </c>
      <c r="J79">
        <f ca="1"/>
        <v>5.6351844596584941</v>
      </c>
      <c r="K79">
        <f ca="1"/>
        <v>5.0738011151857464E-8</v>
      </c>
    </row>
    <row r="80" spans="1:11" x14ac:dyDescent="0.25">
      <c r="A80" s="2">
        <f ca="1"/>
        <v>4.1016898623784073</v>
      </c>
      <c r="B80" s="10"/>
      <c r="C80">
        <f ca="1"/>
        <v>4.6141533066732018E-3</v>
      </c>
      <c r="D80">
        <f ca="1"/>
        <v>4.6607609158315173E-3</v>
      </c>
      <c r="E80">
        <f ca="1"/>
        <v>4.1016898623784076E-2</v>
      </c>
      <c r="F80">
        <f ca="1"/>
        <v>4.1016898623784076E-2</v>
      </c>
      <c r="G80">
        <f ca="1"/>
        <v>0.29354211921190709</v>
      </c>
      <c r="H80">
        <f ca="1"/>
        <v>0.59748156096280458</v>
      </c>
      <c r="I80">
        <f ca="1"/>
        <v>0.33372744867959253</v>
      </c>
      <c r="J80">
        <f ca="1"/>
        <v>5.9748156096280463</v>
      </c>
      <c r="K80">
        <f ca="1"/>
        <v>7.0647421539497349E-9</v>
      </c>
    </row>
    <row r="81" spans="1:11" ht="15.75" thickBot="1" x14ac:dyDescent="0.3">
      <c r="A81" s="2">
        <f ca="1"/>
        <v>4.1084883352741599</v>
      </c>
      <c r="B81" s="19"/>
      <c r="C81">
        <f ca="1"/>
        <v>4.7069762331076138E-3</v>
      </c>
      <c r="D81">
        <f ca="1"/>
        <v>4.7545214475834489E-3</v>
      </c>
      <c r="E81">
        <f ca="1"/>
        <v>4.1084883352741602E-2</v>
      </c>
      <c r="F81">
        <f ca="1"/>
        <v>4.1084883352741602E-2</v>
      </c>
      <c r="G81">
        <f ca="1"/>
        <v>0.29248998002320664</v>
      </c>
      <c r="H81">
        <f ca="1"/>
        <v>0.60346140514139934</v>
      </c>
      <c r="I81">
        <f ca="1"/>
        <v>0.33253127373868963</v>
      </c>
      <c r="J81">
        <f ca="1"/>
        <v>6.0346140514139934</v>
      </c>
      <c r="K81">
        <f ca="1"/>
        <v>4.9334765840120835E-9</v>
      </c>
    </row>
    <row r="82" spans="1:11" ht="15.75" thickTop="1" x14ac:dyDescent="0.25">
      <c r="A82" s="2">
        <f ca="1"/>
        <v>4.2654830369574483</v>
      </c>
      <c r="B82" s="10"/>
      <c r="C82">
        <f ca="1"/>
        <v>7.1076494614964528E-3</v>
      </c>
      <c r="D82">
        <f ca="1"/>
        <v>7.1794439005014674E-3</v>
      </c>
      <c r="E82">
        <f ca="1"/>
        <v>4.2654830369574487E-2</v>
      </c>
      <c r="F82">
        <f ca="1"/>
        <v>4.2654830369574487E-2</v>
      </c>
      <c r="G82">
        <f ca="1"/>
        <v>0.26655049555394295</v>
      </c>
      <c r="H82">
        <f ca="1"/>
        <v>0.74155180681345012</v>
      </c>
      <c r="I82">
        <f ca="1"/>
        <v>0.30304072568639456</v>
      </c>
      <c r="J82">
        <f ca="1"/>
        <v>7.4155180681345012</v>
      </c>
      <c r="K82">
        <f ca="1"/>
        <v>4.570915743321885E-13</v>
      </c>
    </row>
    <row r="83" spans="1:11" x14ac:dyDescent="0.25">
      <c r="A83" s="2">
        <f ca="1"/>
        <v>4.2706216820224654</v>
      </c>
      <c r="B83" s="10"/>
      <c r="C83">
        <f ca="1"/>
        <v>7.1945581414235571E-3</v>
      </c>
      <c r="D83">
        <f ca="1"/>
        <v>7.2672304458823818E-3</v>
      </c>
      <c r="E83">
        <f ca="1"/>
        <v>4.2706216820224657E-2</v>
      </c>
      <c r="F83">
        <f ca="1"/>
        <v>4.2706216820224657E-2</v>
      </c>
      <c r="G83">
        <f ca="1"/>
        <v>0.26565587305906019</v>
      </c>
      <c r="H83">
        <f ca="1"/>
        <v>0.746071689035398</v>
      </c>
      <c r="I83">
        <f ca="1"/>
        <v>0.30202363115989134</v>
      </c>
      <c r="J83">
        <f ca="1"/>
        <v>7.4607168903539804</v>
      </c>
      <c r="K83">
        <f ca="1"/>
        <v>3.2658478803273026E-13</v>
      </c>
    </row>
    <row r="84" spans="1:11" x14ac:dyDescent="0.25">
      <c r="A84" s="2">
        <f ca="1"/>
        <v>4.3120537131617311</v>
      </c>
      <c r="B84" s="10"/>
      <c r="C84">
        <f ca="1"/>
        <v>7.9145833917786419E-3</v>
      </c>
      <c r="D84">
        <f ca="1"/>
        <v>7.9945286785642854E-3</v>
      </c>
      <c r="E84">
        <f ca="1"/>
        <v>4.3120537131617315E-2</v>
      </c>
      <c r="F84">
        <f ca="1"/>
        <v>4.3120537131617315E-2</v>
      </c>
      <c r="G84">
        <f ca="1"/>
        <v>0.25835861096737106</v>
      </c>
      <c r="H84">
        <f ca="1"/>
        <v>0.7825147394107671</v>
      </c>
      <c r="I84">
        <f ca="1"/>
        <v>0.29372738847163948</v>
      </c>
      <c r="J84">
        <f ca="1"/>
        <v>7.8251473941076712</v>
      </c>
      <c r="K84">
        <f ca="1"/>
        <v>2.0153379510069379E-14</v>
      </c>
    </row>
    <row r="85" spans="1:11" x14ac:dyDescent="0.25">
      <c r="A85" s="2">
        <f ca="1"/>
        <v>4.3573579179937951</v>
      </c>
      <c r="B85" s="10"/>
      <c r="C85">
        <f ca="1"/>
        <v>8.7411962529045442E-3</v>
      </c>
      <c r="D85">
        <f ca="1"/>
        <v>8.8294911645500455E-3</v>
      </c>
      <c r="E85">
        <f ca="1"/>
        <v>4.3573579179937955E-2</v>
      </c>
      <c r="F85">
        <f ca="1"/>
        <v>4.3573579179937955E-2</v>
      </c>
      <c r="G85">
        <f ca="1"/>
        <v>0.25022792815163702</v>
      </c>
      <c r="H85">
        <f ca="1"/>
        <v>0.82236370103568357</v>
      </c>
      <c r="I85">
        <f ca="1"/>
        <v>0.2844836314278365</v>
      </c>
      <c r="J85">
        <f ca="1"/>
        <v>8.2236370103568355</v>
      </c>
      <c r="K85">
        <f ca="1"/>
        <v>8.2343968249352639E-16</v>
      </c>
    </row>
    <row r="86" spans="1:11" x14ac:dyDescent="0.25">
      <c r="A86" s="2">
        <f ca="1"/>
        <v>4.4639052223064937</v>
      </c>
      <c r="B86" s="10"/>
      <c r="C86">
        <f ca="1"/>
        <v>1.0847034041445639E-2</v>
      </c>
      <c r="D86">
        <f ca="1"/>
        <v>1.0956600041864282E-2</v>
      </c>
      <c r="E86">
        <f ca="1"/>
        <v>4.463905222306494E-2</v>
      </c>
      <c r="F86">
        <f ca="1"/>
        <v>4.463905222306494E-2</v>
      </c>
      <c r="G86">
        <f ca="1"/>
        <v>0.23065216742465364</v>
      </c>
      <c r="H86">
        <f ca="1"/>
        <v>0.9160812589650984</v>
      </c>
      <c r="I86">
        <f ca="1"/>
        <v>0.26222798818005372</v>
      </c>
      <c r="J86">
        <f ca="1"/>
        <v>9.160812589650984</v>
      </c>
      <c r="K86">
        <f ca="1"/>
        <v>2.3867547124807184E-19</v>
      </c>
    </row>
    <row r="87" spans="1:11" x14ac:dyDescent="0.25">
      <c r="A87" s="2">
        <f ca="1"/>
        <v>4.5394546734460164</v>
      </c>
      <c r="B87" s="10"/>
      <c r="C87">
        <f ca="1"/>
        <v>1.2477792633687321E-2</v>
      </c>
      <c r="D87">
        <f ca="1"/>
        <v>1.2603830943118507E-2</v>
      </c>
      <c r="E87">
        <f ca="1"/>
        <v>4.5394546734460167E-2</v>
      </c>
      <c r="F87">
        <f ca="1"/>
        <v>4.5394546734460167E-2</v>
      </c>
      <c r="G87">
        <f ca="1"/>
        <v>0.21655123642627414</v>
      </c>
      <c r="H87">
        <f ca="1"/>
        <v>0.98253352736716115</v>
      </c>
      <c r="I87">
        <f ca="1"/>
        <v>0.24619666790911493</v>
      </c>
      <c r="J87">
        <f ca="1"/>
        <v>9.8253352736716124</v>
      </c>
      <c r="K87">
        <f ca="1"/>
        <v>4.3463086239044122E-22</v>
      </c>
    </row>
    <row r="88" spans="1:11" x14ac:dyDescent="0.25">
      <c r="A88" s="2">
        <f ca="1"/>
        <v>4.5879443834710401</v>
      </c>
      <c r="B88" s="10"/>
      <c r="C88">
        <f ca="1"/>
        <v>1.3584604458647172E-2</v>
      </c>
      <c r="D88">
        <f ca="1"/>
        <v>1.3721822685502195E-2</v>
      </c>
      <c r="E88">
        <f ca="1"/>
        <v>4.5879443834710404E-2</v>
      </c>
      <c r="F88">
        <f ca="1"/>
        <v>4.5879443834710404E-2</v>
      </c>
      <c r="G88">
        <f ca="1"/>
        <v>0.20747517627770207</v>
      </c>
      <c r="H88">
        <f ca="1"/>
        <v>1.0251844159801082</v>
      </c>
      <c r="I88">
        <f ca="1"/>
        <v>0.23587811326497235</v>
      </c>
      <c r="J88">
        <f ca="1"/>
        <v>10.251844159801083</v>
      </c>
      <c r="K88">
        <f ca="1"/>
        <v>6.0071435952104631E-24</v>
      </c>
    </row>
    <row r="89" spans="1:11" x14ac:dyDescent="0.25">
      <c r="A89" s="2">
        <f ca="1"/>
        <v>4.6768270269385539</v>
      </c>
      <c r="B89" s="10"/>
      <c r="C89">
        <f ca="1"/>
        <v>1.5735513652619281E-2</v>
      </c>
      <c r="D89">
        <f ca="1"/>
        <v>1.5894458234968972E-2</v>
      </c>
      <c r="E89">
        <f ca="1"/>
        <v>4.6768270269385542E-2</v>
      </c>
      <c r="F89">
        <f ca="1"/>
        <v>4.6768270269385542E-2</v>
      </c>
      <c r="G89">
        <f ca="1"/>
        <v>0.19091088859455507</v>
      </c>
      <c r="H89">
        <f ca="1"/>
        <v>1.1033643787846057</v>
      </c>
      <c r="I89">
        <f ca="1"/>
        <v>0.21704620770221106</v>
      </c>
      <c r="J89">
        <f ca="1"/>
        <v>11.033643787846056</v>
      </c>
      <c r="K89">
        <f ca="1"/>
        <v>1.4625936892498974E-27</v>
      </c>
    </row>
    <row r="90" spans="1:11" x14ac:dyDescent="0.25">
      <c r="A90" s="2">
        <f ca="1"/>
        <v>4.6848123904201202</v>
      </c>
      <c r="B90" s="10"/>
      <c r="C90">
        <f ca="1"/>
        <v>1.5936490149351272E-2</v>
      </c>
      <c r="D90">
        <f ca="1"/>
        <v>1.6097464797324518E-2</v>
      </c>
      <c r="E90">
        <f ca="1"/>
        <v>4.6848123904201205E-2</v>
      </c>
      <c r="F90">
        <f ca="1"/>
        <v>4.6848123904201205E-2</v>
      </c>
      <c r="G90">
        <f ca="1"/>
        <v>0.18943240723879601</v>
      </c>
      <c r="H90">
        <f ca="1"/>
        <v>1.1103881957595971</v>
      </c>
      <c r="I90">
        <f ca="1"/>
        <v>0.21536532520363638</v>
      </c>
      <c r="J90">
        <f ca="1"/>
        <v>11.103881957595974</v>
      </c>
      <c r="K90">
        <f ca="1"/>
        <v>6.7217383661175792E-28</v>
      </c>
    </row>
    <row r="91" spans="1:11" x14ac:dyDescent="0.25">
      <c r="A91" s="2">
        <f ca="1"/>
        <v>4.741496647708118</v>
      </c>
      <c r="B91" s="10"/>
      <c r="C91">
        <f ca="1"/>
        <v>1.7399783196971979E-2</v>
      </c>
      <c r="D91">
        <f ca="1"/>
        <v>1.757553858279998E-2</v>
      </c>
      <c r="E91">
        <f ca="1"/>
        <v>4.7414966477081183E-2</v>
      </c>
      <c r="F91">
        <f ca="1"/>
        <v>4.7414966477081183E-2</v>
      </c>
      <c r="G91">
        <f ca="1"/>
        <v>0.17900734043583585</v>
      </c>
      <c r="H91">
        <f ca="1"/>
        <v>1.160246896553031</v>
      </c>
      <c r="I91">
        <f ca="1"/>
        <v>0.20351308759014883</v>
      </c>
      <c r="J91">
        <f ca="1"/>
        <v>11.602468965530312</v>
      </c>
      <c r="K91">
        <f ca="1"/>
        <v>2.3395794911163939E-30</v>
      </c>
    </row>
    <row r="92" spans="1:11" x14ac:dyDescent="0.25">
      <c r="A92" s="2">
        <f ca="1"/>
        <v>4.880328740197001</v>
      </c>
      <c r="B92" s="10"/>
      <c r="C92">
        <f ca="1"/>
        <v>2.1255146029813217E-2</v>
      </c>
      <c r="D92">
        <f ca="1"/>
        <v>2.1469844474558807E-2</v>
      </c>
      <c r="E92">
        <f ca="1"/>
        <v>4.8803287401970014E-2</v>
      </c>
      <c r="F92">
        <f ca="1"/>
        <v>4.8803287401970014E-2</v>
      </c>
      <c r="G92">
        <f ca="1"/>
        <v>0.154205705343333</v>
      </c>
      <c r="H92">
        <f ca="1"/>
        <v>1.2823617145131705</v>
      </c>
      <c r="I92">
        <f ca="1"/>
        <v>0.17531615822026819</v>
      </c>
      <c r="J92">
        <f ca="1"/>
        <v>12.823617145131706</v>
      </c>
      <c r="K92">
        <f ca="1"/>
        <v>7.8000610853272787E-37</v>
      </c>
    </row>
    <row r="93" spans="1:11" x14ac:dyDescent="0.25">
      <c r="A93" s="2">
        <f ca="1"/>
        <v>4.9238685253076255</v>
      </c>
      <c r="B93" s="11"/>
      <c r="C93">
        <f ca="1"/>
        <v>2.2543648813699638E-2</v>
      </c>
      <c r="D93">
        <f ca="1"/>
        <v>2.2771362438080447E-2</v>
      </c>
      <c r="E93">
        <f ca="1"/>
        <v>4.9238685253076259E-2</v>
      </c>
      <c r="F93">
        <f ca="1"/>
        <v>4.9238685253076259E-2</v>
      </c>
      <c r="G93">
        <f ca="1"/>
        <v>0.14670789788268188</v>
      </c>
      <c r="H93">
        <f ca="1"/>
        <v>1.3206587165786925</v>
      </c>
      <c r="I93">
        <f ca="1"/>
        <v>0.16679191590283926</v>
      </c>
      <c r="J93">
        <f ca="1"/>
        <v>13.206587165786926</v>
      </c>
      <c r="K93">
        <f ca="1"/>
        <v>5.3383029871626047E-39</v>
      </c>
    </row>
    <row r="94" spans="1:11" x14ac:dyDescent="0.25">
      <c r="A94" s="2">
        <f ca="1"/>
        <v>5.0622526916558854</v>
      </c>
      <c r="B94" s="11"/>
      <c r="C94">
        <f ca="1"/>
        <v>2.6890700497817017E-2</v>
      </c>
      <c r="D94">
        <f ca="1"/>
        <v>2.7162323735168706E-2</v>
      </c>
      <c r="E94">
        <f ca="1"/>
        <v>5.0622526916558858E-2</v>
      </c>
      <c r="F94">
        <f ca="1"/>
        <v>5.0622526916558858E-2</v>
      </c>
      <c r="G94">
        <f ca="1"/>
        <v>0.12400028548061846</v>
      </c>
      <c r="H94">
        <f ca="1"/>
        <v>1.4423795448053258</v>
      </c>
      <c r="I94">
        <f ca="1"/>
        <v>0.14097567674475422</v>
      </c>
      <c r="J94">
        <f ca="1"/>
        <v>14.42379544805326</v>
      </c>
      <c r="K94">
        <f ca="1"/>
        <v>2.6565762797606659E-46</v>
      </c>
    </row>
    <row r="95" spans="1:11" x14ac:dyDescent="0.25">
      <c r="A95" s="2">
        <f ca="1"/>
        <v>5.1984677131404169</v>
      </c>
      <c r="B95" s="20"/>
      <c r="C95">
        <f ca="1"/>
        <v>3.1543658335871638E-2</v>
      </c>
      <c r="D95">
        <f ca="1"/>
        <v>3.1862281147345094E-2</v>
      </c>
      <c r="E95">
        <f ca="1"/>
        <v>5.1984677131404172E-2</v>
      </c>
      <c r="F95">
        <f ca="1"/>
        <v>5.1984677131404172E-2</v>
      </c>
      <c r="G95">
        <f ca="1"/>
        <v>0.1035744482254774</v>
      </c>
      <c r="H95">
        <f ca="1"/>
        <v>1.5621924227488893</v>
      </c>
      <c r="I95">
        <f ca="1"/>
        <v>0.11775358319101153</v>
      </c>
      <c r="J95">
        <f ca="1"/>
        <v>15.621924227488893</v>
      </c>
      <c r="K95">
        <f ca="1"/>
        <v>4.048709562372653E-54</v>
      </c>
    </row>
    <row r="96" spans="1:11" x14ac:dyDescent="0.25">
      <c r="A96" s="2">
        <f ca="1"/>
        <v>5.6794585336465389</v>
      </c>
      <c r="C96">
        <f ca="1"/>
        <v>5.0942488089445348E-2</v>
      </c>
      <c r="D96">
        <f ca="1"/>
        <v>5.1457058676207423E-2</v>
      </c>
      <c r="E96">
        <f ca="1"/>
        <v>5.6794585336465392E-2</v>
      </c>
      <c r="F96">
        <f ca="1"/>
        <v>5.6794585336465392E-2</v>
      </c>
      <c r="G96">
        <f ca="1"/>
        <v>4.8904718880017566E-2</v>
      </c>
      <c r="H96">
        <f ca="1"/>
        <v>1.9852653984105251</v>
      </c>
      <c r="I96">
        <f ca="1"/>
        <v>5.5599677157195271E-2</v>
      </c>
      <c r="J96">
        <f ca="1"/>
        <v>19.852653984105249</v>
      </c>
      <c r="K96">
        <f ca="1"/>
        <v>1.0402326166287613E-86</v>
      </c>
    </row>
    <row r="97" spans="1:11" ht="15.75" thickBot="1" x14ac:dyDescent="0.3">
      <c r="A97" s="2">
        <f ca="1"/>
        <v>5.765223884023726</v>
      </c>
      <c r="B97" s="12"/>
      <c r="C97">
        <f ca="1"/>
        <v>5.4887568884804089E-2</v>
      </c>
      <c r="D97">
        <f ca="1"/>
        <v>5.5441988772529385E-2</v>
      </c>
      <c r="E97">
        <f ca="1"/>
        <v>5.7652238840237263E-2</v>
      </c>
      <c r="F97">
        <f ca="1"/>
        <v>5.7652238840237263E-2</v>
      </c>
      <c r="G97">
        <f ca="1"/>
        <v>4.1982964329820419E-2</v>
      </c>
      <c r="H97">
        <f ca="1"/>
        <v>2.0607034326635665</v>
      </c>
      <c r="I97">
        <f ca="1"/>
        <v>4.773034824240302E-2</v>
      </c>
      <c r="J97">
        <f ca="1"/>
        <v>20.607034326635667</v>
      </c>
      <c r="K97">
        <f ca="1"/>
        <v>2.4511155456214442E-93</v>
      </c>
    </row>
    <row r="98" spans="1:11" ht="15.75" thickTop="1" x14ac:dyDescent="0.25">
      <c r="A98" s="2">
        <f ca="1"/>
        <v>5.8434768081642687</v>
      </c>
      <c r="C98">
        <f ca="1"/>
        <v>5.8615438146514966E-2</v>
      </c>
      <c r="D98">
        <f ca="1"/>
        <v>5.9207513279308052E-2</v>
      </c>
      <c r="E98">
        <f ca="1"/>
        <v>5.8434768081642691E-2</v>
      </c>
      <c r="F98">
        <f ca="1"/>
        <v>5.8434768081642691E-2</v>
      </c>
      <c r="G98">
        <f ca="1"/>
        <v>3.6344994204137109E-2</v>
      </c>
      <c r="H98">
        <f ca="1"/>
        <v>2.1295336391018664</v>
      </c>
      <c r="I98">
        <f ca="1"/>
        <v>4.1320551274160205E-2</v>
      </c>
      <c r="J98">
        <f ca="1"/>
        <v>21.295336391018665</v>
      </c>
      <c r="K98">
        <f ca="1"/>
        <v>1.3381789135028372E-99</v>
      </c>
    </row>
    <row r="99" spans="1:11" x14ac:dyDescent="0.25">
      <c r="A99" s="2">
        <f ca="1"/>
        <v>6.0671397452242672</v>
      </c>
      <c r="C99">
        <f ca="1"/>
        <v>6.9945728403369906E-2</v>
      </c>
      <c r="D99">
        <f ca="1"/>
        <v>7.0652250912494857E-2</v>
      </c>
      <c r="E99">
        <f ca="1"/>
        <v>6.0671397452242676E-2</v>
      </c>
      <c r="F99">
        <f ca="1"/>
        <v>6.0671397452242676E-2</v>
      </c>
      <c r="G99">
        <f ca="1"/>
        <v>2.3447407910081677E-2</v>
      </c>
      <c r="H99">
        <f ca="1"/>
        <v>2.3262645127339763</v>
      </c>
      <c r="I99">
        <f ca="1"/>
        <v>2.6657311192648241E-2</v>
      </c>
      <c r="J99">
        <f ca="1"/>
        <v>23.262645127339763</v>
      </c>
      <c r="K99">
        <f ca="1"/>
        <v>1.234632407246731E-118</v>
      </c>
    </row>
    <row r="100" spans="1:11" x14ac:dyDescent="0.25">
      <c r="A100" s="2">
        <f ca="1"/>
        <v>6.0861663743853569</v>
      </c>
      <c r="C100">
        <f ca="1"/>
        <v>7.0955752746616391E-2</v>
      </c>
      <c r="D100">
        <f ca="1"/>
        <v>7.1672477521834754E-2</v>
      </c>
      <c r="E100">
        <f ca="1"/>
        <v>6.0861663743853572E-2</v>
      </c>
      <c r="F100">
        <f ca="1"/>
        <v>6.0861663743853572E-2</v>
      </c>
      <c r="G100">
        <f ca="1"/>
        <v>2.2548951403825238E-2</v>
      </c>
      <c r="H100">
        <f ca="1"/>
        <v>2.3430000766424985</v>
      </c>
      <c r="I100">
        <f ca="1"/>
        <v>2.5635857786276636E-2</v>
      </c>
      <c r="J100">
        <f ca="1"/>
        <v>23.430000766424985</v>
      </c>
      <c r="K100">
        <f ca="1"/>
        <v>2.4813547191224376E-120</v>
      </c>
    </row>
    <row r="101" spans="1:11" x14ac:dyDescent="0.25">
      <c r="A101" s="2">
        <f ca="1"/>
        <v>6.8347168937325478</v>
      </c>
      <c r="C101">
        <f ca="1"/>
        <v>0.11643809197269693</v>
      </c>
      <c r="D101">
        <f ca="1"/>
        <v>0.11761423431585549</v>
      </c>
      <c r="E101">
        <f ca="1"/>
        <v>6.8347168937325481E-2</v>
      </c>
      <c r="F101">
        <f ca="1"/>
        <v>6.8347168937325481E-2</v>
      </c>
      <c r="G101">
        <f ca="1"/>
        <v>3.8816778007585988E-3</v>
      </c>
      <c r="H101">
        <f ca="1"/>
        <v>3.0014149198198394</v>
      </c>
      <c r="I101">
        <f ca="1"/>
        <v>4.4130717340369737E-3</v>
      </c>
      <c r="J101">
        <f ca="1"/>
        <v>30.014149198198396</v>
      </c>
      <c r="K101">
        <f ca="1"/>
        <v>9.638338517057188E-197</v>
      </c>
    </row>
    <row r="102" spans="1:11" x14ac:dyDescent="0.25">
      <c r="A102" s="2" t="e">
        <f ca="1"/>
        <v>#N/A</v>
      </c>
      <c r="C102" t="e">
        <f ca="1"/>
        <v>#N/A</v>
      </c>
      <c r="D102" t="e">
        <f ca="1"/>
        <v>#N/A</v>
      </c>
      <c r="E102" t="e">
        <f ca="1"/>
        <v>#N/A</v>
      </c>
      <c r="F102" t="e">
        <f ca="1"/>
        <v>#N/A</v>
      </c>
      <c r="G102" t="e">
        <f ca="1"/>
        <v>#N/A</v>
      </c>
      <c r="H102" t="e">
        <f ca="1"/>
        <v>#N/A</v>
      </c>
      <c r="I102" t="e">
        <f ca="1"/>
        <v>#N/A</v>
      </c>
      <c r="J102" t="e">
        <f ca="1"/>
        <v>#N/A</v>
      </c>
      <c r="K102" t="e">
        <f ca="1"/>
        <v>#N/A</v>
      </c>
    </row>
    <row r="103" spans="1:11" x14ac:dyDescent="0.25">
      <c r="A103" s="2" t="e">
        <f ca="1"/>
        <v>#N/A</v>
      </c>
      <c r="C103" t="e">
        <f ca="1"/>
        <v>#N/A</v>
      </c>
      <c r="D103" t="e">
        <f ca="1"/>
        <v>#N/A</v>
      </c>
      <c r="E103" t="e">
        <f ca="1"/>
        <v>#N/A</v>
      </c>
      <c r="F103" t="e">
        <f ca="1"/>
        <v>#N/A</v>
      </c>
      <c r="G103" t="e">
        <f ca="1"/>
        <v>#N/A</v>
      </c>
      <c r="H103" t="e">
        <f ca="1"/>
        <v>#N/A</v>
      </c>
      <c r="I103" t="e">
        <f ca="1"/>
        <v>#N/A</v>
      </c>
      <c r="J103" t="e">
        <f ca="1"/>
        <v>#N/A</v>
      </c>
      <c r="K103" t="e">
        <f ca="1"/>
        <v>#N/A</v>
      </c>
    </row>
    <row r="104" spans="1:11" x14ac:dyDescent="0.25">
      <c r="A104" s="2" t="e">
        <f ca="1"/>
        <v>#N/A</v>
      </c>
      <c r="C104" t="e">
        <f ca="1"/>
        <v>#N/A</v>
      </c>
      <c r="D104" t="e">
        <f ca="1"/>
        <v>#N/A</v>
      </c>
      <c r="E104" t="e">
        <f ca="1"/>
        <v>#N/A</v>
      </c>
      <c r="F104" t="e">
        <f ca="1"/>
        <v>#N/A</v>
      </c>
      <c r="G104" t="e">
        <f ca="1"/>
        <v>#N/A</v>
      </c>
      <c r="H104" t="e">
        <f ca="1"/>
        <v>#N/A</v>
      </c>
      <c r="I104" t="e">
        <f ca="1"/>
        <v>#N/A</v>
      </c>
      <c r="J104" t="e">
        <f ca="1"/>
        <v>#N/A</v>
      </c>
      <c r="K104" t="e">
        <f ca="1"/>
        <v>#N/A</v>
      </c>
    </row>
    <row r="105" spans="1:11" x14ac:dyDescent="0.25">
      <c r="A105" s="2" t="e">
        <f ca="1"/>
        <v>#N/A</v>
      </c>
      <c r="C105" t="e">
        <f ca="1"/>
        <v>#N/A</v>
      </c>
      <c r="D105" t="e">
        <f ca="1"/>
        <v>#N/A</v>
      </c>
      <c r="E105" t="e">
        <f ca="1"/>
        <v>#N/A</v>
      </c>
      <c r="F105" t="e">
        <f ca="1"/>
        <v>#N/A</v>
      </c>
      <c r="G105" t="e">
        <f ca="1"/>
        <v>#N/A</v>
      </c>
      <c r="H105" t="e">
        <f ca="1"/>
        <v>#N/A</v>
      </c>
      <c r="I105" t="e">
        <f ca="1"/>
        <v>#N/A</v>
      </c>
      <c r="J105" t="e">
        <f ca="1"/>
        <v>#N/A</v>
      </c>
      <c r="K105" t="e">
        <f ca="1"/>
        <v>#N/A</v>
      </c>
    </row>
    <row r="106" spans="1:11" x14ac:dyDescent="0.25">
      <c r="A106" s="2" t="e">
        <f ca="1"/>
        <v>#N/A</v>
      </c>
      <c r="C106" t="e">
        <f ca="1"/>
        <v>#N/A</v>
      </c>
      <c r="D106" t="e">
        <f ca="1"/>
        <v>#N/A</v>
      </c>
      <c r="E106" t="e">
        <f ca="1"/>
        <v>#N/A</v>
      </c>
      <c r="F106" t="e">
        <f ca="1"/>
        <v>#N/A</v>
      </c>
      <c r="G106" t="e">
        <f ca="1"/>
        <v>#N/A</v>
      </c>
      <c r="H106" t="e">
        <f ca="1"/>
        <v>#N/A</v>
      </c>
      <c r="I106" t="e">
        <f ca="1"/>
        <v>#N/A</v>
      </c>
      <c r="J106" t="e">
        <f ca="1"/>
        <v>#N/A</v>
      </c>
      <c r="K106" t="e">
        <f ca="1"/>
        <v>#N/A</v>
      </c>
    </row>
    <row r="107" spans="1:11" x14ac:dyDescent="0.25">
      <c r="A107" s="2" t="e">
        <f ca="1"/>
        <v>#N/A</v>
      </c>
      <c r="C107" t="e">
        <f ca="1"/>
        <v>#N/A</v>
      </c>
      <c r="D107" t="e">
        <f ca="1"/>
        <v>#N/A</v>
      </c>
      <c r="E107" t="e">
        <f ca="1"/>
        <v>#N/A</v>
      </c>
      <c r="F107" t="e">
        <f ca="1"/>
        <v>#N/A</v>
      </c>
      <c r="G107" t="e">
        <f ca="1"/>
        <v>#N/A</v>
      </c>
      <c r="H107" t="e">
        <f ca="1"/>
        <v>#N/A</v>
      </c>
      <c r="I107" t="e">
        <f ca="1"/>
        <v>#N/A</v>
      </c>
      <c r="J107" t="e">
        <f ca="1"/>
        <v>#N/A</v>
      </c>
      <c r="K107" t="e">
        <f ca="1"/>
        <v>#N/A</v>
      </c>
    </row>
    <row r="108" spans="1:11" x14ac:dyDescent="0.25">
      <c r="A108" s="2" t="e">
        <f ca="1"/>
        <v>#N/A</v>
      </c>
      <c r="C108" t="e">
        <f ca="1"/>
        <v>#N/A</v>
      </c>
      <c r="D108" t="e">
        <f ca="1"/>
        <v>#N/A</v>
      </c>
      <c r="E108" t="e">
        <f ca="1"/>
        <v>#N/A</v>
      </c>
      <c r="F108" t="e">
        <f ca="1"/>
        <v>#N/A</v>
      </c>
      <c r="G108" t="e">
        <f ca="1"/>
        <v>#N/A</v>
      </c>
      <c r="H108" t="e">
        <f ca="1"/>
        <v>#N/A</v>
      </c>
      <c r="I108" t="e">
        <f ca="1"/>
        <v>#N/A</v>
      </c>
      <c r="J108" t="e">
        <f ca="1"/>
        <v>#N/A</v>
      </c>
      <c r="K108" t="e">
        <f ca="1"/>
        <v>#N/A</v>
      </c>
    </row>
    <row r="109" spans="1:11" x14ac:dyDescent="0.25">
      <c r="A109" s="2" t="e">
        <f ca="1"/>
        <v>#N/A</v>
      </c>
      <c r="C109" t="e">
        <f ca="1"/>
        <v>#N/A</v>
      </c>
      <c r="D109" t="e">
        <f ca="1"/>
        <v>#N/A</v>
      </c>
      <c r="E109" t="e">
        <f ca="1"/>
        <v>#N/A</v>
      </c>
      <c r="F109" t="e">
        <f ca="1"/>
        <v>#N/A</v>
      </c>
      <c r="G109" t="e">
        <f ca="1"/>
        <v>#N/A</v>
      </c>
      <c r="H109" t="e">
        <f ca="1"/>
        <v>#N/A</v>
      </c>
      <c r="I109" t="e">
        <f ca="1"/>
        <v>#N/A</v>
      </c>
      <c r="J109" t="e">
        <f ca="1"/>
        <v>#N/A</v>
      </c>
      <c r="K109" t="e">
        <f ca="1"/>
        <v>#N/A</v>
      </c>
    </row>
    <row r="110" spans="1:11" x14ac:dyDescent="0.25">
      <c r="A110" s="2" t="e">
        <f ca="1"/>
        <v>#N/A</v>
      </c>
      <c r="C110" t="e">
        <f ca="1"/>
        <v>#N/A</v>
      </c>
      <c r="D110" t="e">
        <f ca="1"/>
        <v>#N/A</v>
      </c>
      <c r="E110" t="e">
        <f ca="1"/>
        <v>#N/A</v>
      </c>
      <c r="F110" t="e">
        <f ca="1"/>
        <v>#N/A</v>
      </c>
      <c r="G110" t="e">
        <f ca="1"/>
        <v>#N/A</v>
      </c>
      <c r="H110" t="e">
        <f ca="1"/>
        <v>#N/A</v>
      </c>
      <c r="I110" t="e">
        <f ca="1"/>
        <v>#N/A</v>
      </c>
      <c r="J110" t="e">
        <f ca="1"/>
        <v>#N/A</v>
      </c>
      <c r="K110" t="e">
        <f ca="1"/>
        <v>#N/A</v>
      </c>
    </row>
    <row r="111" spans="1:11" x14ac:dyDescent="0.25">
      <c r="A111" s="2" t="e">
        <f ca="1"/>
        <v>#N/A</v>
      </c>
      <c r="C111" t="e">
        <f ca="1"/>
        <v>#N/A</v>
      </c>
      <c r="D111" t="e">
        <f ca="1"/>
        <v>#N/A</v>
      </c>
      <c r="E111" t="e">
        <f ca="1"/>
        <v>#N/A</v>
      </c>
      <c r="F111" t="e">
        <f ca="1"/>
        <v>#N/A</v>
      </c>
      <c r="G111" t="e">
        <f ca="1"/>
        <v>#N/A</v>
      </c>
      <c r="H111" t="e">
        <f ca="1"/>
        <v>#N/A</v>
      </c>
      <c r="I111" t="e">
        <f ca="1"/>
        <v>#N/A</v>
      </c>
      <c r="J111" t="e">
        <f ca="1"/>
        <v>#N/A</v>
      </c>
      <c r="K111" t="e">
        <f ca="1"/>
        <v>#N/A</v>
      </c>
    </row>
    <row r="112" spans="1:11" x14ac:dyDescent="0.25">
      <c r="A112" s="2" t="e">
        <f ca="1"/>
        <v>#N/A</v>
      </c>
      <c r="C112" t="e">
        <f ca="1"/>
        <v>#N/A</v>
      </c>
      <c r="D112" t="e">
        <f ca="1"/>
        <v>#N/A</v>
      </c>
      <c r="E112" t="e">
        <f ca="1"/>
        <v>#N/A</v>
      </c>
      <c r="F112" t="e">
        <f ca="1"/>
        <v>#N/A</v>
      </c>
      <c r="G112" t="e">
        <f ca="1"/>
        <v>#N/A</v>
      </c>
      <c r="H112" t="e">
        <f ca="1"/>
        <v>#N/A</v>
      </c>
      <c r="I112" t="e">
        <f ca="1"/>
        <v>#N/A</v>
      </c>
      <c r="J112" t="e">
        <f ca="1"/>
        <v>#N/A</v>
      </c>
      <c r="K112" t="e">
        <f ca="1"/>
        <v>#N/A</v>
      </c>
    </row>
    <row r="113" spans="1:11" x14ac:dyDescent="0.25">
      <c r="A113" s="2" t="e">
        <f ca="1"/>
        <v>#N/A</v>
      </c>
      <c r="C113" t="e">
        <f ca="1"/>
        <v>#N/A</v>
      </c>
      <c r="D113" t="e">
        <f ca="1"/>
        <v>#N/A</v>
      </c>
      <c r="E113" t="e">
        <f ca="1"/>
        <v>#N/A</v>
      </c>
      <c r="F113" t="e">
        <f ca="1"/>
        <v>#N/A</v>
      </c>
      <c r="G113" t="e">
        <f ca="1"/>
        <v>#N/A</v>
      </c>
      <c r="H113" t="e">
        <f ca="1"/>
        <v>#N/A</v>
      </c>
      <c r="I113" t="e">
        <f ca="1"/>
        <v>#N/A</v>
      </c>
      <c r="J113" t="e">
        <f ca="1"/>
        <v>#N/A</v>
      </c>
      <c r="K113" t="e">
        <f ca="1"/>
        <v>#N/A</v>
      </c>
    </row>
    <row r="114" spans="1:11" x14ac:dyDescent="0.25">
      <c r="A114" s="2" t="e">
        <f ca="1"/>
        <v>#N/A</v>
      </c>
      <c r="C114" t="e">
        <f ca="1"/>
        <v>#N/A</v>
      </c>
      <c r="D114" t="e">
        <f ca="1"/>
        <v>#N/A</v>
      </c>
      <c r="E114" t="e">
        <f ca="1"/>
        <v>#N/A</v>
      </c>
      <c r="F114" t="e">
        <f ca="1"/>
        <v>#N/A</v>
      </c>
      <c r="G114" t="e">
        <f ca="1"/>
        <v>#N/A</v>
      </c>
      <c r="H114" t="e">
        <f ca="1"/>
        <v>#N/A</v>
      </c>
      <c r="I114" t="e">
        <f ca="1"/>
        <v>#N/A</v>
      </c>
      <c r="J114" t="e">
        <f ca="1"/>
        <v>#N/A</v>
      </c>
      <c r="K114" t="e">
        <f ca="1"/>
        <v>#N/A</v>
      </c>
    </row>
    <row r="115" spans="1:11" x14ac:dyDescent="0.25">
      <c r="A115" s="2" t="e">
        <f ca="1"/>
        <v>#N/A</v>
      </c>
      <c r="C115" t="e">
        <f ca="1"/>
        <v>#N/A</v>
      </c>
      <c r="D115" t="e">
        <f ca="1"/>
        <v>#N/A</v>
      </c>
      <c r="E115" t="e">
        <f ca="1"/>
        <v>#N/A</v>
      </c>
      <c r="F115" t="e">
        <f ca="1"/>
        <v>#N/A</v>
      </c>
      <c r="G115" t="e">
        <f ca="1"/>
        <v>#N/A</v>
      </c>
      <c r="H115" t="e">
        <f ca="1"/>
        <v>#N/A</v>
      </c>
      <c r="I115" t="e">
        <f ca="1"/>
        <v>#N/A</v>
      </c>
      <c r="J115" t="e">
        <f ca="1"/>
        <v>#N/A</v>
      </c>
      <c r="K115" t="e">
        <f ca="1"/>
        <v>#N/A</v>
      </c>
    </row>
    <row r="116" spans="1:11" x14ac:dyDescent="0.25">
      <c r="A116" s="2" t="e">
        <f ca="1"/>
        <v>#N/A</v>
      </c>
      <c r="C116" t="e">
        <f ca="1"/>
        <v>#N/A</v>
      </c>
      <c r="D116" t="e">
        <f ca="1"/>
        <v>#N/A</v>
      </c>
      <c r="E116" t="e">
        <f ca="1"/>
        <v>#N/A</v>
      </c>
      <c r="F116" t="e">
        <f ca="1"/>
        <v>#N/A</v>
      </c>
      <c r="G116" t="e">
        <f ca="1"/>
        <v>#N/A</v>
      </c>
      <c r="H116" t="e">
        <f ca="1"/>
        <v>#N/A</v>
      </c>
      <c r="I116" t="e">
        <f ca="1"/>
        <v>#N/A</v>
      </c>
      <c r="J116" t="e">
        <f ca="1"/>
        <v>#N/A</v>
      </c>
      <c r="K116" t="e">
        <f ca="1"/>
        <v>#N/A</v>
      </c>
    </row>
    <row r="117" spans="1:11" x14ac:dyDescent="0.25">
      <c r="A117" s="2" t="e">
        <f ca="1"/>
        <v>#N/A</v>
      </c>
      <c r="C117" t="e">
        <f ca="1"/>
        <v>#N/A</v>
      </c>
      <c r="D117" t="e">
        <f ca="1"/>
        <v>#N/A</v>
      </c>
      <c r="E117" t="e">
        <f ca="1"/>
        <v>#N/A</v>
      </c>
      <c r="F117" t="e">
        <f ca="1"/>
        <v>#N/A</v>
      </c>
      <c r="G117" t="e">
        <f ca="1"/>
        <v>#N/A</v>
      </c>
      <c r="H117" t="e">
        <f ca="1"/>
        <v>#N/A</v>
      </c>
      <c r="I117" t="e">
        <f ca="1"/>
        <v>#N/A</v>
      </c>
      <c r="J117" t="e">
        <f ca="1"/>
        <v>#N/A</v>
      </c>
      <c r="K117" t="e">
        <f ca="1"/>
        <v>#N/A</v>
      </c>
    </row>
    <row r="118" spans="1:11" x14ac:dyDescent="0.25">
      <c r="A118" s="2" t="e">
        <f ca="1"/>
        <v>#N/A</v>
      </c>
      <c r="C118" t="e">
        <f ca="1"/>
        <v>#N/A</v>
      </c>
      <c r="D118" t="e">
        <f ca="1"/>
        <v>#N/A</v>
      </c>
      <c r="E118" t="e">
        <f ca="1"/>
        <v>#N/A</v>
      </c>
      <c r="F118" t="e">
        <f ca="1"/>
        <v>#N/A</v>
      </c>
      <c r="G118" t="e">
        <f ca="1"/>
        <v>#N/A</v>
      </c>
      <c r="H118" t="e">
        <f ca="1"/>
        <v>#N/A</v>
      </c>
      <c r="I118" t="e">
        <f ca="1"/>
        <v>#N/A</v>
      </c>
      <c r="J118" t="e">
        <f ca="1"/>
        <v>#N/A</v>
      </c>
      <c r="K118" t="e">
        <f ca="1"/>
        <v>#N/A</v>
      </c>
    </row>
    <row r="119" spans="1:11" x14ac:dyDescent="0.25">
      <c r="A119" s="2" t="e">
        <f ca="1"/>
        <v>#N/A</v>
      </c>
      <c r="C119" t="e">
        <f ca="1"/>
        <v>#N/A</v>
      </c>
      <c r="D119" t="e">
        <f ca="1"/>
        <v>#N/A</v>
      </c>
      <c r="E119" t="e">
        <f ca="1"/>
        <v>#N/A</v>
      </c>
      <c r="F119" t="e">
        <f ca="1"/>
        <v>#N/A</v>
      </c>
      <c r="G119" t="e">
        <f ca="1"/>
        <v>#N/A</v>
      </c>
      <c r="H119" t="e">
        <f ca="1"/>
        <v>#N/A</v>
      </c>
      <c r="I119" t="e">
        <f ca="1"/>
        <v>#N/A</v>
      </c>
      <c r="J119" t="e">
        <f ca="1"/>
        <v>#N/A</v>
      </c>
      <c r="K119" t="e">
        <f ca="1"/>
        <v>#N/A</v>
      </c>
    </row>
    <row r="120" spans="1:11" x14ac:dyDescent="0.25">
      <c r="A120" s="2" t="e">
        <f ca="1"/>
        <v>#N/A</v>
      </c>
      <c r="C120" t="e">
        <f ca="1"/>
        <v>#N/A</v>
      </c>
      <c r="D120" t="e">
        <f ca="1"/>
        <v>#N/A</v>
      </c>
      <c r="E120" t="e">
        <f ca="1"/>
        <v>#N/A</v>
      </c>
      <c r="F120" t="e">
        <f ca="1"/>
        <v>#N/A</v>
      </c>
      <c r="G120" t="e">
        <f ca="1"/>
        <v>#N/A</v>
      </c>
      <c r="H120" t="e">
        <f ca="1"/>
        <v>#N/A</v>
      </c>
      <c r="I120" t="e">
        <f ca="1"/>
        <v>#N/A</v>
      </c>
      <c r="J120" t="e">
        <f ca="1"/>
        <v>#N/A</v>
      </c>
      <c r="K120" t="e">
        <f ca="1"/>
        <v>#N/A</v>
      </c>
    </row>
    <row r="121" spans="1:11" x14ac:dyDescent="0.25">
      <c r="A121" s="2" t="e">
        <f ca="1"/>
        <v>#N/A</v>
      </c>
      <c r="C121" t="e">
        <f ca="1"/>
        <v>#N/A</v>
      </c>
      <c r="D121" t="e">
        <f ca="1"/>
        <v>#N/A</v>
      </c>
      <c r="E121" t="e">
        <f ca="1"/>
        <v>#N/A</v>
      </c>
      <c r="F121" t="e">
        <f ca="1"/>
        <v>#N/A</v>
      </c>
      <c r="G121" t="e">
        <f ca="1"/>
        <v>#N/A</v>
      </c>
      <c r="H121" t="e">
        <f ca="1"/>
        <v>#N/A</v>
      </c>
      <c r="I121" t="e">
        <f ca="1"/>
        <v>#N/A</v>
      </c>
      <c r="J121" t="e">
        <f ca="1"/>
        <v>#N/A</v>
      </c>
      <c r="K121" t="e">
        <f ca="1"/>
        <v>#N/A</v>
      </c>
    </row>
    <row r="122" spans="1:11" x14ac:dyDescent="0.25">
      <c r="A122" s="2" t="e">
        <f ca="1"/>
        <v>#N/A</v>
      </c>
      <c r="C122" t="e">
        <f ca="1"/>
        <v>#N/A</v>
      </c>
      <c r="D122" t="e">
        <f ca="1"/>
        <v>#N/A</v>
      </c>
      <c r="E122" t="e">
        <f ca="1"/>
        <v>#N/A</v>
      </c>
      <c r="F122" t="e">
        <f ca="1"/>
        <v>#N/A</v>
      </c>
      <c r="G122" t="e">
        <f ca="1"/>
        <v>#N/A</v>
      </c>
      <c r="H122" t="e">
        <f ca="1"/>
        <v>#N/A</v>
      </c>
      <c r="I122" t="e">
        <f ca="1"/>
        <v>#N/A</v>
      </c>
      <c r="J122" t="e">
        <f ca="1"/>
        <v>#N/A</v>
      </c>
      <c r="K122" t="e">
        <f ca="1"/>
        <v>#N/A</v>
      </c>
    </row>
    <row r="123" spans="1:11" x14ac:dyDescent="0.25">
      <c r="A123" s="2" t="e">
        <f ca="1"/>
        <v>#N/A</v>
      </c>
      <c r="C123" t="e">
        <f ca="1"/>
        <v>#N/A</v>
      </c>
      <c r="D123" t="e">
        <f ca="1"/>
        <v>#N/A</v>
      </c>
      <c r="E123" t="e">
        <f ca="1"/>
        <v>#N/A</v>
      </c>
      <c r="F123" t="e">
        <f ca="1"/>
        <v>#N/A</v>
      </c>
      <c r="G123" t="e">
        <f ca="1"/>
        <v>#N/A</v>
      </c>
      <c r="H123" t="e">
        <f ca="1"/>
        <v>#N/A</v>
      </c>
      <c r="I123" t="e">
        <f ca="1"/>
        <v>#N/A</v>
      </c>
      <c r="J123" t="e">
        <f ca="1"/>
        <v>#N/A</v>
      </c>
      <c r="K123" t="e">
        <f ca="1"/>
        <v>#N/A</v>
      </c>
    </row>
    <row r="124" spans="1:11" x14ac:dyDescent="0.25">
      <c r="A124" s="2" t="e">
        <f ca="1"/>
        <v>#N/A</v>
      </c>
      <c r="C124" t="e">
        <f ca="1"/>
        <v>#N/A</v>
      </c>
      <c r="D124" t="e">
        <f ca="1"/>
        <v>#N/A</v>
      </c>
      <c r="E124" t="e">
        <f ca="1"/>
        <v>#N/A</v>
      </c>
      <c r="F124" t="e">
        <f ca="1"/>
        <v>#N/A</v>
      </c>
      <c r="G124" t="e">
        <f ca="1"/>
        <v>#N/A</v>
      </c>
      <c r="H124" t="e">
        <f ca="1"/>
        <v>#N/A</v>
      </c>
      <c r="I124" t="e">
        <f ca="1"/>
        <v>#N/A</v>
      </c>
      <c r="J124" t="e">
        <f ca="1"/>
        <v>#N/A</v>
      </c>
      <c r="K124" t="e">
        <f ca="1"/>
        <v>#N/A</v>
      </c>
    </row>
    <row r="125" spans="1:11" x14ac:dyDescent="0.25">
      <c r="A125" s="2" t="e">
        <f ca="1"/>
        <v>#N/A</v>
      </c>
      <c r="C125" t="e">
        <f ca="1"/>
        <v>#N/A</v>
      </c>
      <c r="D125" t="e">
        <f ca="1"/>
        <v>#N/A</v>
      </c>
      <c r="E125" t="e">
        <f ca="1"/>
        <v>#N/A</v>
      </c>
      <c r="F125" t="e">
        <f ca="1"/>
        <v>#N/A</v>
      </c>
      <c r="G125" t="e">
        <f ca="1"/>
        <v>#N/A</v>
      </c>
      <c r="H125" t="e">
        <f ca="1"/>
        <v>#N/A</v>
      </c>
      <c r="I125" t="e">
        <f ca="1"/>
        <v>#N/A</v>
      </c>
      <c r="J125" t="e">
        <f ca="1"/>
        <v>#N/A</v>
      </c>
      <c r="K125" t="e">
        <f ca="1"/>
        <v>#N/A</v>
      </c>
    </row>
    <row r="126" spans="1:11" x14ac:dyDescent="0.25">
      <c r="A126" s="2" t="e">
        <f ca="1"/>
        <v>#N/A</v>
      </c>
      <c r="C126" t="e">
        <f ca="1"/>
        <v>#N/A</v>
      </c>
      <c r="D126" t="e">
        <f ca="1"/>
        <v>#N/A</v>
      </c>
      <c r="E126" t="e">
        <f ca="1"/>
        <v>#N/A</v>
      </c>
      <c r="F126" t="e">
        <f ca="1"/>
        <v>#N/A</v>
      </c>
      <c r="G126" t="e">
        <f ca="1"/>
        <v>#N/A</v>
      </c>
      <c r="H126" t="e">
        <f ca="1"/>
        <v>#N/A</v>
      </c>
      <c r="I126" t="e">
        <f ca="1"/>
        <v>#N/A</v>
      </c>
      <c r="J126" t="e">
        <f ca="1"/>
        <v>#N/A</v>
      </c>
      <c r="K126" t="e">
        <f ca="1"/>
        <v>#N/A</v>
      </c>
    </row>
    <row r="127" spans="1:11" x14ac:dyDescent="0.25">
      <c r="A127" s="2" t="e">
        <f ca="1"/>
        <v>#N/A</v>
      </c>
      <c r="C127" t="e">
        <f ca="1"/>
        <v>#N/A</v>
      </c>
      <c r="D127" t="e">
        <f ca="1"/>
        <v>#N/A</v>
      </c>
      <c r="E127" t="e">
        <f ca="1"/>
        <v>#N/A</v>
      </c>
      <c r="F127" t="e">
        <f ca="1"/>
        <v>#N/A</v>
      </c>
      <c r="G127" t="e">
        <f ca="1"/>
        <v>#N/A</v>
      </c>
      <c r="H127" t="e">
        <f ca="1"/>
        <v>#N/A</v>
      </c>
      <c r="I127" t="e">
        <f ca="1"/>
        <v>#N/A</v>
      </c>
      <c r="J127" t="e">
        <f ca="1"/>
        <v>#N/A</v>
      </c>
      <c r="K127" t="e">
        <f ca="1"/>
        <v>#N/A</v>
      </c>
    </row>
    <row r="128" spans="1:11" x14ac:dyDescent="0.25">
      <c r="A128" s="2" t="e">
        <f ca="1"/>
        <v>#N/A</v>
      </c>
      <c r="C128" t="e">
        <f ca="1"/>
        <v>#N/A</v>
      </c>
      <c r="D128" t="e">
        <f ca="1"/>
        <v>#N/A</v>
      </c>
      <c r="E128" t="e">
        <f ca="1"/>
        <v>#N/A</v>
      </c>
      <c r="F128" t="e">
        <f ca="1"/>
        <v>#N/A</v>
      </c>
      <c r="G128" t="e">
        <f ca="1"/>
        <v>#N/A</v>
      </c>
      <c r="H128" t="e">
        <f ca="1"/>
        <v>#N/A</v>
      </c>
      <c r="I128" t="e">
        <f ca="1"/>
        <v>#N/A</v>
      </c>
      <c r="J128" t="e">
        <f ca="1"/>
        <v>#N/A</v>
      </c>
      <c r="K128" t="e">
        <f ca="1"/>
        <v>#N/A</v>
      </c>
    </row>
    <row r="129" spans="1:11" x14ac:dyDescent="0.25">
      <c r="A129" s="2" t="e">
        <f ca="1"/>
        <v>#N/A</v>
      </c>
      <c r="C129" t="e">
        <f ca="1"/>
        <v>#N/A</v>
      </c>
      <c r="D129" t="e">
        <f ca="1"/>
        <v>#N/A</v>
      </c>
      <c r="E129" t="e">
        <f ca="1"/>
        <v>#N/A</v>
      </c>
      <c r="F129" t="e">
        <f ca="1"/>
        <v>#N/A</v>
      </c>
      <c r="G129" t="e">
        <f ca="1"/>
        <v>#N/A</v>
      </c>
      <c r="H129" t="e">
        <f ca="1"/>
        <v>#N/A</v>
      </c>
      <c r="I129" t="e">
        <f ca="1"/>
        <v>#N/A</v>
      </c>
      <c r="J129" t="e">
        <f ca="1"/>
        <v>#N/A</v>
      </c>
      <c r="K129" t="e">
        <f ca="1"/>
        <v>#N/A</v>
      </c>
    </row>
    <row r="130" spans="1:11" x14ac:dyDescent="0.25">
      <c r="A130" s="2" t="e">
        <f ca="1"/>
        <v>#N/A</v>
      </c>
      <c r="C130" t="e">
        <f ca="1"/>
        <v>#N/A</v>
      </c>
      <c r="D130" t="e">
        <f ca="1"/>
        <v>#N/A</v>
      </c>
      <c r="E130" t="e">
        <f ca="1"/>
        <v>#N/A</v>
      </c>
      <c r="F130" t="e">
        <f ca="1"/>
        <v>#N/A</v>
      </c>
      <c r="G130" t="e">
        <f ca="1"/>
        <v>#N/A</v>
      </c>
      <c r="H130" t="e">
        <f ca="1"/>
        <v>#N/A</v>
      </c>
      <c r="I130" t="e">
        <f ca="1"/>
        <v>#N/A</v>
      </c>
      <c r="J130" t="e">
        <f ca="1"/>
        <v>#N/A</v>
      </c>
      <c r="K130" t="e">
        <f ca="1"/>
        <v>#N/A</v>
      </c>
    </row>
    <row r="131" spans="1:11" x14ac:dyDescent="0.25">
      <c r="A131" s="2" t="e">
        <f ca="1"/>
        <v>#N/A</v>
      </c>
      <c r="C131" t="e">
        <f ca="1"/>
        <v>#N/A</v>
      </c>
      <c r="D131" t="e">
        <f ca="1"/>
        <v>#N/A</v>
      </c>
      <c r="E131" t="e">
        <f ca="1"/>
        <v>#N/A</v>
      </c>
      <c r="F131" t="e">
        <f ca="1"/>
        <v>#N/A</v>
      </c>
      <c r="G131" t="e">
        <f ca="1"/>
        <v>#N/A</v>
      </c>
      <c r="H131" t="e">
        <f ca="1"/>
        <v>#N/A</v>
      </c>
      <c r="I131" t="e">
        <f ca="1"/>
        <v>#N/A</v>
      </c>
      <c r="J131" t="e">
        <f ca="1"/>
        <v>#N/A</v>
      </c>
      <c r="K131" t="e">
        <f ca="1"/>
        <v>#N/A</v>
      </c>
    </row>
    <row r="132" spans="1:11" x14ac:dyDescent="0.25">
      <c r="A132" s="2" t="e">
        <f ca="1"/>
        <v>#N/A</v>
      </c>
      <c r="C132" t="e">
        <f ca="1"/>
        <v>#N/A</v>
      </c>
      <c r="D132" t="e">
        <f ca="1"/>
        <v>#N/A</v>
      </c>
      <c r="E132" t="e">
        <f ca="1"/>
        <v>#N/A</v>
      </c>
      <c r="F132" t="e">
        <f ca="1"/>
        <v>#N/A</v>
      </c>
      <c r="G132" t="e">
        <f ca="1"/>
        <v>#N/A</v>
      </c>
      <c r="H132" t="e">
        <f ca="1"/>
        <v>#N/A</v>
      </c>
      <c r="I132" t="e">
        <f ca="1"/>
        <v>#N/A</v>
      </c>
      <c r="J132" t="e">
        <f ca="1"/>
        <v>#N/A</v>
      </c>
      <c r="K132" t="e">
        <f ca="1"/>
        <v>#N/A</v>
      </c>
    </row>
    <row r="133" spans="1:11" x14ac:dyDescent="0.25">
      <c r="A133" s="2" t="e">
        <f ca="1"/>
        <v>#N/A</v>
      </c>
      <c r="C133" t="e">
        <f ca="1"/>
        <v>#N/A</v>
      </c>
      <c r="D133" t="e">
        <f ca="1"/>
        <v>#N/A</v>
      </c>
      <c r="E133" t="e">
        <f ca="1"/>
        <v>#N/A</v>
      </c>
      <c r="F133" t="e">
        <f ca="1"/>
        <v>#N/A</v>
      </c>
      <c r="G133" t="e">
        <f ca="1"/>
        <v>#N/A</v>
      </c>
      <c r="H133" t="e">
        <f ca="1"/>
        <v>#N/A</v>
      </c>
      <c r="I133" t="e">
        <f ca="1"/>
        <v>#N/A</v>
      </c>
      <c r="J133" t="e">
        <f ca="1"/>
        <v>#N/A</v>
      </c>
      <c r="K133" t="e">
        <f ca="1"/>
        <v>#N/A</v>
      </c>
    </row>
    <row r="134" spans="1:11" x14ac:dyDescent="0.25">
      <c r="A134" s="2" t="e">
        <f ca="1"/>
        <v>#N/A</v>
      </c>
      <c r="C134" t="e">
        <f ca="1"/>
        <v>#N/A</v>
      </c>
      <c r="D134" t="e">
        <f ca="1"/>
        <v>#N/A</v>
      </c>
      <c r="E134" t="e">
        <f ca="1"/>
        <v>#N/A</v>
      </c>
      <c r="F134" t="e">
        <f ca="1"/>
        <v>#N/A</v>
      </c>
      <c r="G134" t="e">
        <f ca="1"/>
        <v>#N/A</v>
      </c>
      <c r="H134" t="e">
        <f ca="1"/>
        <v>#N/A</v>
      </c>
      <c r="I134" t="e">
        <f ca="1"/>
        <v>#N/A</v>
      </c>
      <c r="J134" t="e">
        <f ca="1"/>
        <v>#N/A</v>
      </c>
      <c r="K134" t="e">
        <f ca="1"/>
        <v>#N/A</v>
      </c>
    </row>
    <row r="135" spans="1:11" x14ac:dyDescent="0.25">
      <c r="A135" s="2" t="e">
        <f ca="1"/>
        <v>#N/A</v>
      </c>
      <c r="C135" t="e">
        <f ca="1"/>
        <v>#N/A</v>
      </c>
      <c r="D135" t="e">
        <f ca="1"/>
        <v>#N/A</v>
      </c>
      <c r="E135" t="e">
        <f ca="1"/>
        <v>#N/A</v>
      </c>
      <c r="F135" t="e">
        <f ca="1"/>
        <v>#N/A</v>
      </c>
      <c r="G135" t="e">
        <f ca="1"/>
        <v>#N/A</v>
      </c>
      <c r="H135" t="e">
        <f ca="1"/>
        <v>#N/A</v>
      </c>
      <c r="I135" t="e">
        <f ca="1"/>
        <v>#N/A</v>
      </c>
      <c r="J135" t="e">
        <f ca="1"/>
        <v>#N/A</v>
      </c>
      <c r="K135" t="e">
        <f ca="1"/>
        <v>#N/A</v>
      </c>
    </row>
    <row r="136" spans="1:11" x14ac:dyDescent="0.25">
      <c r="A136" s="2" t="e">
        <f ca="1"/>
        <v>#N/A</v>
      </c>
      <c r="C136" t="e">
        <f ca="1"/>
        <v>#N/A</v>
      </c>
      <c r="D136" t="e">
        <f ca="1"/>
        <v>#N/A</v>
      </c>
      <c r="E136" t="e">
        <f ca="1"/>
        <v>#N/A</v>
      </c>
      <c r="F136" t="e">
        <f ca="1"/>
        <v>#N/A</v>
      </c>
      <c r="G136" t="e">
        <f ca="1"/>
        <v>#N/A</v>
      </c>
      <c r="H136" t="e">
        <f ca="1"/>
        <v>#N/A</v>
      </c>
      <c r="I136" t="e">
        <f ca="1"/>
        <v>#N/A</v>
      </c>
      <c r="J136" t="e">
        <f ca="1"/>
        <v>#N/A</v>
      </c>
      <c r="K136" t="e">
        <f ca="1"/>
        <v>#N/A</v>
      </c>
    </row>
    <row r="137" spans="1:11" x14ac:dyDescent="0.25">
      <c r="A137" s="2" t="e">
        <f ca="1"/>
        <v>#N/A</v>
      </c>
      <c r="C137" t="e">
        <f ca="1"/>
        <v>#N/A</v>
      </c>
      <c r="D137" t="e">
        <f ca="1"/>
        <v>#N/A</v>
      </c>
      <c r="E137" t="e">
        <f ca="1"/>
        <v>#N/A</v>
      </c>
      <c r="F137" t="e">
        <f ca="1"/>
        <v>#N/A</v>
      </c>
      <c r="G137" t="e">
        <f ca="1"/>
        <v>#N/A</v>
      </c>
      <c r="H137" t="e">
        <f ca="1"/>
        <v>#N/A</v>
      </c>
      <c r="I137" t="e">
        <f ca="1"/>
        <v>#N/A</v>
      </c>
      <c r="J137" t="e">
        <f ca="1"/>
        <v>#N/A</v>
      </c>
      <c r="K137" t="e">
        <f ca="1"/>
        <v>#N/A</v>
      </c>
    </row>
    <row r="138" spans="1:11" x14ac:dyDescent="0.25">
      <c r="A138" s="2" t="e">
        <f ca="1"/>
        <v>#N/A</v>
      </c>
      <c r="C138" t="e">
        <f ca="1"/>
        <v>#N/A</v>
      </c>
      <c r="D138" t="e">
        <f ca="1"/>
        <v>#N/A</v>
      </c>
      <c r="E138" t="e">
        <f ca="1"/>
        <v>#N/A</v>
      </c>
      <c r="F138" t="e">
        <f ca="1"/>
        <v>#N/A</v>
      </c>
      <c r="G138" t="e">
        <f ca="1"/>
        <v>#N/A</v>
      </c>
      <c r="H138" t="e">
        <f ca="1"/>
        <v>#N/A</v>
      </c>
      <c r="I138" t="e">
        <f ca="1"/>
        <v>#N/A</v>
      </c>
      <c r="J138" t="e">
        <f ca="1"/>
        <v>#N/A</v>
      </c>
      <c r="K138" t="e">
        <f ca="1"/>
        <v>#N/A</v>
      </c>
    </row>
    <row r="139" spans="1:11" x14ac:dyDescent="0.25">
      <c r="A139" s="2" t="e">
        <f ca="1"/>
        <v>#N/A</v>
      </c>
      <c r="C139" t="e">
        <f ca="1"/>
        <v>#N/A</v>
      </c>
      <c r="D139" t="e">
        <f ca="1"/>
        <v>#N/A</v>
      </c>
      <c r="E139" t="e">
        <f ca="1"/>
        <v>#N/A</v>
      </c>
      <c r="F139" t="e">
        <f ca="1"/>
        <v>#N/A</v>
      </c>
      <c r="G139" t="e">
        <f ca="1"/>
        <v>#N/A</v>
      </c>
      <c r="H139" t="e">
        <f ca="1"/>
        <v>#N/A</v>
      </c>
      <c r="I139" t="e">
        <f ca="1"/>
        <v>#N/A</v>
      </c>
      <c r="J139" t="e">
        <f ca="1"/>
        <v>#N/A</v>
      </c>
      <c r="K139" t="e">
        <f ca="1"/>
        <v>#N/A</v>
      </c>
    </row>
    <row r="140" spans="1:11" x14ac:dyDescent="0.25">
      <c r="A140" s="2" t="e">
        <f ca="1"/>
        <v>#N/A</v>
      </c>
      <c r="C140" t="e">
        <f ca="1"/>
        <v>#N/A</v>
      </c>
      <c r="D140" t="e">
        <f ca="1"/>
        <v>#N/A</v>
      </c>
      <c r="E140" t="e">
        <f ca="1"/>
        <v>#N/A</v>
      </c>
      <c r="F140" t="e">
        <f ca="1"/>
        <v>#N/A</v>
      </c>
      <c r="G140" t="e">
        <f ca="1"/>
        <v>#N/A</v>
      </c>
      <c r="H140" t="e">
        <f ca="1"/>
        <v>#N/A</v>
      </c>
      <c r="I140" t="e">
        <f ca="1"/>
        <v>#N/A</v>
      </c>
      <c r="J140" t="e">
        <f ca="1"/>
        <v>#N/A</v>
      </c>
      <c r="K140" t="e">
        <f ca="1"/>
        <v>#N/A</v>
      </c>
    </row>
    <row r="141" spans="1:11" x14ac:dyDescent="0.25">
      <c r="A141" s="2" t="e">
        <f ca="1"/>
        <v>#N/A</v>
      </c>
      <c r="C141" t="e">
        <f ca="1"/>
        <v>#N/A</v>
      </c>
      <c r="D141" t="e">
        <f ca="1"/>
        <v>#N/A</v>
      </c>
      <c r="E141" t="e">
        <f ca="1"/>
        <v>#N/A</v>
      </c>
      <c r="F141" t="e">
        <f ca="1"/>
        <v>#N/A</v>
      </c>
      <c r="G141" t="e">
        <f ca="1"/>
        <v>#N/A</v>
      </c>
      <c r="H141" t="e">
        <f ca="1"/>
        <v>#N/A</v>
      </c>
      <c r="I141" t="e">
        <f ca="1"/>
        <v>#N/A</v>
      </c>
      <c r="J141" t="e">
        <f ca="1"/>
        <v>#N/A</v>
      </c>
      <c r="K141" t="e">
        <f ca="1"/>
        <v>#N/A</v>
      </c>
    </row>
    <row r="142" spans="1:11" x14ac:dyDescent="0.25">
      <c r="A142" s="2" t="e">
        <f ca="1"/>
        <v>#N/A</v>
      </c>
      <c r="C142" t="e">
        <f ca="1"/>
        <v>#N/A</v>
      </c>
      <c r="D142" t="e">
        <f ca="1"/>
        <v>#N/A</v>
      </c>
      <c r="E142" t="e">
        <f ca="1"/>
        <v>#N/A</v>
      </c>
      <c r="F142" t="e">
        <f ca="1"/>
        <v>#N/A</v>
      </c>
      <c r="G142" t="e">
        <f ca="1"/>
        <v>#N/A</v>
      </c>
      <c r="H142" t="e">
        <f ca="1"/>
        <v>#N/A</v>
      </c>
      <c r="I142" t="e">
        <f ca="1"/>
        <v>#N/A</v>
      </c>
      <c r="J142" t="e">
        <f ca="1"/>
        <v>#N/A</v>
      </c>
      <c r="K142" t="e">
        <f ca="1"/>
        <v>#N/A</v>
      </c>
    </row>
    <row r="143" spans="1:11" x14ac:dyDescent="0.25">
      <c r="A143" s="2" t="e">
        <f ca="1"/>
        <v>#N/A</v>
      </c>
      <c r="C143" t="e">
        <f ca="1"/>
        <v>#N/A</v>
      </c>
      <c r="D143" t="e">
        <f ca="1"/>
        <v>#N/A</v>
      </c>
      <c r="E143" t="e">
        <f ca="1"/>
        <v>#N/A</v>
      </c>
      <c r="F143" t="e">
        <f ca="1"/>
        <v>#N/A</v>
      </c>
      <c r="G143" t="e">
        <f ca="1"/>
        <v>#N/A</v>
      </c>
      <c r="H143" t="e">
        <f ca="1"/>
        <v>#N/A</v>
      </c>
      <c r="I143" t="e">
        <f ca="1"/>
        <v>#N/A</v>
      </c>
      <c r="J143" t="e">
        <f ca="1"/>
        <v>#N/A</v>
      </c>
      <c r="K143" t="e">
        <f ca="1"/>
        <v>#N/A</v>
      </c>
    </row>
    <row r="144" spans="1:11" x14ac:dyDescent="0.25">
      <c r="A144" s="2" t="e">
        <f ca="1"/>
        <v>#N/A</v>
      </c>
      <c r="C144" t="e">
        <f ca="1"/>
        <v>#N/A</v>
      </c>
      <c r="D144" t="e">
        <f ca="1"/>
        <v>#N/A</v>
      </c>
      <c r="E144" t="e">
        <f ca="1"/>
        <v>#N/A</v>
      </c>
      <c r="F144" t="e">
        <f ca="1"/>
        <v>#N/A</v>
      </c>
      <c r="G144" t="e">
        <f ca="1"/>
        <v>#N/A</v>
      </c>
      <c r="H144" t="e">
        <f ca="1"/>
        <v>#N/A</v>
      </c>
      <c r="I144" t="e">
        <f ca="1"/>
        <v>#N/A</v>
      </c>
      <c r="J144" t="e">
        <f ca="1"/>
        <v>#N/A</v>
      </c>
      <c r="K144" t="e">
        <f ca="1"/>
        <v>#N/A</v>
      </c>
    </row>
    <row r="145" spans="1:11" x14ac:dyDescent="0.25">
      <c r="A145" s="2" t="e">
        <f ca="1"/>
        <v>#N/A</v>
      </c>
      <c r="C145" t="e">
        <f ca="1"/>
        <v>#N/A</v>
      </c>
      <c r="D145" t="e">
        <f ca="1"/>
        <v>#N/A</v>
      </c>
      <c r="E145" t="e">
        <f ca="1"/>
        <v>#N/A</v>
      </c>
      <c r="F145" t="e">
        <f ca="1"/>
        <v>#N/A</v>
      </c>
      <c r="G145" t="e">
        <f ca="1"/>
        <v>#N/A</v>
      </c>
      <c r="H145" t="e">
        <f ca="1"/>
        <v>#N/A</v>
      </c>
      <c r="I145" t="e">
        <f ca="1"/>
        <v>#N/A</v>
      </c>
      <c r="J145" t="e">
        <f ca="1"/>
        <v>#N/A</v>
      </c>
      <c r="K145" t="e">
        <f ca="1"/>
        <v>#N/A</v>
      </c>
    </row>
    <row r="146" spans="1:11" x14ac:dyDescent="0.25">
      <c r="A146" s="2" t="e">
        <f ca="1"/>
        <v>#N/A</v>
      </c>
      <c r="C146" t="e">
        <f ca="1"/>
        <v>#N/A</v>
      </c>
      <c r="D146" t="e">
        <f ca="1"/>
        <v>#N/A</v>
      </c>
      <c r="E146" t="e">
        <f ca="1"/>
        <v>#N/A</v>
      </c>
      <c r="F146" t="e">
        <f ca="1"/>
        <v>#N/A</v>
      </c>
      <c r="G146" t="e">
        <f ca="1"/>
        <v>#N/A</v>
      </c>
      <c r="H146" t="e">
        <f ca="1"/>
        <v>#N/A</v>
      </c>
      <c r="I146" t="e">
        <f ca="1"/>
        <v>#N/A</v>
      </c>
      <c r="J146" t="e">
        <f ca="1"/>
        <v>#N/A</v>
      </c>
      <c r="K146" t="e">
        <f ca="1"/>
        <v>#N/A</v>
      </c>
    </row>
    <row r="147" spans="1:11" x14ac:dyDescent="0.25">
      <c r="A147" s="2" t="e">
        <f ca="1"/>
        <v>#N/A</v>
      </c>
      <c r="C147" t="e">
        <f ca="1"/>
        <v>#N/A</v>
      </c>
      <c r="D147" t="e">
        <f ca="1"/>
        <v>#N/A</v>
      </c>
      <c r="E147" t="e">
        <f ca="1"/>
        <v>#N/A</v>
      </c>
      <c r="F147" t="e">
        <f ca="1"/>
        <v>#N/A</v>
      </c>
      <c r="G147" t="e">
        <f ca="1"/>
        <v>#N/A</v>
      </c>
      <c r="H147" t="e">
        <f ca="1"/>
        <v>#N/A</v>
      </c>
      <c r="I147" t="e">
        <f ca="1"/>
        <v>#N/A</v>
      </c>
      <c r="J147" t="e">
        <f ca="1"/>
        <v>#N/A</v>
      </c>
      <c r="K147" t="e">
        <f ca="1"/>
        <v>#N/A</v>
      </c>
    </row>
    <row r="148" spans="1:11" x14ac:dyDescent="0.25">
      <c r="A148" s="2" t="e">
        <f ca="1"/>
        <v>#N/A</v>
      </c>
      <c r="C148" t="e">
        <f ca="1"/>
        <v>#N/A</v>
      </c>
      <c r="D148" t="e">
        <f ca="1"/>
        <v>#N/A</v>
      </c>
      <c r="E148" t="e">
        <f ca="1"/>
        <v>#N/A</v>
      </c>
      <c r="F148" t="e">
        <f ca="1"/>
        <v>#N/A</v>
      </c>
      <c r="G148" t="e">
        <f ca="1"/>
        <v>#N/A</v>
      </c>
      <c r="H148" t="e">
        <f ca="1"/>
        <v>#N/A</v>
      </c>
      <c r="I148" t="e">
        <f ca="1"/>
        <v>#N/A</v>
      </c>
      <c r="J148" t="e">
        <f ca="1"/>
        <v>#N/A</v>
      </c>
      <c r="K148" t="e">
        <f ca="1"/>
        <v>#N/A</v>
      </c>
    </row>
    <row r="149" spans="1:11" x14ac:dyDescent="0.25">
      <c r="A149" s="2" t="e">
        <f ca="1"/>
        <v>#N/A</v>
      </c>
      <c r="C149" t="e">
        <f ca="1"/>
        <v>#N/A</v>
      </c>
      <c r="D149" t="e">
        <f ca="1"/>
        <v>#N/A</v>
      </c>
      <c r="E149" t="e">
        <f ca="1"/>
        <v>#N/A</v>
      </c>
      <c r="F149" t="e">
        <f ca="1"/>
        <v>#N/A</v>
      </c>
      <c r="G149" t="e">
        <f ca="1"/>
        <v>#N/A</v>
      </c>
      <c r="H149" t="e">
        <f ca="1"/>
        <v>#N/A</v>
      </c>
      <c r="I149" t="e">
        <f ca="1"/>
        <v>#N/A</v>
      </c>
      <c r="J149" t="e">
        <f ca="1"/>
        <v>#N/A</v>
      </c>
      <c r="K149" t="e">
        <f ca="1"/>
        <v>#N/A</v>
      </c>
    </row>
    <row r="150" spans="1:11" x14ac:dyDescent="0.25">
      <c r="A150" s="2" t="e">
        <f ca="1"/>
        <v>#N/A</v>
      </c>
      <c r="C150" t="e">
        <f ca="1"/>
        <v>#N/A</v>
      </c>
      <c r="D150" t="e">
        <f ca="1"/>
        <v>#N/A</v>
      </c>
      <c r="E150" t="e">
        <f ca="1"/>
        <v>#N/A</v>
      </c>
      <c r="F150" t="e">
        <f ca="1"/>
        <v>#N/A</v>
      </c>
      <c r="G150" t="e">
        <f ca="1"/>
        <v>#N/A</v>
      </c>
      <c r="H150" t="e">
        <f ca="1"/>
        <v>#N/A</v>
      </c>
      <c r="I150" t="e">
        <f ca="1"/>
        <v>#N/A</v>
      </c>
      <c r="J150" t="e">
        <f ca="1"/>
        <v>#N/A</v>
      </c>
      <c r="K150" t="e">
        <f ca="1"/>
        <v>#N/A</v>
      </c>
    </row>
    <row r="151" spans="1:11" x14ac:dyDescent="0.25">
      <c r="A151" s="2" t="e">
        <f ca="1"/>
        <v>#N/A</v>
      </c>
      <c r="C151" t="e">
        <f ca="1"/>
        <v>#N/A</v>
      </c>
      <c r="D151" t="e">
        <f ca="1"/>
        <v>#N/A</v>
      </c>
      <c r="E151" t="e">
        <f ca="1"/>
        <v>#N/A</v>
      </c>
      <c r="F151" t="e">
        <f ca="1"/>
        <v>#N/A</v>
      </c>
      <c r="G151" t="e">
        <f ca="1"/>
        <v>#N/A</v>
      </c>
      <c r="H151" t="e">
        <f ca="1"/>
        <v>#N/A</v>
      </c>
      <c r="I151" t="e">
        <f ca="1"/>
        <v>#N/A</v>
      </c>
      <c r="J151" t="e">
        <f ca="1"/>
        <v>#N/A</v>
      </c>
      <c r="K151" t="e">
        <f ca="1"/>
        <v>#N/A</v>
      </c>
    </row>
    <row r="152" spans="1:11" x14ac:dyDescent="0.25">
      <c r="A152" s="2" t="e">
        <f ca="1"/>
        <v>#N/A</v>
      </c>
      <c r="C152" t="e">
        <f ca="1"/>
        <v>#N/A</v>
      </c>
      <c r="D152" t="e">
        <f ca="1"/>
        <v>#N/A</v>
      </c>
      <c r="E152" t="e">
        <f ca="1"/>
        <v>#N/A</v>
      </c>
      <c r="F152" t="e">
        <f ca="1"/>
        <v>#N/A</v>
      </c>
      <c r="G152" t="e">
        <f ca="1"/>
        <v>#N/A</v>
      </c>
      <c r="H152" t="e">
        <f ca="1"/>
        <v>#N/A</v>
      </c>
      <c r="I152" t="e">
        <f ca="1"/>
        <v>#N/A</v>
      </c>
      <c r="J152" t="e">
        <f ca="1"/>
        <v>#N/A</v>
      </c>
      <c r="K152" t="e">
        <f ca="1"/>
        <v>#N/A</v>
      </c>
    </row>
    <row r="153" spans="1:11" x14ac:dyDescent="0.25">
      <c r="A153" s="2" t="e">
        <f ca="1"/>
        <v>#N/A</v>
      </c>
      <c r="C153" t="e">
        <f ca="1"/>
        <v>#N/A</v>
      </c>
      <c r="D153" t="e">
        <f ca="1"/>
        <v>#N/A</v>
      </c>
      <c r="E153" t="e">
        <f ca="1"/>
        <v>#N/A</v>
      </c>
      <c r="F153" t="e">
        <f ca="1"/>
        <v>#N/A</v>
      </c>
      <c r="G153" t="e">
        <f ca="1"/>
        <v>#N/A</v>
      </c>
      <c r="H153" t="e">
        <f ca="1"/>
        <v>#N/A</v>
      </c>
      <c r="I153" t="e">
        <f ca="1"/>
        <v>#N/A</v>
      </c>
      <c r="J153" t="e">
        <f ca="1"/>
        <v>#N/A</v>
      </c>
      <c r="K153" t="e">
        <f ca="1"/>
        <v>#N/A</v>
      </c>
    </row>
    <row r="154" spans="1:11" x14ac:dyDescent="0.25">
      <c r="A154" s="2" t="e">
        <f ca="1"/>
        <v>#N/A</v>
      </c>
      <c r="C154" t="e">
        <f ca="1"/>
        <v>#N/A</v>
      </c>
      <c r="D154" t="e">
        <f ca="1"/>
        <v>#N/A</v>
      </c>
      <c r="E154" t="e">
        <f ca="1"/>
        <v>#N/A</v>
      </c>
      <c r="F154" t="e">
        <f ca="1"/>
        <v>#N/A</v>
      </c>
      <c r="G154" t="e">
        <f ca="1"/>
        <v>#N/A</v>
      </c>
      <c r="H154" t="e">
        <f ca="1"/>
        <v>#N/A</v>
      </c>
      <c r="I154" t="e">
        <f ca="1"/>
        <v>#N/A</v>
      </c>
      <c r="J154" t="e">
        <f ca="1"/>
        <v>#N/A</v>
      </c>
      <c r="K154" t="e">
        <f ca="1"/>
        <v>#N/A</v>
      </c>
    </row>
    <row r="155" spans="1:11" x14ac:dyDescent="0.25">
      <c r="A155" s="2" t="e">
        <f ca="1"/>
        <v>#N/A</v>
      </c>
      <c r="C155" t="e">
        <f ca="1"/>
        <v>#N/A</v>
      </c>
      <c r="D155" t="e">
        <f ca="1"/>
        <v>#N/A</v>
      </c>
      <c r="E155" t="e">
        <f ca="1"/>
        <v>#N/A</v>
      </c>
      <c r="F155" t="e">
        <f ca="1"/>
        <v>#N/A</v>
      </c>
      <c r="G155" t="e">
        <f ca="1"/>
        <v>#N/A</v>
      </c>
      <c r="H155" t="e">
        <f ca="1"/>
        <v>#N/A</v>
      </c>
      <c r="I155" t="e">
        <f ca="1"/>
        <v>#N/A</v>
      </c>
      <c r="J155" t="e">
        <f ca="1"/>
        <v>#N/A</v>
      </c>
      <c r="K155" t="e">
        <f ca="1"/>
        <v>#N/A</v>
      </c>
    </row>
    <row r="156" spans="1:11" x14ac:dyDescent="0.25">
      <c r="A156" s="2" t="e">
        <f ca="1"/>
        <v>#N/A</v>
      </c>
      <c r="C156" t="e">
        <f ca="1"/>
        <v>#N/A</v>
      </c>
      <c r="D156" t="e">
        <f ca="1"/>
        <v>#N/A</v>
      </c>
      <c r="E156" t="e">
        <f ca="1"/>
        <v>#N/A</v>
      </c>
      <c r="F156" t="e">
        <f ca="1"/>
        <v>#N/A</v>
      </c>
      <c r="G156" t="e">
        <f ca="1"/>
        <v>#N/A</v>
      </c>
      <c r="H156" t="e">
        <f ca="1"/>
        <v>#N/A</v>
      </c>
      <c r="I156" t="e">
        <f ca="1"/>
        <v>#N/A</v>
      </c>
      <c r="J156" t="e">
        <f ca="1"/>
        <v>#N/A</v>
      </c>
      <c r="K156" t="e">
        <f ca="1"/>
        <v>#N/A</v>
      </c>
    </row>
    <row r="157" spans="1:11" x14ac:dyDescent="0.25">
      <c r="A157" s="2" t="e">
        <f ca="1"/>
        <v>#N/A</v>
      </c>
      <c r="C157" t="e">
        <f ca="1"/>
        <v>#N/A</v>
      </c>
      <c r="D157" t="e">
        <f ca="1"/>
        <v>#N/A</v>
      </c>
      <c r="E157" t="e">
        <f ca="1"/>
        <v>#N/A</v>
      </c>
      <c r="F157" t="e">
        <f ca="1"/>
        <v>#N/A</v>
      </c>
      <c r="G157" t="e">
        <f ca="1"/>
        <v>#N/A</v>
      </c>
      <c r="H157" t="e">
        <f ca="1"/>
        <v>#N/A</v>
      </c>
      <c r="I157" t="e">
        <f ca="1"/>
        <v>#N/A</v>
      </c>
      <c r="J157" t="e">
        <f ca="1"/>
        <v>#N/A</v>
      </c>
      <c r="K157" t="e">
        <f ca="1"/>
        <v>#N/A</v>
      </c>
    </row>
    <row r="158" spans="1:11" x14ac:dyDescent="0.25">
      <c r="A158" s="2" t="e">
        <f ca="1"/>
        <v>#N/A</v>
      </c>
      <c r="C158" t="e">
        <f ca="1"/>
        <v>#N/A</v>
      </c>
      <c r="D158" t="e">
        <f ca="1"/>
        <v>#N/A</v>
      </c>
      <c r="E158" t="e">
        <f ca="1"/>
        <v>#N/A</v>
      </c>
      <c r="F158" t="e">
        <f ca="1"/>
        <v>#N/A</v>
      </c>
      <c r="G158" t="e">
        <f ca="1"/>
        <v>#N/A</v>
      </c>
      <c r="H158" t="e">
        <f ca="1"/>
        <v>#N/A</v>
      </c>
      <c r="I158" t="e">
        <f ca="1"/>
        <v>#N/A</v>
      </c>
      <c r="J158" t="e">
        <f ca="1"/>
        <v>#N/A</v>
      </c>
      <c r="K158" t="e">
        <f ca="1"/>
        <v>#N/A</v>
      </c>
    </row>
    <row r="159" spans="1:11" x14ac:dyDescent="0.25">
      <c r="A159" s="2" t="e">
        <f ca="1"/>
        <v>#N/A</v>
      </c>
      <c r="C159" t="e">
        <f ca="1"/>
        <v>#N/A</v>
      </c>
      <c r="D159" t="e">
        <f ca="1"/>
        <v>#N/A</v>
      </c>
      <c r="E159" t="e">
        <f ca="1"/>
        <v>#N/A</v>
      </c>
      <c r="F159" t="e">
        <f ca="1"/>
        <v>#N/A</v>
      </c>
      <c r="G159" t="e">
        <f ca="1"/>
        <v>#N/A</v>
      </c>
      <c r="H159" t="e">
        <f ca="1"/>
        <v>#N/A</v>
      </c>
      <c r="I159" t="e">
        <f ca="1"/>
        <v>#N/A</v>
      </c>
      <c r="J159" t="e">
        <f ca="1"/>
        <v>#N/A</v>
      </c>
      <c r="K159" t="e">
        <f ca="1"/>
        <v>#N/A</v>
      </c>
    </row>
    <row r="160" spans="1:11" x14ac:dyDescent="0.25">
      <c r="A160" s="2" t="e">
        <f ca="1"/>
        <v>#N/A</v>
      </c>
      <c r="C160" t="e">
        <f ca="1"/>
        <v>#N/A</v>
      </c>
      <c r="D160" t="e">
        <f ca="1"/>
        <v>#N/A</v>
      </c>
      <c r="E160" t="e">
        <f ca="1"/>
        <v>#N/A</v>
      </c>
      <c r="F160" t="e">
        <f ca="1"/>
        <v>#N/A</v>
      </c>
      <c r="G160" t="e">
        <f ca="1"/>
        <v>#N/A</v>
      </c>
      <c r="H160" t="e">
        <f ca="1"/>
        <v>#N/A</v>
      </c>
      <c r="I160" t="e">
        <f ca="1"/>
        <v>#N/A</v>
      </c>
      <c r="J160" t="e">
        <f ca="1"/>
        <v>#N/A</v>
      </c>
      <c r="K160" t="e">
        <f ca="1"/>
        <v>#N/A</v>
      </c>
    </row>
    <row r="161" spans="1:11" x14ac:dyDescent="0.25">
      <c r="A161" s="2" t="e">
        <f ca="1"/>
        <v>#N/A</v>
      </c>
      <c r="C161" t="e">
        <f ca="1"/>
        <v>#N/A</v>
      </c>
      <c r="D161" t="e">
        <f ca="1"/>
        <v>#N/A</v>
      </c>
      <c r="E161" t="e">
        <f ca="1"/>
        <v>#N/A</v>
      </c>
      <c r="F161" t="e">
        <f ca="1"/>
        <v>#N/A</v>
      </c>
      <c r="G161" t="e">
        <f ca="1"/>
        <v>#N/A</v>
      </c>
      <c r="H161" t="e">
        <f ca="1"/>
        <v>#N/A</v>
      </c>
      <c r="I161" t="e">
        <f ca="1"/>
        <v>#N/A</v>
      </c>
      <c r="J161" t="e">
        <f ca="1"/>
        <v>#N/A</v>
      </c>
      <c r="K161" t="e">
        <f ca="1"/>
        <v>#N/A</v>
      </c>
    </row>
    <row r="162" spans="1:11" x14ac:dyDescent="0.25">
      <c r="A162" s="2" t="e">
        <f ca="1"/>
        <v>#N/A</v>
      </c>
      <c r="C162" t="e">
        <f ca="1"/>
        <v>#N/A</v>
      </c>
      <c r="D162" t="e">
        <f ca="1"/>
        <v>#N/A</v>
      </c>
      <c r="E162" t="e">
        <f ca="1"/>
        <v>#N/A</v>
      </c>
      <c r="F162" t="e">
        <f ca="1"/>
        <v>#N/A</v>
      </c>
      <c r="G162" t="e">
        <f ca="1"/>
        <v>#N/A</v>
      </c>
      <c r="H162" t="e">
        <f ca="1"/>
        <v>#N/A</v>
      </c>
      <c r="I162" t="e">
        <f ca="1"/>
        <v>#N/A</v>
      </c>
      <c r="J162" t="e">
        <f ca="1"/>
        <v>#N/A</v>
      </c>
      <c r="K162" t="e">
        <f ca="1"/>
        <v>#N/A</v>
      </c>
    </row>
    <row r="163" spans="1:11" x14ac:dyDescent="0.25">
      <c r="A163" s="2" t="e">
        <f ca="1"/>
        <v>#N/A</v>
      </c>
      <c r="C163" t="e">
        <f ca="1"/>
        <v>#N/A</v>
      </c>
      <c r="D163" t="e">
        <f ca="1"/>
        <v>#N/A</v>
      </c>
      <c r="E163" t="e">
        <f ca="1"/>
        <v>#N/A</v>
      </c>
      <c r="F163" t="e">
        <f ca="1"/>
        <v>#N/A</v>
      </c>
      <c r="G163" t="e">
        <f ca="1"/>
        <v>#N/A</v>
      </c>
      <c r="H163" t="e">
        <f ca="1"/>
        <v>#N/A</v>
      </c>
      <c r="I163" t="e">
        <f ca="1"/>
        <v>#N/A</v>
      </c>
      <c r="J163" t="e">
        <f ca="1"/>
        <v>#N/A</v>
      </c>
      <c r="K163" t="e">
        <f ca="1"/>
        <v>#N/A</v>
      </c>
    </row>
    <row r="164" spans="1:11" x14ac:dyDescent="0.25">
      <c r="A164" s="2" t="e">
        <f ca="1"/>
        <v>#N/A</v>
      </c>
      <c r="C164" t="e">
        <f ca="1"/>
        <v>#N/A</v>
      </c>
      <c r="D164" t="e">
        <f ca="1"/>
        <v>#N/A</v>
      </c>
      <c r="E164" t="e">
        <f ca="1"/>
        <v>#N/A</v>
      </c>
      <c r="F164" t="e">
        <f ca="1"/>
        <v>#N/A</v>
      </c>
      <c r="G164" t="e">
        <f ca="1"/>
        <v>#N/A</v>
      </c>
      <c r="H164" t="e">
        <f ca="1"/>
        <v>#N/A</v>
      </c>
      <c r="I164" t="e">
        <f ca="1"/>
        <v>#N/A</v>
      </c>
      <c r="J164" t="e">
        <f ca="1"/>
        <v>#N/A</v>
      </c>
      <c r="K164" t="e">
        <f ca="1"/>
        <v>#N/A</v>
      </c>
    </row>
    <row r="165" spans="1:11" x14ac:dyDescent="0.25">
      <c r="A165" s="2" t="e">
        <f ca="1"/>
        <v>#N/A</v>
      </c>
      <c r="C165" t="e">
        <f ca="1"/>
        <v>#N/A</v>
      </c>
      <c r="D165" t="e">
        <f ca="1"/>
        <v>#N/A</v>
      </c>
      <c r="E165" t="e">
        <f ca="1"/>
        <v>#N/A</v>
      </c>
      <c r="F165" t="e">
        <f ca="1"/>
        <v>#N/A</v>
      </c>
      <c r="G165" t="e">
        <f ca="1"/>
        <v>#N/A</v>
      </c>
      <c r="H165" t="e">
        <f ca="1"/>
        <v>#N/A</v>
      </c>
      <c r="I165" t="e">
        <f ca="1"/>
        <v>#N/A</v>
      </c>
      <c r="J165" t="e">
        <f ca="1"/>
        <v>#N/A</v>
      </c>
      <c r="K165" t="e">
        <f ca="1"/>
        <v>#N/A</v>
      </c>
    </row>
    <row r="166" spans="1:11" x14ac:dyDescent="0.25">
      <c r="A166" s="2" t="e">
        <f ca="1"/>
        <v>#N/A</v>
      </c>
      <c r="C166" t="e">
        <f ca="1"/>
        <v>#N/A</v>
      </c>
      <c r="D166" t="e">
        <f ca="1"/>
        <v>#N/A</v>
      </c>
      <c r="E166" t="e">
        <f ca="1"/>
        <v>#N/A</v>
      </c>
      <c r="F166" t="e">
        <f ca="1"/>
        <v>#N/A</v>
      </c>
      <c r="G166" t="e">
        <f ca="1"/>
        <v>#N/A</v>
      </c>
      <c r="H166" t="e">
        <f ca="1"/>
        <v>#N/A</v>
      </c>
      <c r="I166" t="e">
        <f ca="1"/>
        <v>#N/A</v>
      </c>
      <c r="J166" t="e">
        <f ca="1"/>
        <v>#N/A</v>
      </c>
      <c r="K166" t="e">
        <f ca="1"/>
        <v>#N/A</v>
      </c>
    </row>
    <row r="167" spans="1:11" x14ac:dyDescent="0.25">
      <c r="A167" s="2" t="e">
        <f ca="1"/>
        <v>#N/A</v>
      </c>
      <c r="C167" t="e">
        <f ca="1"/>
        <v>#N/A</v>
      </c>
      <c r="D167" t="e">
        <f ca="1"/>
        <v>#N/A</v>
      </c>
      <c r="E167" t="e">
        <f ca="1"/>
        <v>#N/A</v>
      </c>
      <c r="F167" t="e">
        <f ca="1"/>
        <v>#N/A</v>
      </c>
      <c r="G167" t="e">
        <f ca="1"/>
        <v>#N/A</v>
      </c>
      <c r="H167" t="e">
        <f ca="1"/>
        <v>#N/A</v>
      </c>
      <c r="I167" t="e">
        <f ca="1"/>
        <v>#N/A</v>
      </c>
      <c r="J167" t="e">
        <f ca="1"/>
        <v>#N/A</v>
      </c>
      <c r="K167" t="e">
        <f ca="1"/>
        <v>#N/A</v>
      </c>
    </row>
    <row r="168" spans="1:11" x14ac:dyDescent="0.25">
      <c r="A168" s="2" t="e">
        <f ca="1"/>
        <v>#N/A</v>
      </c>
      <c r="C168" t="e">
        <f ca="1"/>
        <v>#N/A</v>
      </c>
      <c r="D168" t="e">
        <f ca="1"/>
        <v>#N/A</v>
      </c>
      <c r="E168" t="e">
        <f ca="1"/>
        <v>#N/A</v>
      </c>
      <c r="F168" t="e">
        <f ca="1"/>
        <v>#N/A</v>
      </c>
      <c r="G168" t="e">
        <f ca="1"/>
        <v>#N/A</v>
      </c>
      <c r="H168" t="e">
        <f ca="1"/>
        <v>#N/A</v>
      </c>
      <c r="I168" t="e">
        <f ca="1"/>
        <v>#N/A</v>
      </c>
      <c r="J168" t="e">
        <f ca="1"/>
        <v>#N/A</v>
      </c>
      <c r="K168" t="e">
        <f ca="1"/>
        <v>#N/A</v>
      </c>
    </row>
    <row r="169" spans="1:11" x14ac:dyDescent="0.25">
      <c r="A169" s="2" t="e">
        <f ca="1"/>
        <v>#N/A</v>
      </c>
      <c r="C169" t="e">
        <f ca="1"/>
        <v>#N/A</v>
      </c>
      <c r="D169" t="e">
        <f ca="1"/>
        <v>#N/A</v>
      </c>
      <c r="E169" t="e">
        <f ca="1"/>
        <v>#N/A</v>
      </c>
      <c r="F169" t="e">
        <f ca="1"/>
        <v>#N/A</v>
      </c>
      <c r="G169" t="e">
        <f ca="1"/>
        <v>#N/A</v>
      </c>
      <c r="H169" t="e">
        <f ca="1"/>
        <v>#N/A</v>
      </c>
      <c r="I169" t="e">
        <f ca="1"/>
        <v>#N/A</v>
      </c>
      <c r="J169" t="e">
        <f ca="1"/>
        <v>#N/A</v>
      </c>
      <c r="K169" t="e">
        <f ca="1"/>
        <v>#N/A</v>
      </c>
    </row>
    <row r="170" spans="1:11" x14ac:dyDescent="0.25">
      <c r="A170" s="2" t="e">
        <f ca="1"/>
        <v>#N/A</v>
      </c>
      <c r="C170" t="e">
        <f ca="1"/>
        <v>#N/A</v>
      </c>
      <c r="D170" t="e">
        <f ca="1"/>
        <v>#N/A</v>
      </c>
      <c r="E170" t="e">
        <f ca="1"/>
        <v>#N/A</v>
      </c>
      <c r="F170" t="e">
        <f ca="1"/>
        <v>#N/A</v>
      </c>
      <c r="G170" t="e">
        <f ca="1"/>
        <v>#N/A</v>
      </c>
      <c r="H170" t="e">
        <f ca="1"/>
        <v>#N/A</v>
      </c>
      <c r="I170" t="e">
        <f ca="1"/>
        <v>#N/A</v>
      </c>
      <c r="J170" t="e">
        <f ca="1"/>
        <v>#N/A</v>
      </c>
      <c r="K170" t="e">
        <f ca="1"/>
        <v>#N/A</v>
      </c>
    </row>
    <row r="171" spans="1:11" x14ac:dyDescent="0.25">
      <c r="A171" s="2" t="e">
        <f ca="1"/>
        <v>#N/A</v>
      </c>
      <c r="C171" t="e">
        <f ca="1"/>
        <v>#N/A</v>
      </c>
      <c r="D171" t="e">
        <f ca="1"/>
        <v>#N/A</v>
      </c>
      <c r="E171" t="e">
        <f ca="1"/>
        <v>#N/A</v>
      </c>
      <c r="F171" t="e">
        <f ca="1"/>
        <v>#N/A</v>
      </c>
      <c r="G171" t="e">
        <f ca="1"/>
        <v>#N/A</v>
      </c>
      <c r="H171" t="e">
        <f ca="1"/>
        <v>#N/A</v>
      </c>
      <c r="I171" t="e">
        <f ca="1"/>
        <v>#N/A</v>
      </c>
      <c r="J171" t="e">
        <f ca="1"/>
        <v>#N/A</v>
      </c>
      <c r="K171" t="e">
        <f ca="1"/>
        <v>#N/A</v>
      </c>
    </row>
    <row r="172" spans="1:11" x14ac:dyDescent="0.25">
      <c r="A172" s="2" t="e">
        <f ca="1"/>
        <v>#N/A</v>
      </c>
      <c r="C172" t="e">
        <f ca="1"/>
        <v>#N/A</v>
      </c>
      <c r="D172" t="e">
        <f ca="1"/>
        <v>#N/A</v>
      </c>
      <c r="E172" t="e">
        <f ca="1"/>
        <v>#N/A</v>
      </c>
      <c r="F172" t="e">
        <f ca="1"/>
        <v>#N/A</v>
      </c>
      <c r="G172" t="e">
        <f ca="1"/>
        <v>#N/A</v>
      </c>
      <c r="H172" t="e">
        <f ca="1"/>
        <v>#N/A</v>
      </c>
      <c r="I172" t="e">
        <f ca="1"/>
        <v>#N/A</v>
      </c>
      <c r="J172" t="e">
        <f ca="1"/>
        <v>#N/A</v>
      </c>
      <c r="K172" t="e">
        <f ca="1"/>
        <v>#N/A</v>
      </c>
    </row>
    <row r="173" spans="1:11" x14ac:dyDescent="0.25">
      <c r="A173" s="2" t="e">
        <f ca="1"/>
        <v>#N/A</v>
      </c>
      <c r="C173" t="e">
        <f ca="1"/>
        <v>#N/A</v>
      </c>
      <c r="D173" t="e">
        <f ca="1"/>
        <v>#N/A</v>
      </c>
      <c r="E173" t="e">
        <f ca="1"/>
        <v>#N/A</v>
      </c>
      <c r="F173" t="e">
        <f ca="1"/>
        <v>#N/A</v>
      </c>
      <c r="G173" t="e">
        <f ca="1"/>
        <v>#N/A</v>
      </c>
      <c r="H173" t="e">
        <f ca="1"/>
        <v>#N/A</v>
      </c>
      <c r="I173" t="e">
        <f ca="1"/>
        <v>#N/A</v>
      </c>
      <c r="J173" t="e">
        <f ca="1"/>
        <v>#N/A</v>
      </c>
      <c r="K173" t="e">
        <f ca="1"/>
        <v>#N/A</v>
      </c>
    </row>
    <row r="174" spans="1:11" x14ac:dyDescent="0.25">
      <c r="A174" s="2" t="e">
        <f ca="1"/>
        <v>#N/A</v>
      </c>
      <c r="C174" t="e">
        <f ca="1"/>
        <v>#N/A</v>
      </c>
      <c r="D174" t="e">
        <f ca="1"/>
        <v>#N/A</v>
      </c>
      <c r="E174" t="e">
        <f ca="1"/>
        <v>#N/A</v>
      </c>
      <c r="F174" t="e">
        <f ca="1"/>
        <v>#N/A</v>
      </c>
      <c r="G174" t="e">
        <f ca="1"/>
        <v>#N/A</v>
      </c>
      <c r="H174" t="e">
        <f ca="1"/>
        <v>#N/A</v>
      </c>
      <c r="I174" t="e">
        <f ca="1"/>
        <v>#N/A</v>
      </c>
      <c r="J174" t="e">
        <f ca="1"/>
        <v>#N/A</v>
      </c>
      <c r="K174" t="e">
        <f ca="1"/>
        <v>#N/A</v>
      </c>
    </row>
    <row r="175" spans="1:11" x14ac:dyDescent="0.25">
      <c r="A175" s="2" t="e">
        <f ca="1"/>
        <v>#N/A</v>
      </c>
      <c r="C175" t="e">
        <f ca="1"/>
        <v>#N/A</v>
      </c>
      <c r="D175" t="e">
        <f ca="1"/>
        <v>#N/A</v>
      </c>
      <c r="E175" t="e">
        <f ca="1"/>
        <v>#N/A</v>
      </c>
      <c r="F175" t="e">
        <f ca="1"/>
        <v>#N/A</v>
      </c>
      <c r="G175" t="e">
        <f ca="1"/>
        <v>#N/A</v>
      </c>
      <c r="H175" t="e">
        <f ca="1"/>
        <v>#N/A</v>
      </c>
      <c r="I175" t="e">
        <f ca="1"/>
        <v>#N/A</v>
      </c>
      <c r="J175" t="e">
        <f ca="1"/>
        <v>#N/A</v>
      </c>
      <c r="K175" t="e">
        <f ca="1"/>
        <v>#N/A</v>
      </c>
    </row>
    <row r="176" spans="1:11" x14ac:dyDescent="0.25">
      <c r="A176" s="2" t="e">
        <f ca="1"/>
        <v>#N/A</v>
      </c>
      <c r="C176" t="e">
        <f ca="1"/>
        <v>#N/A</v>
      </c>
      <c r="D176" t="e">
        <f ca="1"/>
        <v>#N/A</v>
      </c>
      <c r="E176" t="e">
        <f ca="1"/>
        <v>#N/A</v>
      </c>
      <c r="F176" t="e">
        <f ca="1"/>
        <v>#N/A</v>
      </c>
      <c r="G176" t="e">
        <f ca="1"/>
        <v>#N/A</v>
      </c>
      <c r="H176" t="e">
        <f ca="1"/>
        <v>#N/A</v>
      </c>
      <c r="I176" t="e">
        <f ca="1"/>
        <v>#N/A</v>
      </c>
      <c r="J176" t="e">
        <f ca="1"/>
        <v>#N/A</v>
      </c>
      <c r="K176" t="e">
        <f ca="1"/>
        <v>#N/A</v>
      </c>
    </row>
    <row r="177" spans="1:11" x14ac:dyDescent="0.25">
      <c r="A177" s="2" t="e">
        <f ca="1"/>
        <v>#N/A</v>
      </c>
      <c r="C177" t="e">
        <f ca="1"/>
        <v>#N/A</v>
      </c>
      <c r="D177" t="e">
        <f ca="1"/>
        <v>#N/A</v>
      </c>
      <c r="E177" t="e">
        <f ca="1"/>
        <v>#N/A</v>
      </c>
      <c r="F177" t="e">
        <f ca="1"/>
        <v>#N/A</v>
      </c>
      <c r="G177" t="e">
        <f ca="1"/>
        <v>#N/A</v>
      </c>
      <c r="H177" t="e">
        <f ca="1"/>
        <v>#N/A</v>
      </c>
      <c r="I177" t="e">
        <f ca="1"/>
        <v>#N/A</v>
      </c>
      <c r="J177" t="e">
        <f ca="1"/>
        <v>#N/A</v>
      </c>
      <c r="K177" t="e">
        <f ca="1"/>
        <v>#N/A</v>
      </c>
    </row>
    <row r="178" spans="1:11" x14ac:dyDescent="0.25">
      <c r="A178" s="2" t="e">
        <f ca="1"/>
        <v>#N/A</v>
      </c>
      <c r="C178" t="e">
        <f ca="1"/>
        <v>#N/A</v>
      </c>
      <c r="D178" t="e">
        <f ca="1"/>
        <v>#N/A</v>
      </c>
      <c r="E178" t="e">
        <f ca="1"/>
        <v>#N/A</v>
      </c>
      <c r="F178" t="e">
        <f ca="1"/>
        <v>#N/A</v>
      </c>
      <c r="G178" t="e">
        <f ca="1"/>
        <v>#N/A</v>
      </c>
      <c r="H178" t="e">
        <f ca="1"/>
        <v>#N/A</v>
      </c>
      <c r="I178" t="e">
        <f ca="1"/>
        <v>#N/A</v>
      </c>
      <c r="J178" t="e">
        <f ca="1"/>
        <v>#N/A</v>
      </c>
      <c r="K178" t="e">
        <f ca="1"/>
        <v>#N/A</v>
      </c>
    </row>
    <row r="179" spans="1:11" x14ac:dyDescent="0.25">
      <c r="A179" s="2" t="e">
        <f ca="1"/>
        <v>#N/A</v>
      </c>
      <c r="C179" t="e">
        <f ca="1"/>
        <v>#N/A</v>
      </c>
      <c r="D179" t="e">
        <f ca="1"/>
        <v>#N/A</v>
      </c>
      <c r="E179" t="e">
        <f ca="1"/>
        <v>#N/A</v>
      </c>
      <c r="F179" t="e">
        <f ca="1"/>
        <v>#N/A</v>
      </c>
      <c r="G179" t="e">
        <f ca="1"/>
        <v>#N/A</v>
      </c>
      <c r="H179" t="e">
        <f ca="1"/>
        <v>#N/A</v>
      </c>
      <c r="I179" t="e">
        <f ca="1"/>
        <v>#N/A</v>
      </c>
      <c r="J179" t="e">
        <f ca="1"/>
        <v>#N/A</v>
      </c>
      <c r="K179" t="e">
        <f ca="1"/>
        <v>#N/A</v>
      </c>
    </row>
    <row r="180" spans="1:11" x14ac:dyDescent="0.25">
      <c r="A180" s="2" t="e">
        <f ca="1"/>
        <v>#N/A</v>
      </c>
      <c r="C180" t="e">
        <f ca="1"/>
        <v>#N/A</v>
      </c>
      <c r="D180" t="e">
        <f ca="1"/>
        <v>#N/A</v>
      </c>
      <c r="E180" t="e">
        <f ca="1"/>
        <v>#N/A</v>
      </c>
      <c r="F180" t="e">
        <f ca="1"/>
        <v>#N/A</v>
      </c>
      <c r="G180" t="e">
        <f ca="1"/>
        <v>#N/A</v>
      </c>
      <c r="H180" t="e">
        <f ca="1"/>
        <v>#N/A</v>
      </c>
      <c r="I180" t="e">
        <f ca="1"/>
        <v>#N/A</v>
      </c>
      <c r="J180" t="e">
        <f ca="1"/>
        <v>#N/A</v>
      </c>
      <c r="K180" t="e">
        <f ca="1"/>
        <v>#N/A</v>
      </c>
    </row>
    <row r="181" spans="1:11" x14ac:dyDescent="0.25">
      <c r="A181" s="2" t="e">
        <f ca="1"/>
        <v>#N/A</v>
      </c>
      <c r="C181" t="e">
        <f ca="1"/>
        <v>#N/A</v>
      </c>
      <c r="D181" t="e">
        <f ca="1"/>
        <v>#N/A</v>
      </c>
      <c r="E181" t="e">
        <f ca="1"/>
        <v>#N/A</v>
      </c>
      <c r="F181" t="e">
        <f ca="1"/>
        <v>#N/A</v>
      </c>
      <c r="G181" t="e">
        <f ca="1"/>
        <v>#N/A</v>
      </c>
      <c r="H181" t="e">
        <f ca="1"/>
        <v>#N/A</v>
      </c>
      <c r="I181" t="e">
        <f ca="1"/>
        <v>#N/A</v>
      </c>
      <c r="J181" t="e">
        <f ca="1"/>
        <v>#N/A</v>
      </c>
      <c r="K181" t="e">
        <f ca="1"/>
        <v>#N/A</v>
      </c>
    </row>
    <row r="182" spans="1:11" x14ac:dyDescent="0.25">
      <c r="A182" s="2" t="e">
        <f ca="1"/>
        <v>#N/A</v>
      </c>
      <c r="C182" t="e">
        <f ca="1"/>
        <v>#N/A</v>
      </c>
      <c r="D182" t="e">
        <f ca="1"/>
        <v>#N/A</v>
      </c>
      <c r="E182" t="e">
        <f ca="1"/>
        <v>#N/A</v>
      </c>
      <c r="F182" t="e">
        <f ca="1"/>
        <v>#N/A</v>
      </c>
      <c r="G182" t="e">
        <f ca="1"/>
        <v>#N/A</v>
      </c>
      <c r="H182" t="e">
        <f ca="1"/>
        <v>#N/A</v>
      </c>
      <c r="I182" t="e">
        <f ca="1"/>
        <v>#N/A</v>
      </c>
      <c r="J182" t="e">
        <f ca="1"/>
        <v>#N/A</v>
      </c>
      <c r="K182" t="e">
        <f ca="1"/>
        <v>#N/A</v>
      </c>
    </row>
    <row r="183" spans="1:11" x14ac:dyDescent="0.25">
      <c r="A183" s="2" t="e">
        <f ca="1"/>
        <v>#N/A</v>
      </c>
      <c r="C183" t="e">
        <f ca="1"/>
        <v>#N/A</v>
      </c>
      <c r="D183" t="e">
        <f ca="1"/>
        <v>#N/A</v>
      </c>
      <c r="E183" t="e">
        <f ca="1"/>
        <v>#N/A</v>
      </c>
      <c r="F183" t="e">
        <f ca="1"/>
        <v>#N/A</v>
      </c>
      <c r="G183" t="e">
        <f ca="1"/>
        <v>#N/A</v>
      </c>
      <c r="H183" t="e">
        <f ca="1"/>
        <v>#N/A</v>
      </c>
      <c r="I183" t="e">
        <f ca="1"/>
        <v>#N/A</v>
      </c>
      <c r="J183" t="e">
        <f ca="1"/>
        <v>#N/A</v>
      </c>
      <c r="K183" t="e">
        <f ca="1"/>
        <v>#N/A</v>
      </c>
    </row>
    <row r="184" spans="1:11" x14ac:dyDescent="0.25">
      <c r="A184" s="2" t="e">
        <f ca="1"/>
        <v>#N/A</v>
      </c>
      <c r="C184" t="e">
        <f ca="1"/>
        <v>#N/A</v>
      </c>
      <c r="D184" t="e">
        <f ca="1"/>
        <v>#N/A</v>
      </c>
      <c r="E184" t="e">
        <f ca="1"/>
        <v>#N/A</v>
      </c>
      <c r="F184" t="e">
        <f ca="1"/>
        <v>#N/A</v>
      </c>
      <c r="G184" t="e">
        <f ca="1"/>
        <v>#N/A</v>
      </c>
      <c r="H184" t="e">
        <f ca="1"/>
        <v>#N/A</v>
      </c>
      <c r="I184" t="e">
        <f ca="1"/>
        <v>#N/A</v>
      </c>
      <c r="J184" t="e">
        <f ca="1"/>
        <v>#N/A</v>
      </c>
      <c r="K184" t="e">
        <f ca="1"/>
        <v>#N/A</v>
      </c>
    </row>
    <row r="185" spans="1:11" x14ac:dyDescent="0.25">
      <c r="A185" s="2" t="e">
        <f ca="1"/>
        <v>#N/A</v>
      </c>
      <c r="C185" t="e">
        <f ca="1"/>
        <v>#N/A</v>
      </c>
      <c r="D185" t="e">
        <f ca="1"/>
        <v>#N/A</v>
      </c>
      <c r="E185" t="e">
        <f ca="1"/>
        <v>#N/A</v>
      </c>
      <c r="F185" t="e">
        <f ca="1"/>
        <v>#N/A</v>
      </c>
      <c r="G185" t="e">
        <f ca="1"/>
        <v>#N/A</v>
      </c>
      <c r="H185" t="e">
        <f ca="1"/>
        <v>#N/A</v>
      </c>
      <c r="I185" t="e">
        <f ca="1"/>
        <v>#N/A</v>
      </c>
      <c r="J185" t="e">
        <f ca="1"/>
        <v>#N/A</v>
      </c>
      <c r="K185" t="e">
        <f ca="1"/>
        <v>#N/A</v>
      </c>
    </row>
    <row r="186" spans="1:11" x14ac:dyDescent="0.25">
      <c r="A186" s="2" t="e">
        <f ca="1"/>
        <v>#N/A</v>
      </c>
      <c r="C186" t="e">
        <f ca="1"/>
        <v>#N/A</v>
      </c>
      <c r="D186" t="e">
        <f ca="1"/>
        <v>#N/A</v>
      </c>
      <c r="E186" t="e">
        <f ca="1"/>
        <v>#N/A</v>
      </c>
      <c r="F186" t="e">
        <f ca="1"/>
        <v>#N/A</v>
      </c>
      <c r="G186" t="e">
        <f ca="1"/>
        <v>#N/A</v>
      </c>
      <c r="H186" t="e">
        <f ca="1"/>
        <v>#N/A</v>
      </c>
      <c r="I186" t="e">
        <f ca="1"/>
        <v>#N/A</v>
      </c>
      <c r="J186" t="e">
        <f ca="1"/>
        <v>#N/A</v>
      </c>
      <c r="K186" t="e">
        <f ca="1"/>
        <v>#N/A</v>
      </c>
    </row>
    <row r="187" spans="1:11" x14ac:dyDescent="0.25">
      <c r="A187" s="2" t="e">
        <f ca="1"/>
        <v>#N/A</v>
      </c>
      <c r="C187" t="e">
        <f ca="1"/>
        <v>#N/A</v>
      </c>
      <c r="D187" t="e">
        <f ca="1"/>
        <v>#N/A</v>
      </c>
      <c r="E187" t="e">
        <f ca="1"/>
        <v>#N/A</v>
      </c>
      <c r="F187" t="e">
        <f ca="1"/>
        <v>#N/A</v>
      </c>
      <c r="G187" t="e">
        <f ca="1"/>
        <v>#N/A</v>
      </c>
      <c r="H187" t="e">
        <f ca="1"/>
        <v>#N/A</v>
      </c>
      <c r="I187" t="e">
        <f ca="1"/>
        <v>#N/A</v>
      </c>
      <c r="J187" t="e">
        <f ca="1"/>
        <v>#N/A</v>
      </c>
      <c r="K187" t="e">
        <f ca="1"/>
        <v>#N/A</v>
      </c>
    </row>
    <row r="188" spans="1:11" x14ac:dyDescent="0.25">
      <c r="A188" s="2" t="e">
        <f ca="1"/>
        <v>#N/A</v>
      </c>
      <c r="C188" t="e">
        <f ca="1"/>
        <v>#N/A</v>
      </c>
      <c r="D188" t="e">
        <f ca="1"/>
        <v>#N/A</v>
      </c>
      <c r="E188" t="e">
        <f ca="1"/>
        <v>#N/A</v>
      </c>
      <c r="F188" t="e">
        <f ca="1"/>
        <v>#N/A</v>
      </c>
      <c r="G188" t="e">
        <f ca="1"/>
        <v>#N/A</v>
      </c>
      <c r="H188" t="e">
        <f ca="1"/>
        <v>#N/A</v>
      </c>
      <c r="I188" t="e">
        <f ca="1"/>
        <v>#N/A</v>
      </c>
      <c r="J188" t="e">
        <f ca="1"/>
        <v>#N/A</v>
      </c>
      <c r="K188" t="e">
        <f ca="1"/>
        <v>#N/A</v>
      </c>
    </row>
    <row r="189" spans="1:11" x14ac:dyDescent="0.25">
      <c r="A189" s="2" t="e">
        <f ca="1"/>
        <v>#N/A</v>
      </c>
      <c r="C189" t="e">
        <f ca="1"/>
        <v>#N/A</v>
      </c>
      <c r="D189" t="e">
        <f ca="1"/>
        <v>#N/A</v>
      </c>
      <c r="E189" t="e">
        <f ca="1"/>
        <v>#N/A</v>
      </c>
      <c r="F189" t="e">
        <f ca="1"/>
        <v>#N/A</v>
      </c>
      <c r="G189" t="e">
        <f ca="1"/>
        <v>#N/A</v>
      </c>
      <c r="H189" t="e">
        <f ca="1"/>
        <v>#N/A</v>
      </c>
      <c r="I189" t="e">
        <f ca="1"/>
        <v>#N/A</v>
      </c>
      <c r="J189" t="e">
        <f ca="1"/>
        <v>#N/A</v>
      </c>
      <c r="K189" t="e">
        <f ca="1"/>
        <v>#N/A</v>
      </c>
    </row>
    <row r="190" spans="1:11" x14ac:dyDescent="0.25">
      <c r="A190" s="2" t="e">
        <f ca="1"/>
        <v>#N/A</v>
      </c>
      <c r="C190" t="e">
        <f ca="1"/>
        <v>#N/A</v>
      </c>
      <c r="D190" t="e">
        <f ca="1"/>
        <v>#N/A</v>
      </c>
      <c r="E190" t="e">
        <f ca="1"/>
        <v>#N/A</v>
      </c>
      <c r="F190" t="e">
        <f ca="1"/>
        <v>#N/A</v>
      </c>
      <c r="G190" t="e">
        <f ca="1"/>
        <v>#N/A</v>
      </c>
      <c r="H190" t="e">
        <f ca="1"/>
        <v>#N/A</v>
      </c>
      <c r="I190" t="e">
        <f ca="1"/>
        <v>#N/A</v>
      </c>
      <c r="J190" t="e">
        <f ca="1"/>
        <v>#N/A</v>
      </c>
      <c r="K190" t="e">
        <f ca="1"/>
        <v>#N/A</v>
      </c>
    </row>
    <row r="191" spans="1:11" x14ac:dyDescent="0.25">
      <c r="A191" s="2" t="e">
        <f ca="1"/>
        <v>#N/A</v>
      </c>
      <c r="C191" t="e">
        <f ca="1"/>
        <v>#N/A</v>
      </c>
      <c r="D191" t="e">
        <f ca="1"/>
        <v>#N/A</v>
      </c>
      <c r="E191" t="e">
        <f ca="1"/>
        <v>#N/A</v>
      </c>
      <c r="F191" t="e">
        <f ca="1"/>
        <v>#N/A</v>
      </c>
      <c r="G191" t="e">
        <f ca="1"/>
        <v>#N/A</v>
      </c>
      <c r="H191" t="e">
        <f ca="1"/>
        <v>#N/A</v>
      </c>
      <c r="I191" t="e">
        <f ca="1"/>
        <v>#N/A</v>
      </c>
      <c r="J191" t="e">
        <f ca="1"/>
        <v>#N/A</v>
      </c>
      <c r="K191" t="e">
        <f ca="1"/>
        <v>#N/A</v>
      </c>
    </row>
    <row r="192" spans="1:11" x14ac:dyDescent="0.25">
      <c r="A192" s="2" t="e">
        <f ca="1"/>
        <v>#N/A</v>
      </c>
      <c r="C192" t="e">
        <f ca="1"/>
        <v>#N/A</v>
      </c>
      <c r="D192" t="e">
        <f ca="1"/>
        <v>#N/A</v>
      </c>
      <c r="E192" t="e">
        <f ca="1"/>
        <v>#N/A</v>
      </c>
      <c r="F192" t="e">
        <f ca="1"/>
        <v>#N/A</v>
      </c>
      <c r="G192" t="e">
        <f ca="1"/>
        <v>#N/A</v>
      </c>
      <c r="H192" t="e">
        <f ca="1"/>
        <v>#N/A</v>
      </c>
      <c r="I192" t="e">
        <f ca="1"/>
        <v>#N/A</v>
      </c>
      <c r="J192" t="e">
        <f ca="1"/>
        <v>#N/A</v>
      </c>
      <c r="K192" t="e">
        <f ca="1"/>
        <v>#N/A</v>
      </c>
    </row>
    <row r="193" spans="1:11" x14ac:dyDescent="0.25">
      <c r="A193" s="2" t="e">
        <f ca="1"/>
        <v>#N/A</v>
      </c>
      <c r="C193" t="e">
        <f ca="1"/>
        <v>#N/A</v>
      </c>
      <c r="D193" t="e">
        <f ca="1"/>
        <v>#N/A</v>
      </c>
      <c r="E193" t="e">
        <f ca="1"/>
        <v>#N/A</v>
      </c>
      <c r="F193" t="e">
        <f ca="1"/>
        <v>#N/A</v>
      </c>
      <c r="G193" t="e">
        <f ca="1"/>
        <v>#N/A</v>
      </c>
      <c r="H193" t="e">
        <f ca="1"/>
        <v>#N/A</v>
      </c>
      <c r="I193" t="e">
        <f ca="1"/>
        <v>#N/A</v>
      </c>
      <c r="J193" t="e">
        <f ca="1"/>
        <v>#N/A</v>
      </c>
      <c r="K193" t="e">
        <f ca="1"/>
        <v>#N/A</v>
      </c>
    </row>
    <row r="194" spans="1:11" x14ac:dyDescent="0.25">
      <c r="A194" s="2" t="e">
        <f ca="1"/>
        <v>#N/A</v>
      </c>
      <c r="C194" t="e">
        <f ca="1"/>
        <v>#N/A</v>
      </c>
      <c r="D194" t="e">
        <f ca="1"/>
        <v>#N/A</v>
      </c>
      <c r="E194" t="e">
        <f ca="1"/>
        <v>#N/A</v>
      </c>
      <c r="F194" t="e">
        <f ca="1"/>
        <v>#N/A</v>
      </c>
      <c r="G194" t="e">
        <f ca="1"/>
        <v>#N/A</v>
      </c>
      <c r="H194" t="e">
        <f ca="1"/>
        <v>#N/A</v>
      </c>
      <c r="I194" t="e">
        <f ca="1"/>
        <v>#N/A</v>
      </c>
      <c r="J194" t="e">
        <f ca="1"/>
        <v>#N/A</v>
      </c>
      <c r="K194" t="e">
        <f ca="1"/>
        <v>#N/A</v>
      </c>
    </row>
    <row r="195" spans="1:11" x14ac:dyDescent="0.25">
      <c r="A195" s="2" t="e">
        <f ca="1"/>
        <v>#N/A</v>
      </c>
      <c r="C195" t="e">
        <f ca="1"/>
        <v>#N/A</v>
      </c>
      <c r="D195" t="e">
        <f ca="1"/>
        <v>#N/A</v>
      </c>
      <c r="E195" t="e">
        <f ca="1"/>
        <v>#N/A</v>
      </c>
      <c r="F195" t="e">
        <f ca="1"/>
        <v>#N/A</v>
      </c>
      <c r="G195" t="e">
        <f ca="1"/>
        <v>#N/A</v>
      </c>
      <c r="H195" t="e">
        <f ca="1"/>
        <v>#N/A</v>
      </c>
      <c r="I195" t="e">
        <f ca="1"/>
        <v>#N/A</v>
      </c>
      <c r="J195" t="e">
        <f ca="1"/>
        <v>#N/A</v>
      </c>
      <c r="K195" t="e">
        <f ca="1"/>
        <v>#N/A</v>
      </c>
    </row>
    <row r="196" spans="1:11" x14ac:dyDescent="0.25">
      <c r="A196" s="2" t="e">
        <f ca="1"/>
        <v>#N/A</v>
      </c>
      <c r="C196" t="e">
        <f ca="1"/>
        <v>#N/A</v>
      </c>
      <c r="D196" t="e">
        <f ca="1"/>
        <v>#N/A</v>
      </c>
      <c r="E196" t="e">
        <f ca="1"/>
        <v>#N/A</v>
      </c>
      <c r="F196" t="e">
        <f ca="1"/>
        <v>#N/A</v>
      </c>
      <c r="G196" t="e">
        <f ca="1"/>
        <v>#N/A</v>
      </c>
      <c r="H196" t="e">
        <f ca="1"/>
        <v>#N/A</v>
      </c>
      <c r="I196" t="e">
        <f ca="1"/>
        <v>#N/A</v>
      </c>
      <c r="J196" t="e">
        <f ca="1"/>
        <v>#N/A</v>
      </c>
      <c r="K196" t="e">
        <f ca="1"/>
        <v>#N/A</v>
      </c>
    </row>
    <row r="197" spans="1:11" x14ac:dyDescent="0.25">
      <c r="A197" s="2" t="e">
        <f ca="1"/>
        <v>#N/A</v>
      </c>
      <c r="C197" t="e">
        <f ca="1"/>
        <v>#N/A</v>
      </c>
      <c r="D197" t="e">
        <f ca="1"/>
        <v>#N/A</v>
      </c>
      <c r="E197" t="e">
        <f ca="1"/>
        <v>#N/A</v>
      </c>
      <c r="F197" t="e">
        <f ca="1"/>
        <v>#N/A</v>
      </c>
      <c r="G197" t="e">
        <f ca="1"/>
        <v>#N/A</v>
      </c>
      <c r="H197" t="e">
        <f ca="1"/>
        <v>#N/A</v>
      </c>
      <c r="I197" t="e">
        <f ca="1"/>
        <v>#N/A</v>
      </c>
      <c r="J197" t="e">
        <f ca="1"/>
        <v>#N/A</v>
      </c>
      <c r="K197" t="e">
        <f ca="1"/>
        <v>#N/A</v>
      </c>
    </row>
    <row r="198" spans="1:11" x14ac:dyDescent="0.25">
      <c r="A198" s="2" t="e">
        <f ca="1"/>
        <v>#N/A</v>
      </c>
      <c r="C198" t="e">
        <f ca="1"/>
        <v>#N/A</v>
      </c>
      <c r="D198" t="e">
        <f ca="1"/>
        <v>#N/A</v>
      </c>
      <c r="E198" t="e">
        <f ca="1"/>
        <v>#N/A</v>
      </c>
      <c r="F198" t="e">
        <f ca="1"/>
        <v>#N/A</v>
      </c>
      <c r="G198" t="e">
        <f ca="1"/>
        <v>#N/A</v>
      </c>
      <c r="H198" t="e">
        <f ca="1"/>
        <v>#N/A</v>
      </c>
      <c r="I198" t="e">
        <f ca="1"/>
        <v>#N/A</v>
      </c>
      <c r="J198" t="e">
        <f ca="1"/>
        <v>#N/A</v>
      </c>
      <c r="K198" t="e">
        <f ca="1"/>
        <v>#N/A</v>
      </c>
    </row>
    <row r="199" spans="1:11" x14ac:dyDescent="0.25">
      <c r="A199" s="2" t="e">
        <f ca="1"/>
        <v>#N/A</v>
      </c>
      <c r="C199" t="e">
        <f ca="1"/>
        <v>#N/A</v>
      </c>
      <c r="D199" t="e">
        <f ca="1"/>
        <v>#N/A</v>
      </c>
      <c r="E199" t="e">
        <f ca="1"/>
        <v>#N/A</v>
      </c>
      <c r="F199" t="e">
        <f ca="1"/>
        <v>#N/A</v>
      </c>
      <c r="G199" t="e">
        <f ca="1"/>
        <v>#N/A</v>
      </c>
      <c r="H199" t="e">
        <f ca="1"/>
        <v>#N/A</v>
      </c>
      <c r="I199" t="e">
        <f ca="1"/>
        <v>#N/A</v>
      </c>
      <c r="J199" t="e">
        <f ca="1"/>
        <v>#N/A</v>
      </c>
      <c r="K199" t="e">
        <f ca="1"/>
        <v>#N/A</v>
      </c>
    </row>
    <row r="200" spans="1:11" x14ac:dyDescent="0.25">
      <c r="A200" s="2" t="e">
        <f ca="1"/>
        <v>#N/A</v>
      </c>
      <c r="C200" t="e">
        <f ca="1"/>
        <v>#N/A</v>
      </c>
      <c r="D200" t="e">
        <f ca="1"/>
        <v>#N/A</v>
      </c>
      <c r="E200" t="e">
        <f ca="1"/>
        <v>#N/A</v>
      </c>
      <c r="F200" t="e">
        <f ca="1"/>
        <v>#N/A</v>
      </c>
      <c r="G200" t="e">
        <f ca="1"/>
        <v>#N/A</v>
      </c>
      <c r="H200" t="e">
        <f ca="1"/>
        <v>#N/A</v>
      </c>
      <c r="I200" t="e">
        <f ca="1"/>
        <v>#N/A</v>
      </c>
      <c r="J200" t="e">
        <f ca="1"/>
        <v>#N/A</v>
      </c>
      <c r="K200" t="e">
        <f ca="1"/>
        <v>#N/A</v>
      </c>
    </row>
    <row r="201" spans="1:11" x14ac:dyDescent="0.25">
      <c r="A201" s="2" t="e">
        <f ca="1"/>
        <v>#N/A</v>
      </c>
      <c r="C201" t="e">
        <f ca="1"/>
        <v>#N/A</v>
      </c>
      <c r="D201" t="e">
        <f ca="1"/>
        <v>#N/A</v>
      </c>
      <c r="E201" t="e">
        <f ca="1"/>
        <v>#N/A</v>
      </c>
      <c r="F201" t="e">
        <f ca="1"/>
        <v>#N/A</v>
      </c>
      <c r="G201" t="e">
        <f ca="1"/>
        <v>#N/A</v>
      </c>
      <c r="H201" t="e">
        <f ca="1"/>
        <v>#N/A</v>
      </c>
      <c r="I201" t="e">
        <f ca="1"/>
        <v>#N/A</v>
      </c>
      <c r="J201" t="e">
        <f ca="1"/>
        <v>#N/A</v>
      </c>
      <c r="K201" t="e">
        <f ca="1"/>
        <v>#N/A</v>
      </c>
    </row>
    <row r="202" spans="1:11" x14ac:dyDescent="0.25">
      <c r="A202" s="2" t="e">
        <f ca="1"/>
        <v>#N/A</v>
      </c>
      <c r="C202" t="e">
        <f ca="1"/>
        <v>#N/A</v>
      </c>
      <c r="D202" t="e">
        <f ca="1"/>
        <v>#N/A</v>
      </c>
      <c r="E202" t="e">
        <f ca="1"/>
        <v>#N/A</v>
      </c>
      <c r="F202" t="e">
        <f ca="1"/>
        <v>#N/A</v>
      </c>
      <c r="G202" t="e">
        <f ca="1"/>
        <v>#N/A</v>
      </c>
      <c r="H202" t="e">
        <f ca="1"/>
        <v>#N/A</v>
      </c>
      <c r="I202" t="e">
        <f ca="1"/>
        <v>#N/A</v>
      </c>
      <c r="J202" t="e">
        <f ca="1"/>
        <v>#N/A</v>
      </c>
      <c r="K202" t="e">
        <f ca="1"/>
        <v>#N/A</v>
      </c>
    </row>
    <row r="203" spans="1:11" x14ac:dyDescent="0.25">
      <c r="A203" s="2" t="e">
        <f ca="1"/>
        <v>#N/A</v>
      </c>
      <c r="C203" t="e">
        <f ca="1"/>
        <v>#N/A</v>
      </c>
      <c r="D203" t="e">
        <f ca="1"/>
        <v>#N/A</v>
      </c>
      <c r="E203" t="e">
        <f ca="1"/>
        <v>#N/A</v>
      </c>
      <c r="F203" t="e">
        <f ca="1"/>
        <v>#N/A</v>
      </c>
      <c r="G203" t="e">
        <f ca="1"/>
        <v>#N/A</v>
      </c>
      <c r="H203" t="e">
        <f ca="1"/>
        <v>#N/A</v>
      </c>
      <c r="I203" t="e">
        <f ca="1"/>
        <v>#N/A</v>
      </c>
      <c r="J203" t="e">
        <f ca="1"/>
        <v>#N/A</v>
      </c>
      <c r="K203" t="e">
        <f ca="1"/>
        <v>#N/A</v>
      </c>
    </row>
    <row r="204" spans="1:11" x14ac:dyDescent="0.25">
      <c r="A204" s="2" t="e">
        <f ca="1"/>
        <v>#N/A</v>
      </c>
      <c r="C204" t="e">
        <f ca="1"/>
        <v>#N/A</v>
      </c>
      <c r="D204" t="e">
        <f ca="1"/>
        <v>#N/A</v>
      </c>
      <c r="E204" t="e">
        <f ca="1"/>
        <v>#N/A</v>
      </c>
      <c r="F204" t="e">
        <f ca="1"/>
        <v>#N/A</v>
      </c>
      <c r="G204" t="e">
        <f ca="1"/>
        <v>#N/A</v>
      </c>
      <c r="H204" t="e">
        <f ca="1"/>
        <v>#N/A</v>
      </c>
      <c r="I204" t="e">
        <f ca="1"/>
        <v>#N/A</v>
      </c>
      <c r="J204" t="e">
        <f ca="1"/>
        <v>#N/A</v>
      </c>
      <c r="K204" t="e">
        <f ca="1"/>
        <v>#N/A</v>
      </c>
    </row>
    <row r="205" spans="1:11" x14ac:dyDescent="0.25">
      <c r="A205" s="2" t="e">
        <f ca="1"/>
        <v>#N/A</v>
      </c>
      <c r="C205" t="e">
        <f ca="1"/>
        <v>#N/A</v>
      </c>
      <c r="D205" t="e">
        <f ca="1"/>
        <v>#N/A</v>
      </c>
      <c r="E205" t="e">
        <f ca="1"/>
        <v>#N/A</v>
      </c>
      <c r="F205" t="e">
        <f ca="1"/>
        <v>#N/A</v>
      </c>
      <c r="G205" t="e">
        <f ca="1"/>
        <v>#N/A</v>
      </c>
      <c r="H205" t="e">
        <f ca="1"/>
        <v>#N/A</v>
      </c>
      <c r="I205" t="e">
        <f ca="1"/>
        <v>#N/A</v>
      </c>
      <c r="J205" t="e">
        <f ca="1"/>
        <v>#N/A</v>
      </c>
      <c r="K205" t="e">
        <f ca="1"/>
        <v>#N/A</v>
      </c>
    </row>
    <row r="206" spans="1:11" x14ac:dyDescent="0.25">
      <c r="A206" s="2" t="e">
        <f ca="1"/>
        <v>#N/A</v>
      </c>
      <c r="C206" t="e">
        <f ca="1"/>
        <v>#N/A</v>
      </c>
      <c r="D206" t="e">
        <f ca="1"/>
        <v>#N/A</v>
      </c>
      <c r="E206" t="e">
        <f ca="1"/>
        <v>#N/A</v>
      </c>
      <c r="F206" t="e">
        <f ca="1"/>
        <v>#N/A</v>
      </c>
      <c r="G206" t="e">
        <f ca="1"/>
        <v>#N/A</v>
      </c>
      <c r="H206" t="e">
        <f ca="1"/>
        <v>#N/A</v>
      </c>
      <c r="I206" t="e">
        <f ca="1"/>
        <v>#N/A</v>
      </c>
      <c r="J206" t="e">
        <f ca="1"/>
        <v>#N/A</v>
      </c>
      <c r="K206" t="e">
        <f ca="1"/>
        <v>#N/A</v>
      </c>
    </row>
    <row r="207" spans="1:11" x14ac:dyDescent="0.25">
      <c r="A207" s="2" t="e">
        <f ca="1"/>
        <v>#N/A</v>
      </c>
      <c r="C207" t="e">
        <f ca="1"/>
        <v>#N/A</v>
      </c>
      <c r="D207" t="e">
        <f ca="1"/>
        <v>#N/A</v>
      </c>
      <c r="E207" t="e">
        <f ca="1"/>
        <v>#N/A</v>
      </c>
      <c r="F207" t="e">
        <f ca="1"/>
        <v>#N/A</v>
      </c>
      <c r="G207" t="e">
        <f ca="1"/>
        <v>#N/A</v>
      </c>
      <c r="H207" t="e">
        <f ca="1"/>
        <v>#N/A</v>
      </c>
      <c r="I207" t="e">
        <f ca="1"/>
        <v>#N/A</v>
      </c>
      <c r="J207" t="e">
        <f ca="1"/>
        <v>#N/A</v>
      </c>
      <c r="K207" t="e">
        <f ca="1"/>
        <v>#N/A</v>
      </c>
    </row>
    <row r="208" spans="1:11" x14ac:dyDescent="0.25">
      <c r="A208" s="2" t="e">
        <f ca="1"/>
        <v>#N/A</v>
      </c>
      <c r="C208" t="e">
        <f ca="1"/>
        <v>#N/A</v>
      </c>
      <c r="D208" t="e">
        <f ca="1"/>
        <v>#N/A</v>
      </c>
      <c r="E208" t="e">
        <f ca="1"/>
        <v>#N/A</v>
      </c>
      <c r="F208" t="e">
        <f ca="1"/>
        <v>#N/A</v>
      </c>
      <c r="G208" t="e">
        <f ca="1"/>
        <v>#N/A</v>
      </c>
      <c r="H208" t="e">
        <f ca="1"/>
        <v>#N/A</v>
      </c>
      <c r="I208" t="e">
        <f ca="1"/>
        <v>#N/A</v>
      </c>
      <c r="J208" t="e">
        <f ca="1"/>
        <v>#N/A</v>
      </c>
      <c r="K208" t="e">
        <f ca="1"/>
        <v>#N/A</v>
      </c>
    </row>
    <row r="209" spans="1:11" x14ac:dyDescent="0.25">
      <c r="A209" s="2" t="e">
        <f ca="1"/>
        <v>#N/A</v>
      </c>
      <c r="C209" t="e">
        <f ca="1"/>
        <v>#N/A</v>
      </c>
      <c r="D209" t="e">
        <f ca="1"/>
        <v>#N/A</v>
      </c>
      <c r="E209" t="e">
        <f ca="1"/>
        <v>#N/A</v>
      </c>
      <c r="F209" t="e">
        <f ca="1"/>
        <v>#N/A</v>
      </c>
      <c r="G209" t="e">
        <f ca="1"/>
        <v>#N/A</v>
      </c>
      <c r="H209" t="e">
        <f ca="1"/>
        <v>#N/A</v>
      </c>
      <c r="I209" t="e">
        <f ca="1"/>
        <v>#N/A</v>
      </c>
      <c r="J209" t="e">
        <f ca="1"/>
        <v>#N/A</v>
      </c>
      <c r="K209" t="e">
        <f ca="1"/>
        <v>#N/A</v>
      </c>
    </row>
    <row r="210" spans="1:11" x14ac:dyDescent="0.25">
      <c r="A210" s="2" t="e">
        <f ca="1"/>
        <v>#N/A</v>
      </c>
      <c r="C210" t="e">
        <f ca="1"/>
        <v>#N/A</v>
      </c>
      <c r="D210" t="e">
        <f ca="1"/>
        <v>#N/A</v>
      </c>
      <c r="E210" t="e">
        <f ca="1"/>
        <v>#N/A</v>
      </c>
      <c r="F210" t="e">
        <f ca="1"/>
        <v>#N/A</v>
      </c>
      <c r="G210" t="e">
        <f ca="1"/>
        <v>#N/A</v>
      </c>
      <c r="H210" t="e">
        <f ca="1"/>
        <v>#N/A</v>
      </c>
      <c r="I210" t="e">
        <f ca="1"/>
        <v>#N/A</v>
      </c>
      <c r="J210" t="e">
        <f ca="1"/>
        <v>#N/A</v>
      </c>
      <c r="K210" t="e">
        <f ca="1"/>
        <v>#N/A</v>
      </c>
    </row>
    <row r="211" spans="1:11" x14ac:dyDescent="0.25">
      <c r="A211" s="2" t="e">
        <f ca="1"/>
        <v>#N/A</v>
      </c>
      <c r="C211" t="e">
        <f ca="1"/>
        <v>#N/A</v>
      </c>
      <c r="D211" t="e">
        <f ca="1"/>
        <v>#N/A</v>
      </c>
      <c r="E211" t="e">
        <f ca="1"/>
        <v>#N/A</v>
      </c>
      <c r="F211" t="e">
        <f ca="1"/>
        <v>#N/A</v>
      </c>
      <c r="G211" t="e">
        <f ca="1"/>
        <v>#N/A</v>
      </c>
      <c r="H211" t="e">
        <f ca="1"/>
        <v>#N/A</v>
      </c>
      <c r="I211" t="e">
        <f ca="1"/>
        <v>#N/A</v>
      </c>
      <c r="J211" t="e">
        <f ca="1"/>
        <v>#N/A</v>
      </c>
      <c r="K211" t="e">
        <f ca="1"/>
        <v>#N/A</v>
      </c>
    </row>
    <row r="212" spans="1:11" x14ac:dyDescent="0.25">
      <c r="A212" s="2" t="e">
        <f ca="1"/>
        <v>#N/A</v>
      </c>
      <c r="C212" t="e">
        <f ca="1"/>
        <v>#N/A</v>
      </c>
      <c r="D212" t="e">
        <f ca="1"/>
        <v>#N/A</v>
      </c>
      <c r="E212" t="e">
        <f ca="1"/>
        <v>#N/A</v>
      </c>
      <c r="F212" t="e">
        <f ca="1"/>
        <v>#N/A</v>
      </c>
      <c r="G212" t="e">
        <f ca="1"/>
        <v>#N/A</v>
      </c>
      <c r="H212" t="e">
        <f ca="1"/>
        <v>#N/A</v>
      </c>
      <c r="I212" t="e">
        <f ca="1"/>
        <v>#N/A</v>
      </c>
      <c r="J212" t="e">
        <f ca="1"/>
        <v>#N/A</v>
      </c>
      <c r="K212" t="e">
        <f ca="1"/>
        <v>#N/A</v>
      </c>
    </row>
    <row r="213" spans="1:11" x14ac:dyDescent="0.25">
      <c r="A213" s="2" t="e">
        <f ca="1"/>
        <v>#N/A</v>
      </c>
      <c r="C213" t="e">
        <f ca="1"/>
        <v>#N/A</v>
      </c>
      <c r="D213" t="e">
        <f ca="1"/>
        <v>#N/A</v>
      </c>
      <c r="E213" t="e">
        <f ca="1"/>
        <v>#N/A</v>
      </c>
      <c r="F213" t="e">
        <f ca="1"/>
        <v>#N/A</v>
      </c>
      <c r="G213" t="e">
        <f ca="1"/>
        <v>#N/A</v>
      </c>
      <c r="H213" t="e">
        <f ca="1"/>
        <v>#N/A</v>
      </c>
      <c r="I213" t="e">
        <f ca="1"/>
        <v>#N/A</v>
      </c>
      <c r="J213" t="e">
        <f ca="1"/>
        <v>#N/A</v>
      </c>
      <c r="K213" t="e">
        <f ca="1"/>
        <v>#N/A</v>
      </c>
    </row>
    <row r="214" spans="1:11" x14ac:dyDescent="0.25">
      <c r="A214" s="2" t="e">
        <f ca="1"/>
        <v>#N/A</v>
      </c>
      <c r="C214" t="e">
        <f ca="1"/>
        <v>#N/A</v>
      </c>
      <c r="D214" t="e">
        <f ca="1"/>
        <v>#N/A</v>
      </c>
      <c r="E214" t="e">
        <f ca="1"/>
        <v>#N/A</v>
      </c>
      <c r="F214" t="e">
        <f ca="1"/>
        <v>#N/A</v>
      </c>
      <c r="G214" t="e">
        <f ca="1"/>
        <v>#N/A</v>
      </c>
      <c r="H214" t="e">
        <f ca="1"/>
        <v>#N/A</v>
      </c>
      <c r="I214" t="e">
        <f ca="1"/>
        <v>#N/A</v>
      </c>
      <c r="J214" t="e">
        <f ca="1"/>
        <v>#N/A</v>
      </c>
      <c r="K214" t="e">
        <f ca="1"/>
        <v>#N/A</v>
      </c>
    </row>
    <row r="215" spans="1:11" x14ac:dyDescent="0.25">
      <c r="A215" s="2" t="e">
        <f ca="1"/>
        <v>#N/A</v>
      </c>
      <c r="C215" t="e">
        <f ca="1"/>
        <v>#N/A</v>
      </c>
      <c r="D215" t="e">
        <f ca="1"/>
        <v>#N/A</v>
      </c>
      <c r="E215" t="e">
        <f ca="1"/>
        <v>#N/A</v>
      </c>
      <c r="F215" t="e">
        <f ca="1"/>
        <v>#N/A</v>
      </c>
      <c r="G215" t="e">
        <f ca="1"/>
        <v>#N/A</v>
      </c>
      <c r="H215" t="e">
        <f ca="1"/>
        <v>#N/A</v>
      </c>
      <c r="I215" t="e">
        <f ca="1"/>
        <v>#N/A</v>
      </c>
      <c r="J215" t="e">
        <f ca="1"/>
        <v>#N/A</v>
      </c>
      <c r="K215" t="e">
        <f ca="1"/>
        <v>#N/A</v>
      </c>
    </row>
    <row r="216" spans="1:11" x14ac:dyDescent="0.25">
      <c r="A216" s="2" t="e">
        <f ca="1"/>
        <v>#N/A</v>
      </c>
      <c r="C216" t="e">
        <f ca="1"/>
        <v>#N/A</v>
      </c>
      <c r="D216" t="e">
        <f ca="1"/>
        <v>#N/A</v>
      </c>
      <c r="E216" t="e">
        <f ca="1"/>
        <v>#N/A</v>
      </c>
      <c r="F216" t="e">
        <f ca="1"/>
        <v>#N/A</v>
      </c>
      <c r="G216" t="e">
        <f ca="1"/>
        <v>#N/A</v>
      </c>
      <c r="H216" t="e">
        <f ca="1"/>
        <v>#N/A</v>
      </c>
      <c r="I216" t="e">
        <f ca="1"/>
        <v>#N/A</v>
      </c>
      <c r="J216" t="e">
        <f ca="1"/>
        <v>#N/A</v>
      </c>
      <c r="K216" t="e">
        <f ca="1"/>
        <v>#N/A</v>
      </c>
    </row>
    <row r="217" spans="1:11" x14ac:dyDescent="0.25">
      <c r="A217" s="2" t="e">
        <f ca="1"/>
        <v>#N/A</v>
      </c>
      <c r="C217" t="e">
        <f ca="1"/>
        <v>#N/A</v>
      </c>
      <c r="D217" t="e">
        <f ca="1"/>
        <v>#N/A</v>
      </c>
      <c r="E217" t="e">
        <f ca="1"/>
        <v>#N/A</v>
      </c>
      <c r="F217" t="e">
        <f ca="1"/>
        <v>#N/A</v>
      </c>
      <c r="G217" t="e">
        <f ca="1"/>
        <v>#N/A</v>
      </c>
      <c r="H217" t="e">
        <f ca="1"/>
        <v>#N/A</v>
      </c>
      <c r="I217" t="e">
        <f ca="1"/>
        <v>#N/A</v>
      </c>
      <c r="J217" t="e">
        <f ca="1"/>
        <v>#N/A</v>
      </c>
      <c r="K217" t="e">
        <f ca="1"/>
        <v>#N/A</v>
      </c>
    </row>
    <row r="218" spans="1:11" x14ac:dyDescent="0.25">
      <c r="A218" s="2" t="e">
        <f ca="1"/>
        <v>#N/A</v>
      </c>
      <c r="C218" t="e">
        <f ca="1"/>
        <v>#N/A</v>
      </c>
      <c r="D218" t="e">
        <f ca="1"/>
        <v>#N/A</v>
      </c>
      <c r="E218" t="e">
        <f ca="1"/>
        <v>#N/A</v>
      </c>
      <c r="F218" t="e">
        <f ca="1"/>
        <v>#N/A</v>
      </c>
      <c r="G218" t="e">
        <f ca="1"/>
        <v>#N/A</v>
      </c>
      <c r="H218" t="e">
        <f ca="1"/>
        <v>#N/A</v>
      </c>
      <c r="I218" t="e">
        <f ca="1"/>
        <v>#N/A</v>
      </c>
      <c r="J218" t="e">
        <f ca="1"/>
        <v>#N/A</v>
      </c>
      <c r="K218" t="e">
        <f ca="1"/>
        <v>#N/A</v>
      </c>
    </row>
    <row r="219" spans="1:11" x14ac:dyDescent="0.25">
      <c r="A219" s="2" t="e">
        <f ca="1"/>
        <v>#N/A</v>
      </c>
      <c r="C219" t="e">
        <f ca="1"/>
        <v>#N/A</v>
      </c>
      <c r="D219" t="e">
        <f ca="1"/>
        <v>#N/A</v>
      </c>
      <c r="E219" t="e">
        <f ca="1"/>
        <v>#N/A</v>
      </c>
      <c r="F219" t="e">
        <f ca="1"/>
        <v>#N/A</v>
      </c>
      <c r="G219" t="e">
        <f ca="1"/>
        <v>#N/A</v>
      </c>
      <c r="H219" t="e">
        <f ca="1"/>
        <v>#N/A</v>
      </c>
      <c r="I219" t="e">
        <f ca="1"/>
        <v>#N/A</v>
      </c>
      <c r="J219" t="e">
        <f ca="1"/>
        <v>#N/A</v>
      </c>
      <c r="K219" t="e">
        <f ca="1"/>
        <v>#N/A</v>
      </c>
    </row>
    <row r="220" spans="1:11" x14ac:dyDescent="0.25">
      <c r="A220" s="2" t="e">
        <f ca="1"/>
        <v>#N/A</v>
      </c>
      <c r="C220" t="e">
        <f ca="1"/>
        <v>#N/A</v>
      </c>
      <c r="D220" t="e">
        <f ca="1"/>
        <v>#N/A</v>
      </c>
      <c r="E220" t="e">
        <f ca="1"/>
        <v>#N/A</v>
      </c>
      <c r="F220" t="e">
        <f ca="1"/>
        <v>#N/A</v>
      </c>
      <c r="G220" t="e">
        <f ca="1"/>
        <v>#N/A</v>
      </c>
      <c r="H220" t="e">
        <f ca="1"/>
        <v>#N/A</v>
      </c>
      <c r="I220" t="e">
        <f ca="1"/>
        <v>#N/A</v>
      </c>
      <c r="J220" t="e">
        <f ca="1"/>
        <v>#N/A</v>
      </c>
      <c r="K220" t="e">
        <f ca="1"/>
        <v>#N/A</v>
      </c>
    </row>
    <row r="221" spans="1:11" x14ac:dyDescent="0.25">
      <c r="A221" s="2" t="e">
        <f ca="1"/>
        <v>#N/A</v>
      </c>
      <c r="C221" t="e">
        <f ca="1"/>
        <v>#N/A</v>
      </c>
      <c r="D221" t="e">
        <f ca="1"/>
        <v>#N/A</v>
      </c>
      <c r="E221" t="e">
        <f ca="1"/>
        <v>#N/A</v>
      </c>
      <c r="F221" t="e">
        <f ca="1"/>
        <v>#N/A</v>
      </c>
      <c r="G221" t="e">
        <f ca="1"/>
        <v>#N/A</v>
      </c>
      <c r="H221" t="e">
        <f ca="1"/>
        <v>#N/A</v>
      </c>
      <c r="I221" t="e">
        <f ca="1"/>
        <v>#N/A</v>
      </c>
      <c r="J221" t="e">
        <f ca="1"/>
        <v>#N/A</v>
      </c>
      <c r="K221" t="e">
        <f ca="1"/>
        <v>#N/A</v>
      </c>
    </row>
    <row r="222" spans="1:11" x14ac:dyDescent="0.25">
      <c r="A222" s="2" t="e">
        <f ca="1"/>
        <v>#N/A</v>
      </c>
      <c r="C222" t="e">
        <f ca="1"/>
        <v>#N/A</v>
      </c>
      <c r="D222" t="e">
        <f ca="1"/>
        <v>#N/A</v>
      </c>
      <c r="E222" t="e">
        <f ca="1"/>
        <v>#N/A</v>
      </c>
      <c r="F222" t="e">
        <f ca="1"/>
        <v>#N/A</v>
      </c>
      <c r="G222" t="e">
        <f ca="1"/>
        <v>#N/A</v>
      </c>
      <c r="H222" t="e">
        <f ca="1"/>
        <v>#N/A</v>
      </c>
      <c r="I222" t="e">
        <f ca="1"/>
        <v>#N/A</v>
      </c>
      <c r="J222" t="e">
        <f ca="1"/>
        <v>#N/A</v>
      </c>
      <c r="K222" t="e">
        <f ca="1"/>
        <v>#N/A</v>
      </c>
    </row>
    <row r="223" spans="1:11" x14ac:dyDescent="0.25">
      <c r="A223" s="2" t="e">
        <f ca="1"/>
        <v>#N/A</v>
      </c>
      <c r="C223" t="e">
        <f ca="1"/>
        <v>#N/A</v>
      </c>
      <c r="D223" t="e">
        <f ca="1"/>
        <v>#N/A</v>
      </c>
      <c r="E223" t="e">
        <f ca="1"/>
        <v>#N/A</v>
      </c>
      <c r="F223" t="e">
        <f ca="1"/>
        <v>#N/A</v>
      </c>
      <c r="G223" t="e">
        <f ca="1"/>
        <v>#N/A</v>
      </c>
      <c r="H223" t="e">
        <f ca="1"/>
        <v>#N/A</v>
      </c>
      <c r="I223" t="e">
        <f ca="1"/>
        <v>#N/A</v>
      </c>
      <c r="J223" t="e">
        <f ca="1"/>
        <v>#N/A</v>
      </c>
      <c r="K223" t="e">
        <f ca="1"/>
        <v>#N/A</v>
      </c>
    </row>
    <row r="224" spans="1:11" x14ac:dyDescent="0.25">
      <c r="A224" s="2" t="e">
        <f ca="1"/>
        <v>#N/A</v>
      </c>
      <c r="C224" t="e">
        <f ca="1"/>
        <v>#N/A</v>
      </c>
      <c r="D224" t="e">
        <f ca="1"/>
        <v>#N/A</v>
      </c>
      <c r="E224" t="e">
        <f ca="1"/>
        <v>#N/A</v>
      </c>
      <c r="F224" t="e">
        <f ca="1"/>
        <v>#N/A</v>
      </c>
      <c r="G224" t="e">
        <f ca="1"/>
        <v>#N/A</v>
      </c>
      <c r="H224" t="e">
        <f ca="1"/>
        <v>#N/A</v>
      </c>
      <c r="I224" t="e">
        <f ca="1"/>
        <v>#N/A</v>
      </c>
      <c r="J224" t="e">
        <f ca="1"/>
        <v>#N/A</v>
      </c>
      <c r="K224" t="e">
        <f ca="1"/>
        <v>#N/A</v>
      </c>
    </row>
    <row r="225" spans="1:11" x14ac:dyDescent="0.25">
      <c r="A225" s="2" t="e">
        <f ca="1"/>
        <v>#N/A</v>
      </c>
      <c r="C225" t="e">
        <f ca="1"/>
        <v>#N/A</v>
      </c>
      <c r="D225" t="e">
        <f ca="1"/>
        <v>#N/A</v>
      </c>
      <c r="E225" t="e">
        <f ca="1"/>
        <v>#N/A</v>
      </c>
      <c r="F225" t="e">
        <f ca="1"/>
        <v>#N/A</v>
      </c>
      <c r="G225" t="e">
        <f ca="1"/>
        <v>#N/A</v>
      </c>
      <c r="H225" t="e">
        <f ca="1"/>
        <v>#N/A</v>
      </c>
      <c r="I225" t="e">
        <f ca="1"/>
        <v>#N/A</v>
      </c>
      <c r="J225" t="e">
        <f ca="1"/>
        <v>#N/A</v>
      </c>
      <c r="K225" t="e">
        <f ca="1"/>
        <v>#N/A</v>
      </c>
    </row>
    <row r="226" spans="1:11" x14ac:dyDescent="0.25">
      <c r="A226" s="2" t="e">
        <f ca="1"/>
        <v>#N/A</v>
      </c>
      <c r="C226" t="e">
        <f ca="1"/>
        <v>#N/A</v>
      </c>
      <c r="D226" t="e">
        <f ca="1"/>
        <v>#N/A</v>
      </c>
      <c r="E226" t="e">
        <f ca="1"/>
        <v>#N/A</v>
      </c>
      <c r="F226" t="e">
        <f ca="1"/>
        <v>#N/A</v>
      </c>
      <c r="G226" t="e">
        <f ca="1"/>
        <v>#N/A</v>
      </c>
      <c r="H226" t="e">
        <f ca="1"/>
        <v>#N/A</v>
      </c>
      <c r="I226" t="e">
        <f ca="1"/>
        <v>#N/A</v>
      </c>
      <c r="J226" t="e">
        <f ca="1"/>
        <v>#N/A</v>
      </c>
      <c r="K226" t="e">
        <f ca="1"/>
        <v>#N/A</v>
      </c>
    </row>
    <row r="227" spans="1:11" x14ac:dyDescent="0.25">
      <c r="A227" s="2" t="e">
        <f ca="1"/>
        <v>#N/A</v>
      </c>
      <c r="C227" t="e">
        <f ca="1"/>
        <v>#N/A</v>
      </c>
      <c r="D227" t="e">
        <f ca="1"/>
        <v>#N/A</v>
      </c>
      <c r="E227" t="e">
        <f ca="1"/>
        <v>#N/A</v>
      </c>
      <c r="F227" t="e">
        <f ca="1"/>
        <v>#N/A</v>
      </c>
      <c r="G227" t="e">
        <f ca="1"/>
        <v>#N/A</v>
      </c>
      <c r="H227" t="e">
        <f ca="1"/>
        <v>#N/A</v>
      </c>
      <c r="I227" t="e">
        <f ca="1"/>
        <v>#N/A</v>
      </c>
      <c r="J227" t="e">
        <f ca="1"/>
        <v>#N/A</v>
      </c>
      <c r="K227" t="e">
        <f ca="1"/>
        <v>#N/A</v>
      </c>
    </row>
    <row r="228" spans="1:11" x14ac:dyDescent="0.25">
      <c r="A228" s="2" t="e">
        <f ca="1"/>
        <v>#N/A</v>
      </c>
      <c r="C228" t="e">
        <f ca="1"/>
        <v>#N/A</v>
      </c>
      <c r="D228" t="e">
        <f ca="1"/>
        <v>#N/A</v>
      </c>
      <c r="E228" t="e">
        <f ca="1"/>
        <v>#N/A</v>
      </c>
      <c r="F228" t="e">
        <f ca="1"/>
        <v>#N/A</v>
      </c>
      <c r="G228" t="e">
        <f ca="1"/>
        <v>#N/A</v>
      </c>
      <c r="H228" t="e">
        <f ca="1"/>
        <v>#N/A</v>
      </c>
      <c r="I228" t="e">
        <f ca="1"/>
        <v>#N/A</v>
      </c>
      <c r="J228" t="e">
        <f ca="1"/>
        <v>#N/A</v>
      </c>
      <c r="K228" t="e">
        <f ca="1"/>
        <v>#N/A</v>
      </c>
    </row>
    <row r="229" spans="1:11" x14ac:dyDescent="0.25">
      <c r="A229" s="2" t="e">
        <f ca="1"/>
        <v>#N/A</v>
      </c>
      <c r="C229" t="e">
        <f ca="1"/>
        <v>#N/A</v>
      </c>
      <c r="D229" t="e">
        <f ca="1"/>
        <v>#N/A</v>
      </c>
      <c r="E229" t="e">
        <f ca="1"/>
        <v>#N/A</v>
      </c>
      <c r="F229" t="e">
        <f ca="1"/>
        <v>#N/A</v>
      </c>
      <c r="G229" t="e">
        <f ca="1"/>
        <v>#N/A</v>
      </c>
      <c r="H229" t="e">
        <f ca="1"/>
        <v>#N/A</v>
      </c>
      <c r="I229" t="e">
        <f ca="1"/>
        <v>#N/A</v>
      </c>
      <c r="J229" t="e">
        <f ca="1"/>
        <v>#N/A</v>
      </c>
      <c r="K229" t="e">
        <f ca="1"/>
        <v>#N/A</v>
      </c>
    </row>
    <row r="230" spans="1:11" x14ac:dyDescent="0.25">
      <c r="A230" s="2" t="e">
        <f ca="1"/>
        <v>#N/A</v>
      </c>
      <c r="C230" t="e">
        <f ca="1"/>
        <v>#N/A</v>
      </c>
      <c r="D230" t="e">
        <f ca="1"/>
        <v>#N/A</v>
      </c>
      <c r="E230" t="e">
        <f ca="1"/>
        <v>#N/A</v>
      </c>
      <c r="F230" t="e">
        <f ca="1"/>
        <v>#N/A</v>
      </c>
      <c r="G230" t="e">
        <f ca="1"/>
        <v>#N/A</v>
      </c>
      <c r="H230" t="e">
        <f ca="1"/>
        <v>#N/A</v>
      </c>
      <c r="I230" t="e">
        <f ca="1"/>
        <v>#N/A</v>
      </c>
      <c r="J230" t="e">
        <f ca="1"/>
        <v>#N/A</v>
      </c>
      <c r="K230" t="e">
        <f ca="1"/>
        <v>#N/A</v>
      </c>
    </row>
    <row r="231" spans="1:11" x14ac:dyDescent="0.25">
      <c r="A231" s="2" t="e">
        <f ca="1"/>
        <v>#N/A</v>
      </c>
      <c r="C231" t="e">
        <f ca="1"/>
        <v>#N/A</v>
      </c>
      <c r="D231" t="e">
        <f ca="1"/>
        <v>#N/A</v>
      </c>
      <c r="E231" t="e">
        <f ca="1"/>
        <v>#N/A</v>
      </c>
      <c r="F231" t="e">
        <f ca="1"/>
        <v>#N/A</v>
      </c>
      <c r="G231" t="e">
        <f ca="1"/>
        <v>#N/A</v>
      </c>
      <c r="H231" t="e">
        <f ca="1"/>
        <v>#N/A</v>
      </c>
      <c r="I231" t="e">
        <f ca="1"/>
        <v>#N/A</v>
      </c>
      <c r="J231" t="e">
        <f ca="1"/>
        <v>#N/A</v>
      </c>
      <c r="K231" t="e">
        <f ca="1"/>
        <v>#N/A</v>
      </c>
    </row>
    <row r="232" spans="1:11" x14ac:dyDescent="0.25">
      <c r="A232" s="2" t="e">
        <f ca="1"/>
        <v>#N/A</v>
      </c>
      <c r="C232" t="e">
        <f ca="1"/>
        <v>#N/A</v>
      </c>
      <c r="D232" t="e">
        <f ca="1"/>
        <v>#N/A</v>
      </c>
      <c r="E232" t="e">
        <f ca="1"/>
        <v>#N/A</v>
      </c>
      <c r="F232" t="e">
        <f ca="1"/>
        <v>#N/A</v>
      </c>
      <c r="G232" t="e">
        <f ca="1"/>
        <v>#N/A</v>
      </c>
      <c r="H232" t="e">
        <f ca="1"/>
        <v>#N/A</v>
      </c>
      <c r="I232" t="e">
        <f ca="1"/>
        <v>#N/A</v>
      </c>
      <c r="J232" t="e">
        <f ca="1"/>
        <v>#N/A</v>
      </c>
      <c r="K232" t="e">
        <f ca="1"/>
        <v>#N/A</v>
      </c>
    </row>
    <row r="233" spans="1:11" x14ac:dyDescent="0.25">
      <c r="A233" s="2" t="e">
        <f ca="1"/>
        <v>#N/A</v>
      </c>
      <c r="C233" t="e">
        <f ca="1"/>
        <v>#N/A</v>
      </c>
      <c r="D233" t="e">
        <f ca="1"/>
        <v>#N/A</v>
      </c>
      <c r="E233" t="e">
        <f ca="1"/>
        <v>#N/A</v>
      </c>
      <c r="F233" t="e">
        <f ca="1"/>
        <v>#N/A</v>
      </c>
      <c r="G233" t="e">
        <f ca="1"/>
        <v>#N/A</v>
      </c>
      <c r="H233" t="e">
        <f ca="1"/>
        <v>#N/A</v>
      </c>
      <c r="I233" t="e">
        <f ca="1"/>
        <v>#N/A</v>
      </c>
      <c r="J233" t="e">
        <f ca="1"/>
        <v>#N/A</v>
      </c>
      <c r="K233" t="e">
        <f ca="1"/>
        <v>#N/A</v>
      </c>
    </row>
    <row r="234" spans="1:11" x14ac:dyDescent="0.25">
      <c r="A234" s="2" t="e">
        <f ca="1"/>
        <v>#N/A</v>
      </c>
      <c r="C234" t="e">
        <f ca="1"/>
        <v>#N/A</v>
      </c>
      <c r="D234" t="e">
        <f ca="1"/>
        <v>#N/A</v>
      </c>
      <c r="E234" t="e">
        <f ca="1"/>
        <v>#N/A</v>
      </c>
      <c r="F234" t="e">
        <f ca="1"/>
        <v>#N/A</v>
      </c>
      <c r="G234" t="e">
        <f ca="1"/>
        <v>#N/A</v>
      </c>
      <c r="H234" t="e">
        <f ca="1"/>
        <v>#N/A</v>
      </c>
      <c r="I234" t="e">
        <f ca="1"/>
        <v>#N/A</v>
      </c>
      <c r="J234" t="e">
        <f ca="1"/>
        <v>#N/A</v>
      </c>
      <c r="K234" t="e">
        <f ca="1"/>
        <v>#N/A</v>
      </c>
    </row>
    <row r="235" spans="1:11" x14ac:dyDescent="0.25">
      <c r="A235" s="2" t="e">
        <f ca="1"/>
        <v>#N/A</v>
      </c>
      <c r="C235" t="e">
        <f ca="1"/>
        <v>#N/A</v>
      </c>
      <c r="D235" t="e">
        <f ca="1"/>
        <v>#N/A</v>
      </c>
      <c r="E235" t="e">
        <f ca="1"/>
        <v>#N/A</v>
      </c>
      <c r="F235" t="e">
        <f ca="1"/>
        <v>#N/A</v>
      </c>
      <c r="G235" t="e">
        <f ca="1"/>
        <v>#N/A</v>
      </c>
      <c r="H235" t="e">
        <f ca="1"/>
        <v>#N/A</v>
      </c>
      <c r="I235" t="e">
        <f ca="1"/>
        <v>#N/A</v>
      </c>
      <c r="J235" t="e">
        <f ca="1"/>
        <v>#N/A</v>
      </c>
      <c r="K235" t="e">
        <f ca="1"/>
        <v>#N/A</v>
      </c>
    </row>
    <row r="236" spans="1:11" x14ac:dyDescent="0.25">
      <c r="A236" s="2" t="e">
        <f ca="1"/>
        <v>#N/A</v>
      </c>
      <c r="C236" t="e">
        <f ca="1"/>
        <v>#N/A</v>
      </c>
      <c r="D236" t="e">
        <f ca="1"/>
        <v>#N/A</v>
      </c>
      <c r="E236" t="e">
        <f ca="1"/>
        <v>#N/A</v>
      </c>
      <c r="F236" t="e">
        <f ca="1"/>
        <v>#N/A</v>
      </c>
      <c r="G236" t="e">
        <f ca="1"/>
        <v>#N/A</v>
      </c>
      <c r="H236" t="e">
        <f ca="1"/>
        <v>#N/A</v>
      </c>
      <c r="I236" t="e">
        <f ca="1"/>
        <v>#N/A</v>
      </c>
      <c r="J236" t="e">
        <f ca="1"/>
        <v>#N/A</v>
      </c>
      <c r="K236" t="e">
        <f ca="1"/>
        <v>#N/A</v>
      </c>
    </row>
    <row r="237" spans="1:11" x14ac:dyDescent="0.25">
      <c r="A237" s="2" t="e">
        <f ca="1"/>
        <v>#N/A</v>
      </c>
      <c r="C237" t="e">
        <f ca="1"/>
        <v>#N/A</v>
      </c>
      <c r="D237" t="e">
        <f ca="1"/>
        <v>#N/A</v>
      </c>
      <c r="E237" t="e">
        <f ca="1"/>
        <v>#N/A</v>
      </c>
      <c r="F237" t="e">
        <f ca="1"/>
        <v>#N/A</v>
      </c>
      <c r="G237" t="e">
        <f ca="1"/>
        <v>#N/A</v>
      </c>
      <c r="H237" t="e">
        <f ca="1"/>
        <v>#N/A</v>
      </c>
      <c r="I237" t="e">
        <f ca="1"/>
        <v>#N/A</v>
      </c>
      <c r="J237" t="e">
        <f ca="1"/>
        <v>#N/A</v>
      </c>
      <c r="K237" t="e">
        <f ca="1"/>
        <v>#N/A</v>
      </c>
    </row>
    <row r="238" spans="1:11" x14ac:dyDescent="0.25">
      <c r="A238" s="2" t="e">
        <f ca="1"/>
        <v>#N/A</v>
      </c>
      <c r="C238" t="e">
        <f ca="1"/>
        <v>#N/A</v>
      </c>
      <c r="D238" t="e">
        <f ca="1"/>
        <v>#N/A</v>
      </c>
      <c r="E238" t="e">
        <f ca="1"/>
        <v>#N/A</v>
      </c>
      <c r="F238" t="e">
        <f ca="1"/>
        <v>#N/A</v>
      </c>
      <c r="G238" t="e">
        <f ca="1"/>
        <v>#N/A</v>
      </c>
      <c r="H238" t="e">
        <f ca="1"/>
        <v>#N/A</v>
      </c>
      <c r="I238" t="e">
        <f ca="1"/>
        <v>#N/A</v>
      </c>
      <c r="J238" t="e">
        <f ca="1"/>
        <v>#N/A</v>
      </c>
      <c r="K238" t="e">
        <f ca="1"/>
        <v>#N/A</v>
      </c>
    </row>
    <row r="239" spans="1:11" x14ac:dyDescent="0.25">
      <c r="A239" s="2" t="e">
        <f ca="1"/>
        <v>#N/A</v>
      </c>
      <c r="C239" t="e">
        <f ca="1"/>
        <v>#N/A</v>
      </c>
      <c r="D239" t="e">
        <f ca="1"/>
        <v>#N/A</v>
      </c>
      <c r="E239" t="e">
        <f ca="1"/>
        <v>#N/A</v>
      </c>
      <c r="F239" t="e">
        <f ca="1"/>
        <v>#N/A</v>
      </c>
      <c r="G239" t="e">
        <f ca="1"/>
        <v>#N/A</v>
      </c>
      <c r="H239" t="e">
        <f ca="1"/>
        <v>#N/A</v>
      </c>
      <c r="I239" t="e">
        <f ca="1"/>
        <v>#N/A</v>
      </c>
      <c r="J239" t="e">
        <f ca="1"/>
        <v>#N/A</v>
      </c>
      <c r="K239" t="e">
        <f ca="1"/>
        <v>#N/A</v>
      </c>
    </row>
    <row r="240" spans="1:11" x14ac:dyDescent="0.25">
      <c r="A240" s="2" t="e">
        <f ca="1"/>
        <v>#N/A</v>
      </c>
      <c r="C240" t="e">
        <f ca="1"/>
        <v>#N/A</v>
      </c>
      <c r="D240" t="e">
        <f ca="1"/>
        <v>#N/A</v>
      </c>
      <c r="E240" t="e">
        <f ca="1"/>
        <v>#N/A</v>
      </c>
      <c r="F240" t="e">
        <f ca="1"/>
        <v>#N/A</v>
      </c>
      <c r="G240" t="e">
        <f ca="1"/>
        <v>#N/A</v>
      </c>
      <c r="H240" t="e">
        <f ca="1"/>
        <v>#N/A</v>
      </c>
      <c r="I240" t="e">
        <f ca="1"/>
        <v>#N/A</v>
      </c>
      <c r="J240" t="e">
        <f ca="1"/>
        <v>#N/A</v>
      </c>
      <c r="K240" t="e">
        <f ca="1"/>
        <v>#N/A</v>
      </c>
    </row>
    <row r="241" spans="1:11" x14ac:dyDescent="0.25">
      <c r="A241" s="2" t="e">
        <f ca="1"/>
        <v>#N/A</v>
      </c>
      <c r="C241" t="e">
        <f ca="1"/>
        <v>#N/A</v>
      </c>
      <c r="D241" t="e">
        <f ca="1"/>
        <v>#N/A</v>
      </c>
      <c r="E241" t="e">
        <f ca="1"/>
        <v>#N/A</v>
      </c>
      <c r="F241" t="e">
        <f ca="1"/>
        <v>#N/A</v>
      </c>
      <c r="G241" t="e">
        <f ca="1"/>
        <v>#N/A</v>
      </c>
      <c r="H241" t="e">
        <f ca="1"/>
        <v>#N/A</v>
      </c>
      <c r="I241" t="e">
        <f ca="1"/>
        <v>#N/A</v>
      </c>
      <c r="J241" t="e">
        <f ca="1"/>
        <v>#N/A</v>
      </c>
      <c r="K241" t="e">
        <f ca="1"/>
        <v>#N/A</v>
      </c>
    </row>
    <row r="242" spans="1:11" x14ac:dyDescent="0.25">
      <c r="A242" s="2" t="e">
        <f ca="1"/>
        <v>#N/A</v>
      </c>
      <c r="C242" t="e">
        <f ca="1"/>
        <v>#N/A</v>
      </c>
      <c r="D242" t="e">
        <f ca="1"/>
        <v>#N/A</v>
      </c>
      <c r="E242" t="e">
        <f ca="1"/>
        <v>#N/A</v>
      </c>
      <c r="F242" t="e">
        <f ca="1"/>
        <v>#N/A</v>
      </c>
      <c r="G242" t="e">
        <f ca="1"/>
        <v>#N/A</v>
      </c>
      <c r="H242" t="e">
        <f ca="1"/>
        <v>#N/A</v>
      </c>
      <c r="I242" t="e">
        <f ca="1"/>
        <v>#N/A</v>
      </c>
      <c r="J242" t="e">
        <f ca="1"/>
        <v>#N/A</v>
      </c>
      <c r="K242" t="e">
        <f ca="1"/>
        <v>#N/A</v>
      </c>
    </row>
    <row r="243" spans="1:11" x14ac:dyDescent="0.25">
      <c r="A243" s="2" t="e">
        <f ca="1"/>
        <v>#N/A</v>
      </c>
      <c r="C243" t="e">
        <f ca="1"/>
        <v>#N/A</v>
      </c>
      <c r="D243" t="e">
        <f ca="1"/>
        <v>#N/A</v>
      </c>
      <c r="E243" t="e">
        <f ca="1"/>
        <v>#N/A</v>
      </c>
      <c r="F243" t="e">
        <f ca="1"/>
        <v>#N/A</v>
      </c>
      <c r="G243" t="e">
        <f ca="1"/>
        <v>#N/A</v>
      </c>
      <c r="H243" t="e">
        <f ca="1"/>
        <v>#N/A</v>
      </c>
      <c r="I243" t="e">
        <f ca="1"/>
        <v>#N/A</v>
      </c>
      <c r="J243" t="e">
        <f ca="1"/>
        <v>#N/A</v>
      </c>
      <c r="K243" t="e">
        <f ca="1"/>
        <v>#N/A</v>
      </c>
    </row>
    <row r="244" spans="1:11" x14ac:dyDescent="0.25">
      <c r="A244" s="2" t="e">
        <f ca="1"/>
        <v>#N/A</v>
      </c>
      <c r="C244" t="e">
        <f ca="1"/>
        <v>#N/A</v>
      </c>
      <c r="D244" t="e">
        <f ca="1"/>
        <v>#N/A</v>
      </c>
      <c r="E244" t="e">
        <f ca="1"/>
        <v>#N/A</v>
      </c>
      <c r="F244" t="e">
        <f ca="1"/>
        <v>#N/A</v>
      </c>
      <c r="G244" t="e">
        <f ca="1"/>
        <v>#N/A</v>
      </c>
      <c r="H244" t="e">
        <f ca="1"/>
        <v>#N/A</v>
      </c>
      <c r="I244" t="e">
        <f ca="1"/>
        <v>#N/A</v>
      </c>
      <c r="J244" t="e">
        <f ca="1"/>
        <v>#N/A</v>
      </c>
      <c r="K244" t="e">
        <f ca="1"/>
        <v>#N/A</v>
      </c>
    </row>
    <row r="245" spans="1:11" x14ac:dyDescent="0.25">
      <c r="A245" s="2" t="e">
        <f ca="1"/>
        <v>#N/A</v>
      </c>
      <c r="C245" t="e">
        <f ca="1"/>
        <v>#N/A</v>
      </c>
      <c r="D245" t="e">
        <f ca="1"/>
        <v>#N/A</v>
      </c>
      <c r="E245" t="e">
        <f ca="1"/>
        <v>#N/A</v>
      </c>
      <c r="F245" t="e">
        <f ca="1"/>
        <v>#N/A</v>
      </c>
      <c r="G245" t="e">
        <f ca="1"/>
        <v>#N/A</v>
      </c>
      <c r="H245" t="e">
        <f ca="1"/>
        <v>#N/A</v>
      </c>
      <c r="I245" t="e">
        <f ca="1"/>
        <v>#N/A</v>
      </c>
      <c r="J245" t="e">
        <f ca="1"/>
        <v>#N/A</v>
      </c>
      <c r="K245" t="e">
        <f ca="1"/>
        <v>#N/A</v>
      </c>
    </row>
    <row r="246" spans="1:11" x14ac:dyDescent="0.25">
      <c r="A246" s="2" t="e">
        <f ca="1"/>
        <v>#N/A</v>
      </c>
      <c r="C246" t="e">
        <f ca="1"/>
        <v>#N/A</v>
      </c>
      <c r="D246" t="e">
        <f ca="1"/>
        <v>#N/A</v>
      </c>
      <c r="E246" t="e">
        <f ca="1"/>
        <v>#N/A</v>
      </c>
      <c r="F246" t="e">
        <f ca="1"/>
        <v>#N/A</v>
      </c>
      <c r="G246" t="e">
        <f ca="1"/>
        <v>#N/A</v>
      </c>
      <c r="H246" t="e">
        <f ca="1"/>
        <v>#N/A</v>
      </c>
      <c r="I246" t="e">
        <f ca="1"/>
        <v>#N/A</v>
      </c>
      <c r="J246" t="e">
        <f ca="1"/>
        <v>#N/A</v>
      </c>
      <c r="K246" t="e">
        <f ca="1"/>
        <v>#N/A</v>
      </c>
    </row>
    <row r="247" spans="1:11" x14ac:dyDescent="0.25">
      <c r="A247" s="2" t="e">
        <f ca="1"/>
        <v>#N/A</v>
      </c>
      <c r="C247" t="e">
        <f ca="1"/>
        <v>#N/A</v>
      </c>
      <c r="D247" t="e">
        <f ca="1"/>
        <v>#N/A</v>
      </c>
      <c r="E247" t="e">
        <f ca="1"/>
        <v>#N/A</v>
      </c>
      <c r="F247" t="e">
        <f ca="1"/>
        <v>#N/A</v>
      </c>
      <c r="G247" t="e">
        <f ca="1"/>
        <v>#N/A</v>
      </c>
      <c r="H247" t="e">
        <f ca="1"/>
        <v>#N/A</v>
      </c>
      <c r="I247" t="e">
        <f ca="1"/>
        <v>#N/A</v>
      </c>
      <c r="J247" t="e">
        <f ca="1"/>
        <v>#N/A</v>
      </c>
      <c r="K247" t="e">
        <f ca="1"/>
        <v>#N/A</v>
      </c>
    </row>
    <row r="248" spans="1:11" x14ac:dyDescent="0.25">
      <c r="A248" s="2" t="e">
        <f ca="1"/>
        <v>#N/A</v>
      </c>
      <c r="C248" t="e">
        <f ca="1"/>
        <v>#N/A</v>
      </c>
      <c r="D248" t="e">
        <f ca="1"/>
        <v>#N/A</v>
      </c>
      <c r="E248" t="e">
        <f ca="1"/>
        <v>#N/A</v>
      </c>
      <c r="F248" t="e">
        <f ca="1"/>
        <v>#N/A</v>
      </c>
      <c r="G248" t="e">
        <f ca="1"/>
        <v>#N/A</v>
      </c>
      <c r="H248" t="e">
        <f ca="1"/>
        <v>#N/A</v>
      </c>
      <c r="I248" t="e">
        <f ca="1"/>
        <v>#N/A</v>
      </c>
      <c r="J248" t="e">
        <f ca="1"/>
        <v>#N/A</v>
      </c>
      <c r="K248" t="e">
        <f ca="1"/>
        <v>#N/A</v>
      </c>
    </row>
    <row r="249" spans="1:11" x14ac:dyDescent="0.25">
      <c r="A249" s="2" t="e">
        <f ca="1"/>
        <v>#N/A</v>
      </c>
      <c r="C249" t="e">
        <f ca="1"/>
        <v>#N/A</v>
      </c>
      <c r="D249" t="e">
        <f ca="1"/>
        <v>#N/A</v>
      </c>
      <c r="E249" t="e">
        <f ca="1"/>
        <v>#N/A</v>
      </c>
      <c r="F249" t="e">
        <f ca="1"/>
        <v>#N/A</v>
      </c>
      <c r="G249" t="e">
        <f ca="1"/>
        <v>#N/A</v>
      </c>
      <c r="H249" t="e">
        <f ca="1"/>
        <v>#N/A</v>
      </c>
      <c r="I249" t="e">
        <f ca="1"/>
        <v>#N/A</v>
      </c>
      <c r="J249" t="e">
        <f ca="1"/>
        <v>#N/A</v>
      </c>
      <c r="K249" t="e">
        <f ca="1"/>
        <v>#N/A</v>
      </c>
    </row>
    <row r="250" spans="1:11" x14ac:dyDescent="0.25">
      <c r="A250" s="2" t="e">
        <f ca="1"/>
        <v>#N/A</v>
      </c>
      <c r="C250" t="e">
        <f ca="1"/>
        <v>#N/A</v>
      </c>
      <c r="D250" t="e">
        <f ca="1"/>
        <v>#N/A</v>
      </c>
      <c r="E250" t="e">
        <f ca="1"/>
        <v>#N/A</v>
      </c>
      <c r="F250" t="e">
        <f ca="1"/>
        <v>#N/A</v>
      </c>
      <c r="G250" t="e">
        <f ca="1"/>
        <v>#N/A</v>
      </c>
      <c r="H250" t="e">
        <f ca="1"/>
        <v>#N/A</v>
      </c>
      <c r="I250" t="e">
        <f ca="1"/>
        <v>#N/A</v>
      </c>
      <c r="J250" t="e">
        <f ca="1"/>
        <v>#N/A</v>
      </c>
      <c r="K250" t="e">
        <f ca="1"/>
        <v>#N/A</v>
      </c>
    </row>
    <row r="251" spans="1:11" x14ac:dyDescent="0.25">
      <c r="A251" s="2" t="e">
        <f ca="1"/>
        <v>#N/A</v>
      </c>
      <c r="C251" t="e">
        <f ca="1"/>
        <v>#N/A</v>
      </c>
      <c r="D251" t="e">
        <f ca="1"/>
        <v>#N/A</v>
      </c>
      <c r="E251" t="e">
        <f ca="1"/>
        <v>#N/A</v>
      </c>
      <c r="F251" t="e">
        <f ca="1"/>
        <v>#N/A</v>
      </c>
      <c r="G251" t="e">
        <f ca="1"/>
        <v>#N/A</v>
      </c>
      <c r="H251" t="e">
        <f ca="1"/>
        <v>#N/A</v>
      </c>
      <c r="I251" t="e">
        <f ca="1"/>
        <v>#N/A</v>
      </c>
      <c r="J251" t="e">
        <f ca="1"/>
        <v>#N/A</v>
      </c>
      <c r="K251" t="e">
        <f ca="1"/>
        <v>#N/A</v>
      </c>
    </row>
    <row r="252" spans="1:11" x14ac:dyDescent="0.25">
      <c r="A252" s="2" t="e">
        <f ca="1"/>
        <v>#N/A</v>
      </c>
      <c r="C252" t="e">
        <f ca="1"/>
        <v>#N/A</v>
      </c>
      <c r="D252" t="e">
        <f ca="1"/>
        <v>#N/A</v>
      </c>
      <c r="E252" t="e">
        <f ca="1"/>
        <v>#N/A</v>
      </c>
      <c r="F252" t="e">
        <f ca="1"/>
        <v>#N/A</v>
      </c>
      <c r="G252" t="e">
        <f ca="1"/>
        <v>#N/A</v>
      </c>
      <c r="H252" t="e">
        <f ca="1"/>
        <v>#N/A</v>
      </c>
      <c r="I252" t="e">
        <f ca="1"/>
        <v>#N/A</v>
      </c>
      <c r="J252" t="e">
        <f ca="1"/>
        <v>#N/A</v>
      </c>
      <c r="K252" t="e">
        <f ca="1"/>
        <v>#N/A</v>
      </c>
    </row>
    <row r="253" spans="1:11" x14ac:dyDescent="0.25">
      <c r="A253" s="2" t="e">
        <f ca="1"/>
        <v>#N/A</v>
      </c>
      <c r="C253" t="e">
        <f ca="1"/>
        <v>#N/A</v>
      </c>
      <c r="D253" t="e">
        <f ca="1"/>
        <v>#N/A</v>
      </c>
      <c r="E253" t="e">
        <f ca="1"/>
        <v>#N/A</v>
      </c>
      <c r="F253" t="e">
        <f ca="1"/>
        <v>#N/A</v>
      </c>
      <c r="G253" t="e">
        <f ca="1"/>
        <v>#N/A</v>
      </c>
      <c r="H253" t="e">
        <f ca="1"/>
        <v>#N/A</v>
      </c>
      <c r="I253" t="e">
        <f ca="1"/>
        <v>#N/A</v>
      </c>
      <c r="J253" t="e">
        <f ca="1"/>
        <v>#N/A</v>
      </c>
      <c r="K253" t="e">
        <f ca="1"/>
        <v>#N/A</v>
      </c>
    </row>
    <row r="254" spans="1:11" x14ac:dyDescent="0.25">
      <c r="A254" s="2" t="e">
        <f ca="1"/>
        <v>#N/A</v>
      </c>
      <c r="C254" t="e">
        <f ca="1"/>
        <v>#N/A</v>
      </c>
      <c r="D254" t="e">
        <f ca="1"/>
        <v>#N/A</v>
      </c>
      <c r="E254" t="e">
        <f ca="1"/>
        <v>#N/A</v>
      </c>
      <c r="F254" t="e">
        <f ca="1"/>
        <v>#N/A</v>
      </c>
      <c r="G254" t="e">
        <f ca="1"/>
        <v>#N/A</v>
      </c>
      <c r="H254" t="e">
        <f ca="1"/>
        <v>#N/A</v>
      </c>
      <c r="I254" t="e">
        <f ca="1"/>
        <v>#N/A</v>
      </c>
      <c r="J254" t="e">
        <f ca="1"/>
        <v>#N/A</v>
      </c>
      <c r="K254" t="e">
        <f ca="1"/>
        <v>#N/A</v>
      </c>
    </row>
    <row r="255" spans="1:11" x14ac:dyDescent="0.25">
      <c r="A255" s="2" t="e">
        <f ca="1"/>
        <v>#N/A</v>
      </c>
      <c r="C255" t="e">
        <f ca="1"/>
        <v>#N/A</v>
      </c>
      <c r="D255" t="e">
        <f ca="1"/>
        <v>#N/A</v>
      </c>
      <c r="E255" t="e">
        <f ca="1"/>
        <v>#N/A</v>
      </c>
      <c r="F255" t="e">
        <f ca="1"/>
        <v>#N/A</v>
      </c>
      <c r="G255" t="e">
        <f ca="1"/>
        <v>#N/A</v>
      </c>
      <c r="H255" t="e">
        <f ca="1"/>
        <v>#N/A</v>
      </c>
      <c r="I255" t="e">
        <f ca="1"/>
        <v>#N/A</v>
      </c>
      <c r="J255" t="e">
        <f ca="1"/>
        <v>#N/A</v>
      </c>
      <c r="K255" t="e">
        <f ca="1"/>
        <v>#N/A</v>
      </c>
    </row>
    <row r="256" spans="1:11" x14ac:dyDescent="0.25">
      <c r="A256" s="2" t="e">
        <f ca="1"/>
        <v>#N/A</v>
      </c>
      <c r="C256" t="e">
        <f ca="1"/>
        <v>#N/A</v>
      </c>
      <c r="D256" t="e">
        <f ca="1"/>
        <v>#N/A</v>
      </c>
      <c r="E256" t="e">
        <f ca="1"/>
        <v>#N/A</v>
      </c>
      <c r="F256" t="e">
        <f ca="1"/>
        <v>#N/A</v>
      </c>
      <c r="G256" t="e">
        <f ca="1"/>
        <v>#N/A</v>
      </c>
      <c r="H256" t="e">
        <f ca="1"/>
        <v>#N/A</v>
      </c>
      <c r="I256" t="e">
        <f ca="1"/>
        <v>#N/A</v>
      </c>
      <c r="J256" t="e">
        <f ca="1"/>
        <v>#N/A</v>
      </c>
      <c r="K256" t="e">
        <f ca="1"/>
        <v>#N/A</v>
      </c>
    </row>
    <row r="257" spans="1:11" x14ac:dyDescent="0.25">
      <c r="A257" s="2" t="e">
        <f ca="1"/>
        <v>#N/A</v>
      </c>
      <c r="C257" t="e">
        <f ca="1"/>
        <v>#N/A</v>
      </c>
      <c r="D257" t="e">
        <f ca="1"/>
        <v>#N/A</v>
      </c>
      <c r="E257" t="e">
        <f ca="1"/>
        <v>#N/A</v>
      </c>
      <c r="F257" t="e">
        <f ca="1"/>
        <v>#N/A</v>
      </c>
      <c r="G257" t="e">
        <f ca="1"/>
        <v>#N/A</v>
      </c>
      <c r="H257" t="e">
        <f ca="1"/>
        <v>#N/A</v>
      </c>
      <c r="I257" t="e">
        <f ca="1"/>
        <v>#N/A</v>
      </c>
      <c r="J257" t="e">
        <f ca="1"/>
        <v>#N/A</v>
      </c>
      <c r="K257" t="e">
        <f ca="1"/>
        <v>#N/A</v>
      </c>
    </row>
    <row r="258" spans="1:11" x14ac:dyDescent="0.25">
      <c r="A258" s="2" t="e">
        <f ca="1"/>
        <v>#N/A</v>
      </c>
      <c r="C258" t="e">
        <f ca="1"/>
        <v>#N/A</v>
      </c>
      <c r="D258" t="e">
        <f ca="1"/>
        <v>#N/A</v>
      </c>
      <c r="E258" t="e">
        <f ca="1"/>
        <v>#N/A</v>
      </c>
      <c r="F258" t="e">
        <f ca="1"/>
        <v>#N/A</v>
      </c>
      <c r="G258" t="e">
        <f ca="1"/>
        <v>#N/A</v>
      </c>
      <c r="H258" t="e">
        <f ca="1"/>
        <v>#N/A</v>
      </c>
      <c r="I258" t="e">
        <f ca="1"/>
        <v>#N/A</v>
      </c>
      <c r="J258" t="e">
        <f ca="1"/>
        <v>#N/A</v>
      </c>
      <c r="K258" t="e">
        <f ca="1"/>
        <v>#N/A</v>
      </c>
    </row>
    <row r="259" spans="1:11" x14ac:dyDescent="0.25">
      <c r="A259" s="2" t="e">
        <f ca="1"/>
        <v>#N/A</v>
      </c>
      <c r="C259" t="e">
        <f ca="1"/>
        <v>#N/A</v>
      </c>
      <c r="D259" t="e">
        <f ca="1"/>
        <v>#N/A</v>
      </c>
      <c r="E259" t="e">
        <f ca="1"/>
        <v>#N/A</v>
      </c>
      <c r="F259" t="e">
        <f ca="1"/>
        <v>#N/A</v>
      </c>
      <c r="G259" t="e">
        <f ca="1"/>
        <v>#N/A</v>
      </c>
      <c r="H259" t="e">
        <f ca="1"/>
        <v>#N/A</v>
      </c>
      <c r="I259" t="e">
        <f ca="1"/>
        <v>#N/A</v>
      </c>
      <c r="J259" t="e">
        <f ca="1"/>
        <v>#N/A</v>
      </c>
      <c r="K259" t="e">
        <f ca="1"/>
        <v>#N/A</v>
      </c>
    </row>
    <row r="260" spans="1:11" x14ac:dyDescent="0.25">
      <c r="A260" s="2" t="e">
        <f ca="1"/>
        <v>#N/A</v>
      </c>
      <c r="C260" t="e">
        <f ca="1"/>
        <v>#N/A</v>
      </c>
      <c r="D260" t="e">
        <f ca="1"/>
        <v>#N/A</v>
      </c>
      <c r="E260" t="e">
        <f ca="1"/>
        <v>#N/A</v>
      </c>
      <c r="F260" t="e">
        <f ca="1"/>
        <v>#N/A</v>
      </c>
      <c r="G260" t="e">
        <f ca="1"/>
        <v>#N/A</v>
      </c>
      <c r="H260" t="e">
        <f ca="1"/>
        <v>#N/A</v>
      </c>
      <c r="I260" t="e">
        <f ca="1"/>
        <v>#N/A</v>
      </c>
      <c r="J260" t="e">
        <f ca="1"/>
        <v>#N/A</v>
      </c>
      <c r="K260" t="e">
        <f ca="1"/>
        <v>#N/A</v>
      </c>
    </row>
    <row r="261" spans="1:11" x14ac:dyDescent="0.25">
      <c r="A261" s="2" t="e">
        <f ca="1"/>
        <v>#N/A</v>
      </c>
      <c r="C261" t="e">
        <f ca="1"/>
        <v>#N/A</v>
      </c>
      <c r="D261" t="e">
        <f ca="1"/>
        <v>#N/A</v>
      </c>
      <c r="E261" t="e">
        <f ca="1"/>
        <v>#N/A</v>
      </c>
      <c r="F261" t="e">
        <f ca="1"/>
        <v>#N/A</v>
      </c>
      <c r="G261" t="e">
        <f ca="1"/>
        <v>#N/A</v>
      </c>
      <c r="H261" t="e">
        <f ca="1"/>
        <v>#N/A</v>
      </c>
      <c r="I261" t="e">
        <f ca="1"/>
        <v>#N/A</v>
      </c>
      <c r="J261" t="e">
        <f ca="1"/>
        <v>#N/A</v>
      </c>
      <c r="K261" t="e">
        <f ca="1"/>
        <v>#N/A</v>
      </c>
    </row>
    <row r="262" spans="1:11" x14ac:dyDescent="0.25">
      <c r="A262" s="2" t="e">
        <f ca="1"/>
        <v>#N/A</v>
      </c>
      <c r="C262" t="e">
        <f ca="1"/>
        <v>#N/A</v>
      </c>
      <c r="D262" t="e">
        <f ca="1"/>
        <v>#N/A</v>
      </c>
      <c r="E262" t="e">
        <f ca="1"/>
        <v>#N/A</v>
      </c>
      <c r="F262" t="e">
        <f ca="1"/>
        <v>#N/A</v>
      </c>
      <c r="G262" t="e">
        <f ca="1"/>
        <v>#N/A</v>
      </c>
      <c r="H262" t="e">
        <f ca="1"/>
        <v>#N/A</v>
      </c>
      <c r="I262" t="e">
        <f ca="1"/>
        <v>#N/A</v>
      </c>
      <c r="J262" t="e">
        <f ca="1"/>
        <v>#N/A</v>
      </c>
      <c r="K262" t="e">
        <f ca="1"/>
        <v>#N/A</v>
      </c>
    </row>
    <row r="263" spans="1:11" x14ac:dyDescent="0.25">
      <c r="A263" s="2" t="e">
        <f ca="1"/>
        <v>#N/A</v>
      </c>
      <c r="C263" t="e">
        <f ca="1"/>
        <v>#N/A</v>
      </c>
      <c r="D263" t="e">
        <f ca="1"/>
        <v>#N/A</v>
      </c>
      <c r="E263" t="e">
        <f ca="1"/>
        <v>#N/A</v>
      </c>
      <c r="F263" t="e">
        <f ca="1"/>
        <v>#N/A</v>
      </c>
      <c r="G263" t="e">
        <f ca="1"/>
        <v>#N/A</v>
      </c>
      <c r="H263" t="e">
        <f ca="1"/>
        <v>#N/A</v>
      </c>
      <c r="I263" t="e">
        <f ca="1"/>
        <v>#N/A</v>
      </c>
      <c r="J263" t="e">
        <f ca="1"/>
        <v>#N/A</v>
      </c>
      <c r="K263" t="e">
        <f ca="1"/>
        <v>#N/A</v>
      </c>
    </row>
    <row r="264" spans="1:11" x14ac:dyDescent="0.25">
      <c r="A264" s="2" t="e">
        <f ca="1"/>
        <v>#N/A</v>
      </c>
      <c r="C264" t="e">
        <f ca="1"/>
        <v>#N/A</v>
      </c>
      <c r="D264" t="e">
        <f ca="1"/>
        <v>#N/A</v>
      </c>
      <c r="E264" t="e">
        <f ca="1"/>
        <v>#N/A</v>
      </c>
      <c r="F264" t="e">
        <f ca="1"/>
        <v>#N/A</v>
      </c>
      <c r="G264" t="e">
        <f ca="1"/>
        <v>#N/A</v>
      </c>
      <c r="H264" t="e">
        <f ca="1"/>
        <v>#N/A</v>
      </c>
      <c r="I264" t="e">
        <f ca="1"/>
        <v>#N/A</v>
      </c>
      <c r="J264" t="e">
        <f ca="1"/>
        <v>#N/A</v>
      </c>
      <c r="K264" t="e">
        <f ca="1"/>
        <v>#N/A</v>
      </c>
    </row>
    <row r="265" spans="1:11" x14ac:dyDescent="0.25">
      <c r="A265" s="2" t="e">
        <f ca="1"/>
        <v>#N/A</v>
      </c>
      <c r="C265" t="e">
        <f ca="1"/>
        <v>#N/A</v>
      </c>
      <c r="D265" t="e">
        <f ca="1"/>
        <v>#N/A</v>
      </c>
      <c r="E265" t="e">
        <f ca="1"/>
        <v>#N/A</v>
      </c>
      <c r="F265" t="e">
        <f ca="1"/>
        <v>#N/A</v>
      </c>
      <c r="G265" t="e">
        <f ca="1"/>
        <v>#N/A</v>
      </c>
      <c r="H265" t="e">
        <f ca="1"/>
        <v>#N/A</v>
      </c>
      <c r="I265" t="e">
        <f ca="1"/>
        <v>#N/A</v>
      </c>
      <c r="J265" t="e">
        <f ca="1"/>
        <v>#N/A</v>
      </c>
      <c r="K265" t="e">
        <f ca="1"/>
        <v>#N/A</v>
      </c>
    </row>
    <row r="266" spans="1:11" x14ac:dyDescent="0.25">
      <c r="A266" s="2" t="e">
        <f ca="1"/>
        <v>#N/A</v>
      </c>
      <c r="C266" t="e">
        <f ca="1"/>
        <v>#N/A</v>
      </c>
      <c r="D266" t="e">
        <f ca="1"/>
        <v>#N/A</v>
      </c>
      <c r="E266" t="e">
        <f ca="1"/>
        <v>#N/A</v>
      </c>
      <c r="F266" t="e">
        <f ca="1"/>
        <v>#N/A</v>
      </c>
      <c r="G266" t="e">
        <f ca="1"/>
        <v>#N/A</v>
      </c>
      <c r="H266" t="e">
        <f ca="1"/>
        <v>#N/A</v>
      </c>
      <c r="I266" t="e">
        <f ca="1"/>
        <v>#N/A</v>
      </c>
      <c r="J266" t="e">
        <f ca="1"/>
        <v>#N/A</v>
      </c>
      <c r="K266" t="e">
        <f ca="1"/>
        <v>#N/A</v>
      </c>
    </row>
    <row r="267" spans="1:11" x14ac:dyDescent="0.25">
      <c r="A267" s="2" t="e">
        <f ca="1"/>
        <v>#N/A</v>
      </c>
      <c r="C267" t="e">
        <f ca="1"/>
        <v>#N/A</v>
      </c>
      <c r="D267" t="e">
        <f ca="1"/>
        <v>#N/A</v>
      </c>
      <c r="E267" t="e">
        <f ca="1"/>
        <v>#N/A</v>
      </c>
      <c r="F267" t="e">
        <f ca="1"/>
        <v>#N/A</v>
      </c>
      <c r="G267" t="e">
        <f ca="1"/>
        <v>#N/A</v>
      </c>
      <c r="H267" t="e">
        <f ca="1"/>
        <v>#N/A</v>
      </c>
      <c r="I267" t="e">
        <f ca="1"/>
        <v>#N/A</v>
      </c>
      <c r="J267" t="e">
        <f ca="1"/>
        <v>#N/A</v>
      </c>
      <c r="K267" t="e">
        <f ca="1"/>
        <v>#N/A</v>
      </c>
    </row>
    <row r="268" spans="1:11" x14ac:dyDescent="0.25">
      <c r="A268" s="2" t="e">
        <f ca="1"/>
        <v>#N/A</v>
      </c>
      <c r="C268" t="e">
        <f ca="1"/>
        <v>#N/A</v>
      </c>
      <c r="D268" t="e">
        <f ca="1"/>
        <v>#N/A</v>
      </c>
      <c r="E268" t="e">
        <f ca="1"/>
        <v>#N/A</v>
      </c>
      <c r="F268" t="e">
        <f ca="1"/>
        <v>#N/A</v>
      </c>
      <c r="G268" t="e">
        <f ca="1"/>
        <v>#N/A</v>
      </c>
      <c r="H268" t="e">
        <f ca="1"/>
        <v>#N/A</v>
      </c>
      <c r="I268" t="e">
        <f ca="1"/>
        <v>#N/A</v>
      </c>
      <c r="J268" t="e">
        <f ca="1"/>
        <v>#N/A</v>
      </c>
      <c r="K268" t="e">
        <f ca="1"/>
        <v>#N/A</v>
      </c>
    </row>
    <row r="269" spans="1:11" x14ac:dyDescent="0.25">
      <c r="A269" s="2" t="e">
        <f ca="1"/>
        <v>#N/A</v>
      </c>
      <c r="C269" t="e">
        <f ca="1"/>
        <v>#N/A</v>
      </c>
      <c r="D269" t="e">
        <f ca="1"/>
        <v>#N/A</v>
      </c>
      <c r="E269" t="e">
        <f ca="1"/>
        <v>#N/A</v>
      </c>
      <c r="F269" t="e">
        <f ca="1"/>
        <v>#N/A</v>
      </c>
      <c r="G269" t="e">
        <f ca="1"/>
        <v>#N/A</v>
      </c>
      <c r="H269" t="e">
        <f ca="1"/>
        <v>#N/A</v>
      </c>
      <c r="I269" t="e">
        <f ca="1"/>
        <v>#N/A</v>
      </c>
      <c r="J269" t="e">
        <f ca="1"/>
        <v>#N/A</v>
      </c>
      <c r="K269" t="e">
        <f ca="1"/>
        <v>#N/A</v>
      </c>
    </row>
    <row r="270" spans="1:11" x14ac:dyDescent="0.25">
      <c r="A270" s="2" t="e">
        <f ca="1"/>
        <v>#N/A</v>
      </c>
      <c r="C270" t="e">
        <f ca="1"/>
        <v>#N/A</v>
      </c>
      <c r="D270" t="e">
        <f ca="1"/>
        <v>#N/A</v>
      </c>
      <c r="E270" t="e">
        <f ca="1"/>
        <v>#N/A</v>
      </c>
      <c r="F270" t="e">
        <f ca="1"/>
        <v>#N/A</v>
      </c>
      <c r="G270" t="e">
        <f ca="1"/>
        <v>#N/A</v>
      </c>
      <c r="H270" t="e">
        <f ca="1"/>
        <v>#N/A</v>
      </c>
      <c r="I270" t="e">
        <f ca="1"/>
        <v>#N/A</v>
      </c>
      <c r="J270" t="e">
        <f ca="1"/>
        <v>#N/A</v>
      </c>
      <c r="K270" t="e">
        <f ca="1"/>
        <v>#N/A</v>
      </c>
    </row>
    <row r="271" spans="1:11" x14ac:dyDescent="0.25">
      <c r="A271" s="2" t="e">
        <f ca="1"/>
        <v>#N/A</v>
      </c>
      <c r="C271" t="e">
        <f ca="1"/>
        <v>#N/A</v>
      </c>
      <c r="D271" t="e">
        <f ca="1"/>
        <v>#N/A</v>
      </c>
      <c r="E271" t="e">
        <f ca="1"/>
        <v>#N/A</v>
      </c>
      <c r="F271" t="e">
        <f ca="1"/>
        <v>#N/A</v>
      </c>
      <c r="G271" t="e">
        <f ca="1"/>
        <v>#N/A</v>
      </c>
      <c r="H271" t="e">
        <f ca="1"/>
        <v>#N/A</v>
      </c>
      <c r="I271" t="e">
        <f ca="1"/>
        <v>#N/A</v>
      </c>
      <c r="J271" t="e">
        <f ca="1"/>
        <v>#N/A</v>
      </c>
      <c r="K271" t="e">
        <f ca="1"/>
        <v>#N/A</v>
      </c>
    </row>
    <row r="272" spans="1:11" x14ac:dyDescent="0.25">
      <c r="A272" s="2" t="e">
        <f ca="1"/>
        <v>#N/A</v>
      </c>
      <c r="C272" t="e">
        <f ca="1"/>
        <v>#N/A</v>
      </c>
      <c r="D272" t="e">
        <f ca="1"/>
        <v>#N/A</v>
      </c>
      <c r="E272" t="e">
        <f ca="1"/>
        <v>#N/A</v>
      </c>
      <c r="F272" t="e">
        <f ca="1"/>
        <v>#N/A</v>
      </c>
      <c r="G272" t="e">
        <f ca="1"/>
        <v>#N/A</v>
      </c>
      <c r="H272" t="e">
        <f ca="1"/>
        <v>#N/A</v>
      </c>
      <c r="I272" t="e">
        <f ca="1"/>
        <v>#N/A</v>
      </c>
      <c r="J272" t="e">
        <f ca="1"/>
        <v>#N/A</v>
      </c>
      <c r="K272" t="e">
        <f ca="1"/>
        <v>#N/A</v>
      </c>
    </row>
    <row r="273" spans="1:11" x14ac:dyDescent="0.25">
      <c r="A273" s="2" t="e">
        <f ca="1"/>
        <v>#N/A</v>
      </c>
      <c r="C273" t="e">
        <f ca="1"/>
        <v>#N/A</v>
      </c>
      <c r="D273" t="e">
        <f ca="1"/>
        <v>#N/A</v>
      </c>
      <c r="E273" t="e">
        <f ca="1"/>
        <v>#N/A</v>
      </c>
      <c r="F273" t="e">
        <f ca="1"/>
        <v>#N/A</v>
      </c>
      <c r="G273" t="e">
        <f ca="1"/>
        <v>#N/A</v>
      </c>
      <c r="H273" t="e">
        <f ca="1"/>
        <v>#N/A</v>
      </c>
      <c r="I273" t="e">
        <f ca="1"/>
        <v>#N/A</v>
      </c>
      <c r="J273" t="e">
        <f ca="1"/>
        <v>#N/A</v>
      </c>
      <c r="K273" t="e">
        <f ca="1"/>
        <v>#N/A</v>
      </c>
    </row>
    <row r="274" spans="1:11" x14ac:dyDescent="0.25">
      <c r="A274" s="2" t="e">
        <f ca="1"/>
        <v>#N/A</v>
      </c>
      <c r="C274" t="e">
        <f ca="1"/>
        <v>#N/A</v>
      </c>
      <c r="D274" t="e">
        <f ca="1"/>
        <v>#N/A</v>
      </c>
      <c r="E274" t="e">
        <f ca="1"/>
        <v>#N/A</v>
      </c>
      <c r="F274" t="e">
        <f ca="1"/>
        <v>#N/A</v>
      </c>
      <c r="G274" t="e">
        <f ca="1"/>
        <v>#N/A</v>
      </c>
      <c r="H274" t="e">
        <f ca="1"/>
        <v>#N/A</v>
      </c>
      <c r="I274" t="e">
        <f ca="1"/>
        <v>#N/A</v>
      </c>
      <c r="J274" t="e">
        <f ca="1"/>
        <v>#N/A</v>
      </c>
      <c r="K274" t="e">
        <f ca="1"/>
        <v>#N/A</v>
      </c>
    </row>
    <row r="275" spans="1:11" x14ac:dyDescent="0.25">
      <c r="A275" s="2" t="e">
        <f ca="1"/>
        <v>#N/A</v>
      </c>
      <c r="C275" t="e">
        <f ca="1"/>
        <v>#N/A</v>
      </c>
      <c r="D275" t="e">
        <f ca="1"/>
        <v>#N/A</v>
      </c>
      <c r="E275" t="e">
        <f ca="1"/>
        <v>#N/A</v>
      </c>
      <c r="F275" t="e">
        <f ca="1"/>
        <v>#N/A</v>
      </c>
      <c r="G275" t="e">
        <f ca="1"/>
        <v>#N/A</v>
      </c>
      <c r="H275" t="e">
        <f ca="1"/>
        <v>#N/A</v>
      </c>
      <c r="I275" t="e">
        <f ca="1"/>
        <v>#N/A</v>
      </c>
      <c r="J275" t="e">
        <f ca="1"/>
        <v>#N/A</v>
      </c>
      <c r="K275" t="e">
        <f ca="1"/>
        <v>#N/A</v>
      </c>
    </row>
    <row r="276" spans="1:11" x14ac:dyDescent="0.25">
      <c r="A276" s="2" t="e">
        <f ca="1"/>
        <v>#N/A</v>
      </c>
      <c r="C276" t="e">
        <f ca="1"/>
        <v>#N/A</v>
      </c>
      <c r="D276" t="e">
        <f ca="1"/>
        <v>#N/A</v>
      </c>
      <c r="E276" t="e">
        <f ca="1"/>
        <v>#N/A</v>
      </c>
      <c r="F276" t="e">
        <f ca="1"/>
        <v>#N/A</v>
      </c>
      <c r="G276" t="e">
        <f ca="1"/>
        <v>#N/A</v>
      </c>
      <c r="H276" t="e">
        <f ca="1"/>
        <v>#N/A</v>
      </c>
      <c r="I276" t="e">
        <f ca="1"/>
        <v>#N/A</v>
      </c>
      <c r="J276" t="e">
        <f ca="1"/>
        <v>#N/A</v>
      </c>
      <c r="K276" t="e">
        <f ca="1"/>
        <v>#N/A</v>
      </c>
    </row>
    <row r="277" spans="1:11" x14ac:dyDescent="0.25">
      <c r="A277" s="2" t="e">
        <f ca="1"/>
        <v>#N/A</v>
      </c>
      <c r="C277" t="e">
        <f ca="1"/>
        <v>#N/A</v>
      </c>
      <c r="D277" t="e">
        <f ca="1"/>
        <v>#N/A</v>
      </c>
      <c r="E277" t="e">
        <f ca="1"/>
        <v>#N/A</v>
      </c>
      <c r="F277" t="e">
        <f ca="1"/>
        <v>#N/A</v>
      </c>
      <c r="G277" t="e">
        <f ca="1"/>
        <v>#N/A</v>
      </c>
      <c r="H277" t="e">
        <f ca="1"/>
        <v>#N/A</v>
      </c>
      <c r="I277" t="e">
        <f ca="1"/>
        <v>#N/A</v>
      </c>
      <c r="J277" t="e">
        <f ca="1"/>
        <v>#N/A</v>
      </c>
      <c r="K277" t="e">
        <f ca="1"/>
        <v>#N/A</v>
      </c>
    </row>
    <row r="278" spans="1:11" x14ac:dyDescent="0.25">
      <c r="A278" s="2" t="e">
        <f ca="1"/>
        <v>#N/A</v>
      </c>
      <c r="C278" t="e">
        <f ca="1"/>
        <v>#N/A</v>
      </c>
      <c r="D278" t="e">
        <f ca="1"/>
        <v>#N/A</v>
      </c>
      <c r="E278" t="e">
        <f ca="1"/>
        <v>#N/A</v>
      </c>
      <c r="F278" t="e">
        <f ca="1"/>
        <v>#N/A</v>
      </c>
      <c r="G278" t="e">
        <f ca="1"/>
        <v>#N/A</v>
      </c>
      <c r="H278" t="e">
        <f ca="1"/>
        <v>#N/A</v>
      </c>
      <c r="I278" t="e">
        <f ca="1"/>
        <v>#N/A</v>
      </c>
      <c r="J278" t="e">
        <f ca="1"/>
        <v>#N/A</v>
      </c>
      <c r="K278" t="e">
        <f ca="1"/>
        <v>#N/A</v>
      </c>
    </row>
    <row r="279" spans="1:11" x14ac:dyDescent="0.25">
      <c r="A279" s="2" t="e">
        <f ca="1"/>
        <v>#N/A</v>
      </c>
      <c r="C279" t="e">
        <f ca="1"/>
        <v>#N/A</v>
      </c>
      <c r="D279" t="e">
        <f ca="1"/>
        <v>#N/A</v>
      </c>
      <c r="E279" t="e">
        <f ca="1"/>
        <v>#N/A</v>
      </c>
      <c r="F279" t="e">
        <f ca="1"/>
        <v>#N/A</v>
      </c>
      <c r="G279" t="e">
        <f ca="1"/>
        <v>#N/A</v>
      </c>
      <c r="H279" t="e">
        <f ca="1"/>
        <v>#N/A</v>
      </c>
      <c r="I279" t="e">
        <f ca="1"/>
        <v>#N/A</v>
      </c>
      <c r="J279" t="e">
        <f ca="1"/>
        <v>#N/A</v>
      </c>
      <c r="K279" t="e">
        <f ca="1"/>
        <v>#N/A</v>
      </c>
    </row>
    <row r="280" spans="1:11" x14ac:dyDescent="0.25">
      <c r="A280" s="2" t="e">
        <f ca="1"/>
        <v>#N/A</v>
      </c>
      <c r="C280" t="e">
        <f ca="1"/>
        <v>#N/A</v>
      </c>
      <c r="D280" t="e">
        <f ca="1"/>
        <v>#N/A</v>
      </c>
      <c r="E280" t="e">
        <f ca="1"/>
        <v>#N/A</v>
      </c>
      <c r="F280" t="e">
        <f ca="1"/>
        <v>#N/A</v>
      </c>
      <c r="G280" t="e">
        <f ca="1"/>
        <v>#N/A</v>
      </c>
      <c r="H280" t="e">
        <f ca="1"/>
        <v>#N/A</v>
      </c>
      <c r="I280" t="e">
        <f ca="1"/>
        <v>#N/A</v>
      </c>
      <c r="J280" t="e">
        <f ca="1"/>
        <v>#N/A</v>
      </c>
      <c r="K280" t="e">
        <f ca="1"/>
        <v>#N/A</v>
      </c>
    </row>
    <row r="281" spans="1:11" x14ac:dyDescent="0.25">
      <c r="A281" s="2" t="e">
        <f ca="1"/>
        <v>#N/A</v>
      </c>
      <c r="C281" t="e">
        <f ca="1"/>
        <v>#N/A</v>
      </c>
      <c r="D281" t="e">
        <f ca="1"/>
        <v>#N/A</v>
      </c>
      <c r="E281" t="e">
        <f ca="1"/>
        <v>#N/A</v>
      </c>
      <c r="F281" t="e">
        <f ca="1"/>
        <v>#N/A</v>
      </c>
      <c r="G281" t="e">
        <f ca="1"/>
        <v>#N/A</v>
      </c>
      <c r="H281" t="e">
        <f ca="1"/>
        <v>#N/A</v>
      </c>
      <c r="I281" t="e">
        <f ca="1"/>
        <v>#N/A</v>
      </c>
      <c r="J281" t="e">
        <f ca="1"/>
        <v>#N/A</v>
      </c>
      <c r="K281" t="e">
        <f ca="1"/>
        <v>#N/A</v>
      </c>
    </row>
    <row r="282" spans="1:11" x14ac:dyDescent="0.25">
      <c r="A282" s="2" t="e">
        <f ca="1"/>
        <v>#N/A</v>
      </c>
      <c r="C282" t="e">
        <f ca="1"/>
        <v>#N/A</v>
      </c>
      <c r="D282" t="e">
        <f ca="1"/>
        <v>#N/A</v>
      </c>
      <c r="E282" t="e">
        <f ca="1"/>
        <v>#N/A</v>
      </c>
      <c r="F282" t="e">
        <f ca="1"/>
        <v>#N/A</v>
      </c>
      <c r="G282" t="e">
        <f ca="1"/>
        <v>#N/A</v>
      </c>
      <c r="H282" t="e">
        <f ca="1"/>
        <v>#N/A</v>
      </c>
      <c r="I282" t="e">
        <f ca="1"/>
        <v>#N/A</v>
      </c>
      <c r="J282" t="e">
        <f ca="1"/>
        <v>#N/A</v>
      </c>
      <c r="K282" t="e">
        <f ca="1"/>
        <v>#N/A</v>
      </c>
    </row>
    <row r="283" spans="1:11" x14ac:dyDescent="0.25">
      <c r="A283" s="2" t="e">
        <f ca="1"/>
        <v>#N/A</v>
      </c>
      <c r="C283" t="e">
        <f ca="1"/>
        <v>#N/A</v>
      </c>
      <c r="D283" t="e">
        <f ca="1"/>
        <v>#N/A</v>
      </c>
      <c r="E283" t="e">
        <f ca="1"/>
        <v>#N/A</v>
      </c>
      <c r="F283" t="e">
        <f ca="1"/>
        <v>#N/A</v>
      </c>
      <c r="G283" t="e">
        <f ca="1"/>
        <v>#N/A</v>
      </c>
      <c r="H283" t="e">
        <f ca="1"/>
        <v>#N/A</v>
      </c>
      <c r="I283" t="e">
        <f ca="1"/>
        <v>#N/A</v>
      </c>
      <c r="J283" t="e">
        <f ca="1"/>
        <v>#N/A</v>
      </c>
      <c r="K283" t="e">
        <f ca="1"/>
        <v>#N/A</v>
      </c>
    </row>
    <row r="284" spans="1:11" x14ac:dyDescent="0.25">
      <c r="A284" s="2" t="e">
        <f ca="1"/>
        <v>#N/A</v>
      </c>
      <c r="C284" t="e">
        <f ca="1"/>
        <v>#N/A</v>
      </c>
      <c r="D284" t="e">
        <f ca="1"/>
        <v>#N/A</v>
      </c>
      <c r="E284" t="e">
        <f ca="1"/>
        <v>#N/A</v>
      </c>
      <c r="F284" t="e">
        <f ca="1"/>
        <v>#N/A</v>
      </c>
      <c r="G284" t="e">
        <f ca="1"/>
        <v>#N/A</v>
      </c>
      <c r="H284" t="e">
        <f ca="1"/>
        <v>#N/A</v>
      </c>
      <c r="I284" t="e">
        <f ca="1"/>
        <v>#N/A</v>
      </c>
      <c r="J284" t="e">
        <f ca="1"/>
        <v>#N/A</v>
      </c>
      <c r="K284" t="e">
        <f ca="1"/>
        <v>#N/A</v>
      </c>
    </row>
    <row r="285" spans="1:11" x14ac:dyDescent="0.25">
      <c r="A285" s="2" t="e">
        <f ca="1"/>
        <v>#N/A</v>
      </c>
      <c r="C285" t="e">
        <f ca="1"/>
        <v>#N/A</v>
      </c>
      <c r="D285" t="e">
        <f ca="1"/>
        <v>#N/A</v>
      </c>
      <c r="E285" t="e">
        <f ca="1"/>
        <v>#N/A</v>
      </c>
      <c r="F285" t="e">
        <f ca="1"/>
        <v>#N/A</v>
      </c>
      <c r="G285" t="e">
        <f ca="1"/>
        <v>#N/A</v>
      </c>
      <c r="H285" t="e">
        <f ca="1"/>
        <v>#N/A</v>
      </c>
      <c r="I285" t="e">
        <f ca="1"/>
        <v>#N/A</v>
      </c>
      <c r="J285" t="e">
        <f ca="1"/>
        <v>#N/A</v>
      </c>
      <c r="K285" t="e">
        <f ca="1"/>
        <v>#N/A</v>
      </c>
    </row>
    <row r="286" spans="1:11" x14ac:dyDescent="0.25">
      <c r="A286" s="2" t="e">
        <f ca="1"/>
        <v>#N/A</v>
      </c>
      <c r="C286" t="e">
        <f ca="1"/>
        <v>#N/A</v>
      </c>
      <c r="D286" t="e">
        <f ca="1"/>
        <v>#N/A</v>
      </c>
      <c r="E286" t="e">
        <f ca="1"/>
        <v>#N/A</v>
      </c>
      <c r="F286" t="e">
        <f ca="1"/>
        <v>#N/A</v>
      </c>
      <c r="G286" t="e">
        <f ca="1"/>
        <v>#N/A</v>
      </c>
      <c r="H286" t="e">
        <f ca="1"/>
        <v>#N/A</v>
      </c>
      <c r="I286" t="e">
        <f ca="1"/>
        <v>#N/A</v>
      </c>
      <c r="J286" t="e">
        <f ca="1"/>
        <v>#N/A</v>
      </c>
      <c r="K286" t="e">
        <f ca="1"/>
        <v>#N/A</v>
      </c>
    </row>
    <row r="287" spans="1:11" x14ac:dyDescent="0.25">
      <c r="A287" s="2" t="e">
        <f ca="1"/>
        <v>#N/A</v>
      </c>
      <c r="C287" t="e">
        <f ca="1"/>
        <v>#N/A</v>
      </c>
      <c r="D287" t="e">
        <f ca="1"/>
        <v>#N/A</v>
      </c>
      <c r="E287" t="e">
        <f ca="1"/>
        <v>#N/A</v>
      </c>
      <c r="F287" t="e">
        <f ca="1"/>
        <v>#N/A</v>
      </c>
      <c r="G287" t="e">
        <f ca="1"/>
        <v>#N/A</v>
      </c>
      <c r="H287" t="e">
        <f ca="1"/>
        <v>#N/A</v>
      </c>
      <c r="I287" t="e">
        <f ca="1"/>
        <v>#N/A</v>
      </c>
      <c r="J287" t="e">
        <f ca="1"/>
        <v>#N/A</v>
      </c>
      <c r="K287" t="e">
        <f ca="1"/>
        <v>#N/A</v>
      </c>
    </row>
    <row r="288" spans="1:11" x14ac:dyDescent="0.25">
      <c r="A288" s="2" t="e">
        <f ca="1"/>
        <v>#N/A</v>
      </c>
      <c r="C288" t="e">
        <f ca="1"/>
        <v>#N/A</v>
      </c>
      <c r="D288" t="e">
        <f ca="1"/>
        <v>#N/A</v>
      </c>
      <c r="E288" t="e">
        <f ca="1"/>
        <v>#N/A</v>
      </c>
      <c r="F288" t="e">
        <f ca="1"/>
        <v>#N/A</v>
      </c>
      <c r="G288" t="e">
        <f ca="1"/>
        <v>#N/A</v>
      </c>
      <c r="H288" t="e">
        <f ca="1"/>
        <v>#N/A</v>
      </c>
      <c r="I288" t="e">
        <f ca="1"/>
        <v>#N/A</v>
      </c>
      <c r="J288" t="e">
        <f ca="1"/>
        <v>#N/A</v>
      </c>
      <c r="K288" t="e">
        <f ca="1"/>
        <v>#N/A</v>
      </c>
    </row>
    <row r="289" spans="1:11" x14ac:dyDescent="0.25">
      <c r="A289" s="2" t="e">
        <f ca="1"/>
        <v>#N/A</v>
      </c>
      <c r="C289" t="e">
        <f ca="1"/>
        <v>#N/A</v>
      </c>
      <c r="D289" t="e">
        <f ca="1"/>
        <v>#N/A</v>
      </c>
      <c r="E289" t="e">
        <f ca="1"/>
        <v>#N/A</v>
      </c>
      <c r="F289" t="e">
        <f ca="1"/>
        <v>#N/A</v>
      </c>
      <c r="G289" t="e">
        <f ca="1"/>
        <v>#N/A</v>
      </c>
      <c r="H289" t="e">
        <f ca="1"/>
        <v>#N/A</v>
      </c>
      <c r="I289" t="e">
        <f ca="1"/>
        <v>#N/A</v>
      </c>
      <c r="J289" t="e">
        <f ca="1"/>
        <v>#N/A</v>
      </c>
      <c r="K289" t="e">
        <f ca="1"/>
        <v>#N/A</v>
      </c>
    </row>
    <row r="290" spans="1:11" x14ac:dyDescent="0.25">
      <c r="A290" s="2" t="e">
        <f ca="1"/>
        <v>#N/A</v>
      </c>
      <c r="C290" t="e">
        <f ca="1"/>
        <v>#N/A</v>
      </c>
      <c r="D290" t="e">
        <f ca="1"/>
        <v>#N/A</v>
      </c>
      <c r="E290" t="e">
        <f ca="1"/>
        <v>#N/A</v>
      </c>
      <c r="F290" t="e">
        <f ca="1"/>
        <v>#N/A</v>
      </c>
      <c r="G290" t="e">
        <f ca="1"/>
        <v>#N/A</v>
      </c>
      <c r="H290" t="e">
        <f ca="1"/>
        <v>#N/A</v>
      </c>
      <c r="I290" t="e">
        <f ca="1"/>
        <v>#N/A</v>
      </c>
      <c r="J290" t="e">
        <f ca="1"/>
        <v>#N/A</v>
      </c>
      <c r="K290" t="e">
        <f ca="1"/>
        <v>#N/A</v>
      </c>
    </row>
    <row r="291" spans="1:11" x14ac:dyDescent="0.25">
      <c r="A291" s="2" t="e">
        <f ca="1"/>
        <v>#N/A</v>
      </c>
      <c r="C291" t="e">
        <f ca="1"/>
        <v>#N/A</v>
      </c>
      <c r="D291" t="e">
        <f ca="1"/>
        <v>#N/A</v>
      </c>
      <c r="E291" t="e">
        <f ca="1"/>
        <v>#N/A</v>
      </c>
      <c r="F291" t="e">
        <f ca="1"/>
        <v>#N/A</v>
      </c>
      <c r="G291" t="e">
        <f ca="1"/>
        <v>#N/A</v>
      </c>
      <c r="H291" t="e">
        <f ca="1"/>
        <v>#N/A</v>
      </c>
      <c r="I291" t="e">
        <f ca="1"/>
        <v>#N/A</v>
      </c>
      <c r="J291" t="e">
        <f ca="1"/>
        <v>#N/A</v>
      </c>
      <c r="K291" t="e">
        <f ca="1"/>
        <v>#N/A</v>
      </c>
    </row>
    <row r="292" spans="1:11" x14ac:dyDescent="0.25">
      <c r="A292" s="2" t="e">
        <f ca="1"/>
        <v>#N/A</v>
      </c>
      <c r="C292" t="e">
        <f ca="1"/>
        <v>#N/A</v>
      </c>
      <c r="D292" t="e">
        <f ca="1"/>
        <v>#N/A</v>
      </c>
      <c r="E292" t="e">
        <f ca="1"/>
        <v>#N/A</v>
      </c>
      <c r="F292" t="e">
        <f ca="1"/>
        <v>#N/A</v>
      </c>
      <c r="G292" t="e">
        <f ca="1"/>
        <v>#N/A</v>
      </c>
      <c r="H292" t="e">
        <f ca="1"/>
        <v>#N/A</v>
      </c>
      <c r="I292" t="e">
        <f ca="1"/>
        <v>#N/A</v>
      </c>
      <c r="J292" t="e">
        <f ca="1"/>
        <v>#N/A</v>
      </c>
      <c r="K292" t="e">
        <f ca="1"/>
        <v>#N/A</v>
      </c>
    </row>
    <row r="293" spans="1:11" x14ac:dyDescent="0.25">
      <c r="A293" s="2" t="e">
        <f ca="1"/>
        <v>#N/A</v>
      </c>
      <c r="C293" t="e">
        <f ca="1"/>
        <v>#N/A</v>
      </c>
      <c r="D293" t="e">
        <f ca="1"/>
        <v>#N/A</v>
      </c>
      <c r="E293" t="e">
        <f ca="1"/>
        <v>#N/A</v>
      </c>
      <c r="F293" t="e">
        <f ca="1"/>
        <v>#N/A</v>
      </c>
      <c r="G293" t="e">
        <f ca="1"/>
        <v>#N/A</v>
      </c>
      <c r="H293" t="e">
        <f ca="1"/>
        <v>#N/A</v>
      </c>
      <c r="I293" t="e">
        <f ca="1"/>
        <v>#N/A</v>
      </c>
      <c r="J293" t="e">
        <f ca="1"/>
        <v>#N/A</v>
      </c>
      <c r="K293" t="e">
        <f ca="1"/>
        <v>#N/A</v>
      </c>
    </row>
    <row r="294" spans="1:11" x14ac:dyDescent="0.25">
      <c r="A294" s="2" t="e">
        <f ca="1"/>
        <v>#N/A</v>
      </c>
      <c r="C294" t="e">
        <f ca="1"/>
        <v>#N/A</v>
      </c>
      <c r="D294" t="e">
        <f ca="1"/>
        <v>#N/A</v>
      </c>
      <c r="E294" t="e">
        <f ca="1"/>
        <v>#N/A</v>
      </c>
      <c r="F294" t="e">
        <f ca="1"/>
        <v>#N/A</v>
      </c>
      <c r="G294" t="e">
        <f ca="1"/>
        <v>#N/A</v>
      </c>
      <c r="H294" t="e">
        <f ca="1"/>
        <v>#N/A</v>
      </c>
      <c r="I294" t="e">
        <f ca="1"/>
        <v>#N/A</v>
      </c>
      <c r="J294" t="e">
        <f ca="1"/>
        <v>#N/A</v>
      </c>
      <c r="K294" t="e">
        <f ca="1"/>
        <v>#N/A</v>
      </c>
    </row>
    <row r="295" spans="1:11" x14ac:dyDescent="0.25">
      <c r="A295" s="2" t="e">
        <f ca="1"/>
        <v>#N/A</v>
      </c>
      <c r="C295" t="e">
        <f ca="1"/>
        <v>#N/A</v>
      </c>
      <c r="D295" t="e">
        <f ca="1"/>
        <v>#N/A</v>
      </c>
      <c r="E295" t="e">
        <f ca="1"/>
        <v>#N/A</v>
      </c>
      <c r="F295" t="e">
        <f ca="1"/>
        <v>#N/A</v>
      </c>
      <c r="G295" t="e">
        <f ca="1"/>
        <v>#N/A</v>
      </c>
      <c r="H295" t="e">
        <f ca="1"/>
        <v>#N/A</v>
      </c>
      <c r="I295" t="e">
        <f ca="1"/>
        <v>#N/A</v>
      </c>
      <c r="J295" t="e">
        <f ca="1"/>
        <v>#N/A</v>
      </c>
      <c r="K295" t="e">
        <f ca="1"/>
        <v>#N/A</v>
      </c>
    </row>
    <row r="296" spans="1:11" x14ac:dyDescent="0.25">
      <c r="A296" s="2" t="e">
        <f ca="1"/>
        <v>#N/A</v>
      </c>
      <c r="C296" t="e">
        <f ca="1"/>
        <v>#N/A</v>
      </c>
      <c r="D296" t="e">
        <f ca="1"/>
        <v>#N/A</v>
      </c>
      <c r="E296" t="e">
        <f ca="1"/>
        <v>#N/A</v>
      </c>
      <c r="F296" t="e">
        <f ca="1"/>
        <v>#N/A</v>
      </c>
      <c r="G296" t="e">
        <f ca="1"/>
        <v>#N/A</v>
      </c>
      <c r="H296" t="e">
        <f ca="1"/>
        <v>#N/A</v>
      </c>
      <c r="I296" t="e">
        <f ca="1"/>
        <v>#N/A</v>
      </c>
      <c r="J296" t="e">
        <f ca="1"/>
        <v>#N/A</v>
      </c>
      <c r="K296" t="e">
        <f ca="1"/>
        <v>#N/A</v>
      </c>
    </row>
    <row r="297" spans="1:11" x14ac:dyDescent="0.25">
      <c r="A297" s="2" t="e">
        <f ca="1"/>
        <v>#N/A</v>
      </c>
      <c r="C297" t="e">
        <f ca="1"/>
        <v>#N/A</v>
      </c>
      <c r="D297" t="e">
        <f ca="1"/>
        <v>#N/A</v>
      </c>
      <c r="E297" t="e">
        <f ca="1"/>
        <v>#N/A</v>
      </c>
      <c r="F297" t="e">
        <f ca="1"/>
        <v>#N/A</v>
      </c>
      <c r="G297" t="e">
        <f ca="1"/>
        <v>#N/A</v>
      </c>
      <c r="H297" t="e">
        <f ca="1"/>
        <v>#N/A</v>
      </c>
      <c r="I297" t="e">
        <f ca="1"/>
        <v>#N/A</v>
      </c>
      <c r="J297" t="e">
        <f ca="1"/>
        <v>#N/A</v>
      </c>
      <c r="K297" t="e">
        <f ca="1"/>
        <v>#N/A</v>
      </c>
    </row>
    <row r="298" spans="1:11" x14ac:dyDescent="0.25">
      <c r="A298" s="2" t="e">
        <f ca="1"/>
        <v>#N/A</v>
      </c>
      <c r="C298" t="e">
        <f ca="1"/>
        <v>#N/A</v>
      </c>
      <c r="D298" t="e">
        <f ca="1"/>
        <v>#N/A</v>
      </c>
      <c r="E298" t="e">
        <f ca="1"/>
        <v>#N/A</v>
      </c>
      <c r="F298" t="e">
        <f ca="1"/>
        <v>#N/A</v>
      </c>
      <c r="G298" t="e">
        <f ca="1"/>
        <v>#N/A</v>
      </c>
      <c r="H298" t="e">
        <f ca="1"/>
        <v>#N/A</v>
      </c>
      <c r="I298" t="e">
        <f ca="1"/>
        <v>#N/A</v>
      </c>
      <c r="J298" t="e">
        <f ca="1"/>
        <v>#N/A</v>
      </c>
      <c r="K298" t="e">
        <f ca="1"/>
        <v>#N/A</v>
      </c>
    </row>
    <row r="299" spans="1:11" x14ac:dyDescent="0.25">
      <c r="A299" s="2" t="e">
        <f ca="1"/>
        <v>#N/A</v>
      </c>
      <c r="C299" t="e">
        <f ca="1"/>
        <v>#N/A</v>
      </c>
      <c r="D299" t="e">
        <f ca="1"/>
        <v>#N/A</v>
      </c>
      <c r="E299" t="e">
        <f ca="1"/>
        <v>#N/A</v>
      </c>
      <c r="F299" t="e">
        <f ca="1"/>
        <v>#N/A</v>
      </c>
      <c r="G299" t="e">
        <f ca="1"/>
        <v>#N/A</v>
      </c>
      <c r="H299" t="e">
        <f ca="1"/>
        <v>#N/A</v>
      </c>
      <c r="I299" t="e">
        <f ca="1"/>
        <v>#N/A</v>
      </c>
      <c r="J299" t="e">
        <f ca="1"/>
        <v>#N/A</v>
      </c>
      <c r="K299" t="e">
        <f ca="1"/>
        <v>#N/A</v>
      </c>
    </row>
    <row r="300" spans="1:11" x14ac:dyDescent="0.25">
      <c r="A300" s="2" t="e">
        <f ca="1"/>
        <v>#N/A</v>
      </c>
      <c r="C300" t="e">
        <f ca="1"/>
        <v>#N/A</v>
      </c>
      <c r="D300" t="e">
        <f ca="1"/>
        <v>#N/A</v>
      </c>
      <c r="E300" t="e">
        <f ca="1"/>
        <v>#N/A</v>
      </c>
      <c r="F300" t="e">
        <f ca="1"/>
        <v>#N/A</v>
      </c>
      <c r="G300" t="e">
        <f ca="1"/>
        <v>#N/A</v>
      </c>
      <c r="H300" t="e">
        <f ca="1"/>
        <v>#N/A</v>
      </c>
      <c r="I300" t="e">
        <f ca="1"/>
        <v>#N/A</v>
      </c>
      <c r="J300" t="e">
        <f ca="1"/>
        <v>#N/A</v>
      </c>
      <c r="K300" t="e">
        <f ca="1"/>
        <v>#N/A</v>
      </c>
    </row>
    <row r="301" spans="1:11" x14ac:dyDescent="0.25">
      <c r="A301" s="2" t="e">
        <f ca="1"/>
        <v>#N/A</v>
      </c>
      <c r="C301" t="e">
        <f ca="1"/>
        <v>#N/A</v>
      </c>
      <c r="D301" t="e">
        <f ca="1"/>
        <v>#N/A</v>
      </c>
      <c r="E301" t="e">
        <f ca="1"/>
        <v>#N/A</v>
      </c>
      <c r="F301" t="e">
        <f ca="1"/>
        <v>#N/A</v>
      </c>
      <c r="G301" t="e">
        <f ca="1"/>
        <v>#N/A</v>
      </c>
      <c r="H301" t="e">
        <f ca="1"/>
        <v>#N/A</v>
      </c>
      <c r="I301" t="e">
        <f ca="1"/>
        <v>#N/A</v>
      </c>
      <c r="J301" t="e">
        <f ca="1"/>
        <v>#N/A</v>
      </c>
      <c r="K301" t="e">
        <f ca="1"/>
        <v>#N/A</v>
      </c>
    </row>
    <row r="302" spans="1:11" x14ac:dyDescent="0.25">
      <c r="A302" s="2" t="e">
        <f ca="1"/>
        <v>#N/A</v>
      </c>
      <c r="C302" t="e">
        <f ca="1"/>
        <v>#N/A</v>
      </c>
      <c r="D302" t="e">
        <f ca="1"/>
        <v>#N/A</v>
      </c>
      <c r="E302" t="e">
        <f ca="1"/>
        <v>#N/A</v>
      </c>
      <c r="F302" t="e">
        <f ca="1"/>
        <v>#N/A</v>
      </c>
      <c r="G302" t="e">
        <f ca="1"/>
        <v>#N/A</v>
      </c>
      <c r="H302" t="e">
        <f ca="1"/>
        <v>#N/A</v>
      </c>
      <c r="I302" t="e">
        <f ca="1"/>
        <v>#N/A</v>
      </c>
      <c r="J302" t="e">
        <f ca="1"/>
        <v>#N/A</v>
      </c>
      <c r="K302" t="e">
        <f ca="1"/>
        <v>#N/A</v>
      </c>
    </row>
    <row r="303" spans="1:11" x14ac:dyDescent="0.25">
      <c r="A303" s="2" t="e">
        <f ca="1"/>
        <v>#N/A</v>
      </c>
      <c r="C303" t="e">
        <f ca="1"/>
        <v>#N/A</v>
      </c>
      <c r="D303" t="e">
        <f ca="1"/>
        <v>#N/A</v>
      </c>
      <c r="E303" t="e">
        <f ca="1"/>
        <v>#N/A</v>
      </c>
      <c r="F303" t="e">
        <f ca="1"/>
        <v>#N/A</v>
      </c>
      <c r="G303" t="e">
        <f ca="1"/>
        <v>#N/A</v>
      </c>
      <c r="H303" t="e">
        <f ca="1"/>
        <v>#N/A</v>
      </c>
      <c r="I303" t="e">
        <f ca="1"/>
        <v>#N/A</v>
      </c>
      <c r="J303" t="e">
        <f ca="1"/>
        <v>#N/A</v>
      </c>
      <c r="K303" t="e">
        <f ca="1"/>
        <v>#N/A</v>
      </c>
    </row>
    <row r="304" spans="1:11" x14ac:dyDescent="0.25">
      <c r="A304" s="2" t="e">
        <f ca="1"/>
        <v>#N/A</v>
      </c>
      <c r="C304" t="e">
        <f ca="1"/>
        <v>#N/A</v>
      </c>
      <c r="D304" t="e">
        <f ca="1"/>
        <v>#N/A</v>
      </c>
      <c r="E304" t="e">
        <f ca="1"/>
        <v>#N/A</v>
      </c>
      <c r="F304" t="e">
        <f ca="1"/>
        <v>#N/A</v>
      </c>
      <c r="G304" t="e">
        <f ca="1"/>
        <v>#N/A</v>
      </c>
      <c r="H304" t="e">
        <f ca="1"/>
        <v>#N/A</v>
      </c>
      <c r="I304" t="e">
        <f ca="1"/>
        <v>#N/A</v>
      </c>
      <c r="J304" t="e">
        <f ca="1"/>
        <v>#N/A</v>
      </c>
      <c r="K304" t="e">
        <f ca="1"/>
        <v>#N/A</v>
      </c>
    </row>
    <row r="305" spans="1:11" x14ac:dyDescent="0.25">
      <c r="A305" s="2" t="e">
        <f ca="1"/>
        <v>#N/A</v>
      </c>
      <c r="C305" t="e">
        <f ca="1"/>
        <v>#N/A</v>
      </c>
      <c r="D305" t="e">
        <f ca="1"/>
        <v>#N/A</v>
      </c>
      <c r="E305" t="e">
        <f ca="1"/>
        <v>#N/A</v>
      </c>
      <c r="F305" t="e">
        <f ca="1"/>
        <v>#N/A</v>
      </c>
      <c r="G305" t="e">
        <f ca="1"/>
        <v>#N/A</v>
      </c>
      <c r="H305" t="e">
        <f ca="1"/>
        <v>#N/A</v>
      </c>
      <c r="I305" t="e">
        <f ca="1"/>
        <v>#N/A</v>
      </c>
      <c r="J305" t="e">
        <f ca="1"/>
        <v>#N/A</v>
      </c>
      <c r="K305" t="e">
        <f ca="1"/>
        <v>#N/A</v>
      </c>
    </row>
    <row r="306" spans="1:11" x14ac:dyDescent="0.25">
      <c r="A306" s="2" t="e">
        <f ca="1"/>
        <v>#N/A</v>
      </c>
      <c r="C306" t="e">
        <f ca="1"/>
        <v>#N/A</v>
      </c>
      <c r="D306" t="e">
        <f ca="1"/>
        <v>#N/A</v>
      </c>
      <c r="E306" t="e">
        <f ca="1"/>
        <v>#N/A</v>
      </c>
      <c r="F306" t="e">
        <f ca="1"/>
        <v>#N/A</v>
      </c>
      <c r="G306" t="e">
        <f ca="1"/>
        <v>#N/A</v>
      </c>
      <c r="H306" t="e">
        <f ca="1"/>
        <v>#N/A</v>
      </c>
      <c r="I306" t="e">
        <f ca="1"/>
        <v>#N/A</v>
      </c>
      <c r="J306" t="e">
        <f ca="1"/>
        <v>#N/A</v>
      </c>
      <c r="K306" t="e">
        <f ca="1"/>
        <v>#N/A</v>
      </c>
    </row>
    <row r="307" spans="1:11" x14ac:dyDescent="0.25">
      <c r="A307" s="2" t="e">
        <f ca="1"/>
        <v>#N/A</v>
      </c>
      <c r="C307" t="e">
        <f ca="1"/>
        <v>#N/A</v>
      </c>
      <c r="D307" t="e">
        <f ca="1"/>
        <v>#N/A</v>
      </c>
      <c r="E307" t="e">
        <f ca="1"/>
        <v>#N/A</v>
      </c>
      <c r="F307" t="e">
        <f ca="1"/>
        <v>#N/A</v>
      </c>
      <c r="G307" t="e">
        <f ca="1"/>
        <v>#N/A</v>
      </c>
      <c r="H307" t="e">
        <f ca="1"/>
        <v>#N/A</v>
      </c>
      <c r="I307" t="e">
        <f ca="1"/>
        <v>#N/A</v>
      </c>
      <c r="J307" t="e">
        <f ca="1"/>
        <v>#N/A</v>
      </c>
      <c r="K307" t="e">
        <f ca="1"/>
        <v>#N/A</v>
      </c>
    </row>
    <row r="308" spans="1:11" x14ac:dyDescent="0.25">
      <c r="A308" s="2" t="e">
        <f ca="1"/>
        <v>#N/A</v>
      </c>
      <c r="C308" t="e">
        <f ca="1"/>
        <v>#N/A</v>
      </c>
      <c r="D308" t="e">
        <f ca="1"/>
        <v>#N/A</v>
      </c>
      <c r="E308" t="e">
        <f ca="1"/>
        <v>#N/A</v>
      </c>
      <c r="F308" t="e">
        <f ca="1"/>
        <v>#N/A</v>
      </c>
      <c r="G308" t="e">
        <f ca="1"/>
        <v>#N/A</v>
      </c>
      <c r="H308" t="e">
        <f ca="1"/>
        <v>#N/A</v>
      </c>
      <c r="I308" t="e">
        <f ca="1"/>
        <v>#N/A</v>
      </c>
      <c r="J308" t="e">
        <f ca="1"/>
        <v>#N/A</v>
      </c>
      <c r="K308" t="e">
        <f ca="1"/>
        <v>#N/A</v>
      </c>
    </row>
    <row r="309" spans="1:11" x14ac:dyDescent="0.25">
      <c r="A309" s="2" t="e">
        <f ca="1"/>
        <v>#N/A</v>
      </c>
      <c r="C309" t="e">
        <f ca="1"/>
        <v>#N/A</v>
      </c>
      <c r="D309" t="e">
        <f ca="1"/>
        <v>#N/A</v>
      </c>
      <c r="E309" t="e">
        <f ca="1"/>
        <v>#N/A</v>
      </c>
      <c r="F309" t="e">
        <f ca="1"/>
        <v>#N/A</v>
      </c>
      <c r="G309" t="e">
        <f ca="1"/>
        <v>#N/A</v>
      </c>
      <c r="H309" t="e">
        <f ca="1"/>
        <v>#N/A</v>
      </c>
      <c r="I309" t="e">
        <f ca="1"/>
        <v>#N/A</v>
      </c>
      <c r="J309" t="e">
        <f ca="1"/>
        <v>#N/A</v>
      </c>
      <c r="K309" t="e">
        <f ca="1"/>
        <v>#N/A</v>
      </c>
    </row>
    <row r="310" spans="1:11" x14ac:dyDescent="0.25">
      <c r="A310" s="2" t="e">
        <f ca="1"/>
        <v>#N/A</v>
      </c>
      <c r="C310" t="e">
        <f ca="1"/>
        <v>#N/A</v>
      </c>
      <c r="D310" t="e">
        <f ca="1"/>
        <v>#N/A</v>
      </c>
      <c r="E310" t="e">
        <f ca="1"/>
        <v>#N/A</v>
      </c>
      <c r="F310" t="e">
        <f ca="1"/>
        <v>#N/A</v>
      </c>
      <c r="G310" t="e">
        <f ca="1"/>
        <v>#N/A</v>
      </c>
      <c r="H310" t="e">
        <f ca="1"/>
        <v>#N/A</v>
      </c>
      <c r="I310" t="e">
        <f ca="1"/>
        <v>#N/A</v>
      </c>
      <c r="J310" t="e">
        <f ca="1"/>
        <v>#N/A</v>
      </c>
      <c r="K310" t="e">
        <f ca="1"/>
        <v>#N/A</v>
      </c>
    </row>
    <row r="311" spans="1:11" x14ac:dyDescent="0.25">
      <c r="A311" s="2" t="e">
        <f ca="1"/>
        <v>#N/A</v>
      </c>
      <c r="C311" t="e">
        <f ca="1"/>
        <v>#N/A</v>
      </c>
      <c r="D311" t="e">
        <f ca="1"/>
        <v>#N/A</v>
      </c>
      <c r="E311" t="e">
        <f ca="1"/>
        <v>#N/A</v>
      </c>
      <c r="F311" t="e">
        <f ca="1"/>
        <v>#N/A</v>
      </c>
      <c r="G311" t="e">
        <f ca="1"/>
        <v>#N/A</v>
      </c>
      <c r="H311" t="e">
        <f ca="1"/>
        <v>#N/A</v>
      </c>
      <c r="I311" t="e">
        <f ca="1"/>
        <v>#N/A</v>
      </c>
      <c r="J311" t="e">
        <f ca="1"/>
        <v>#N/A</v>
      </c>
      <c r="K311" t="e">
        <f ca="1"/>
        <v>#N/A</v>
      </c>
    </row>
    <row r="312" spans="1:11" x14ac:dyDescent="0.25">
      <c r="A312" s="2" t="e">
        <f ca="1"/>
        <v>#N/A</v>
      </c>
      <c r="C312" t="e">
        <f ca="1"/>
        <v>#N/A</v>
      </c>
      <c r="D312" t="e">
        <f ca="1"/>
        <v>#N/A</v>
      </c>
      <c r="E312" t="e">
        <f ca="1"/>
        <v>#N/A</v>
      </c>
      <c r="F312" t="e">
        <f ca="1"/>
        <v>#N/A</v>
      </c>
      <c r="G312" t="e">
        <f ca="1"/>
        <v>#N/A</v>
      </c>
      <c r="H312" t="e">
        <f ca="1"/>
        <v>#N/A</v>
      </c>
      <c r="I312" t="e">
        <f ca="1"/>
        <v>#N/A</v>
      </c>
      <c r="J312" t="e">
        <f ca="1"/>
        <v>#N/A</v>
      </c>
      <c r="K312" t="e">
        <f ca="1"/>
        <v>#N/A</v>
      </c>
    </row>
    <row r="313" spans="1:11" x14ac:dyDescent="0.25">
      <c r="A313" s="2" t="e">
        <f ca="1"/>
        <v>#N/A</v>
      </c>
      <c r="C313" t="e">
        <f ca="1"/>
        <v>#N/A</v>
      </c>
      <c r="D313" t="e">
        <f ca="1"/>
        <v>#N/A</v>
      </c>
      <c r="E313" t="e">
        <f ca="1"/>
        <v>#N/A</v>
      </c>
      <c r="F313" t="e">
        <f ca="1"/>
        <v>#N/A</v>
      </c>
      <c r="G313" t="e">
        <f ca="1"/>
        <v>#N/A</v>
      </c>
      <c r="H313" t="e">
        <f ca="1"/>
        <v>#N/A</v>
      </c>
      <c r="I313" t="e">
        <f ca="1"/>
        <v>#N/A</v>
      </c>
      <c r="J313" t="e">
        <f ca="1"/>
        <v>#N/A</v>
      </c>
      <c r="K313" t="e">
        <f ca="1"/>
        <v>#N/A</v>
      </c>
    </row>
    <row r="314" spans="1:11" x14ac:dyDescent="0.25">
      <c r="A314" s="2" t="e">
        <f ca="1"/>
        <v>#N/A</v>
      </c>
      <c r="C314" t="e">
        <f ca="1"/>
        <v>#N/A</v>
      </c>
      <c r="D314" t="e">
        <f ca="1"/>
        <v>#N/A</v>
      </c>
      <c r="E314" t="e">
        <f ca="1"/>
        <v>#N/A</v>
      </c>
      <c r="F314" t="e">
        <f ca="1"/>
        <v>#N/A</v>
      </c>
      <c r="G314" t="e">
        <f ca="1"/>
        <v>#N/A</v>
      </c>
      <c r="H314" t="e">
        <f ca="1"/>
        <v>#N/A</v>
      </c>
      <c r="I314" t="e">
        <f ca="1"/>
        <v>#N/A</v>
      </c>
      <c r="J314" t="e">
        <f ca="1"/>
        <v>#N/A</v>
      </c>
      <c r="K314" t="e">
        <f ca="1"/>
        <v>#N/A</v>
      </c>
    </row>
    <row r="315" spans="1:11" x14ac:dyDescent="0.25">
      <c r="A315" s="2" t="e">
        <f ca="1"/>
        <v>#N/A</v>
      </c>
      <c r="C315" t="e">
        <f ca="1"/>
        <v>#N/A</v>
      </c>
      <c r="D315" t="e">
        <f ca="1"/>
        <v>#N/A</v>
      </c>
      <c r="E315" t="e">
        <f ca="1"/>
        <v>#N/A</v>
      </c>
      <c r="F315" t="e">
        <f ca="1"/>
        <v>#N/A</v>
      </c>
      <c r="G315" t="e">
        <f ca="1"/>
        <v>#N/A</v>
      </c>
      <c r="H315" t="e">
        <f ca="1"/>
        <v>#N/A</v>
      </c>
      <c r="I315" t="e">
        <f ca="1"/>
        <v>#N/A</v>
      </c>
      <c r="J315" t="e">
        <f ca="1"/>
        <v>#N/A</v>
      </c>
      <c r="K315" t="e">
        <f ca="1"/>
        <v>#N/A</v>
      </c>
    </row>
    <row r="316" spans="1:11" x14ac:dyDescent="0.25">
      <c r="A316" s="2" t="e">
        <f ca="1"/>
        <v>#N/A</v>
      </c>
      <c r="C316" t="e">
        <f ca="1"/>
        <v>#N/A</v>
      </c>
      <c r="D316" t="e">
        <f ca="1"/>
        <v>#N/A</v>
      </c>
      <c r="E316" t="e">
        <f ca="1"/>
        <v>#N/A</v>
      </c>
      <c r="F316" t="e">
        <f ca="1"/>
        <v>#N/A</v>
      </c>
      <c r="G316" t="e">
        <f ca="1"/>
        <v>#N/A</v>
      </c>
      <c r="H316" t="e">
        <f ca="1"/>
        <v>#N/A</v>
      </c>
      <c r="I316" t="e">
        <f ca="1"/>
        <v>#N/A</v>
      </c>
      <c r="J316" t="e">
        <f ca="1"/>
        <v>#N/A</v>
      </c>
      <c r="K316" t="e">
        <f ca="1"/>
        <v>#N/A</v>
      </c>
    </row>
    <row r="317" spans="1:11" x14ac:dyDescent="0.25">
      <c r="A317" s="2" t="e">
        <f ca="1"/>
        <v>#N/A</v>
      </c>
      <c r="C317" t="e">
        <f ca="1"/>
        <v>#N/A</v>
      </c>
      <c r="D317" t="e">
        <f ca="1"/>
        <v>#N/A</v>
      </c>
      <c r="E317" t="e">
        <f ca="1"/>
        <v>#N/A</v>
      </c>
      <c r="F317" t="e">
        <f ca="1"/>
        <v>#N/A</v>
      </c>
      <c r="G317" t="e">
        <f ca="1"/>
        <v>#N/A</v>
      </c>
      <c r="H317" t="e">
        <f ca="1"/>
        <v>#N/A</v>
      </c>
      <c r="I317" t="e">
        <f ca="1"/>
        <v>#N/A</v>
      </c>
      <c r="J317" t="e">
        <f ca="1"/>
        <v>#N/A</v>
      </c>
      <c r="K317" t="e">
        <f ca="1"/>
        <v>#N/A</v>
      </c>
    </row>
    <row r="318" spans="1:11" x14ac:dyDescent="0.25">
      <c r="A318" s="2" t="e">
        <f ca="1"/>
        <v>#N/A</v>
      </c>
      <c r="C318" t="e">
        <f ca="1"/>
        <v>#N/A</v>
      </c>
      <c r="D318" t="e">
        <f ca="1"/>
        <v>#N/A</v>
      </c>
      <c r="E318" t="e">
        <f ca="1"/>
        <v>#N/A</v>
      </c>
      <c r="F318" t="e">
        <f ca="1"/>
        <v>#N/A</v>
      </c>
      <c r="G318" t="e">
        <f ca="1"/>
        <v>#N/A</v>
      </c>
      <c r="H318" t="e">
        <f ca="1"/>
        <v>#N/A</v>
      </c>
      <c r="I318" t="e">
        <f ca="1"/>
        <v>#N/A</v>
      </c>
      <c r="J318" t="e">
        <f ca="1"/>
        <v>#N/A</v>
      </c>
      <c r="K318" t="e">
        <f ca="1"/>
        <v>#N/A</v>
      </c>
    </row>
    <row r="319" spans="1:11" x14ac:dyDescent="0.25">
      <c r="A319" s="2" t="e">
        <f ca="1"/>
        <v>#N/A</v>
      </c>
      <c r="C319" t="e">
        <f ca="1"/>
        <v>#N/A</v>
      </c>
      <c r="D319" t="e">
        <f ca="1"/>
        <v>#N/A</v>
      </c>
      <c r="E319" t="e">
        <f ca="1"/>
        <v>#N/A</v>
      </c>
      <c r="F319" t="e">
        <f ca="1"/>
        <v>#N/A</v>
      </c>
      <c r="G319" t="e">
        <f ca="1"/>
        <v>#N/A</v>
      </c>
      <c r="H319" t="e">
        <f ca="1"/>
        <v>#N/A</v>
      </c>
      <c r="I319" t="e">
        <f ca="1"/>
        <v>#N/A</v>
      </c>
      <c r="J319" t="e">
        <f ca="1"/>
        <v>#N/A</v>
      </c>
      <c r="K319" t="e">
        <f ca="1"/>
        <v>#N/A</v>
      </c>
    </row>
    <row r="320" spans="1:11" x14ac:dyDescent="0.25">
      <c r="A320" s="2" t="e">
        <f ca="1"/>
        <v>#N/A</v>
      </c>
      <c r="C320" t="e">
        <f ca="1"/>
        <v>#N/A</v>
      </c>
      <c r="D320" t="e">
        <f ca="1"/>
        <v>#N/A</v>
      </c>
      <c r="E320" t="e">
        <f ca="1"/>
        <v>#N/A</v>
      </c>
      <c r="F320" t="e">
        <f ca="1"/>
        <v>#N/A</v>
      </c>
      <c r="G320" t="e">
        <f ca="1"/>
        <v>#N/A</v>
      </c>
      <c r="H320" t="e">
        <f ca="1"/>
        <v>#N/A</v>
      </c>
      <c r="I320" t="e">
        <f ca="1"/>
        <v>#N/A</v>
      </c>
      <c r="J320" t="e">
        <f ca="1"/>
        <v>#N/A</v>
      </c>
      <c r="K320" t="e">
        <f ca="1"/>
        <v>#N/A</v>
      </c>
    </row>
    <row r="321" spans="1:11" x14ac:dyDescent="0.25">
      <c r="A321" s="2" t="e">
        <f ca="1"/>
        <v>#N/A</v>
      </c>
      <c r="C321" t="e">
        <f ca="1"/>
        <v>#N/A</v>
      </c>
      <c r="D321" t="e">
        <f ca="1"/>
        <v>#N/A</v>
      </c>
      <c r="E321" t="e">
        <f ca="1"/>
        <v>#N/A</v>
      </c>
      <c r="F321" t="e">
        <f ca="1"/>
        <v>#N/A</v>
      </c>
      <c r="G321" t="e">
        <f ca="1"/>
        <v>#N/A</v>
      </c>
      <c r="H321" t="e">
        <f ca="1"/>
        <v>#N/A</v>
      </c>
      <c r="I321" t="e">
        <f ca="1"/>
        <v>#N/A</v>
      </c>
      <c r="J321" t="e">
        <f ca="1"/>
        <v>#N/A</v>
      </c>
      <c r="K321" t="e">
        <f ca="1"/>
        <v>#N/A</v>
      </c>
    </row>
    <row r="322" spans="1:11" x14ac:dyDescent="0.25">
      <c r="A322" s="2" t="e">
        <f ca="1"/>
        <v>#N/A</v>
      </c>
      <c r="C322" t="e">
        <f ca="1"/>
        <v>#N/A</v>
      </c>
      <c r="D322" t="e">
        <f ca="1"/>
        <v>#N/A</v>
      </c>
      <c r="E322" t="e">
        <f ca="1"/>
        <v>#N/A</v>
      </c>
      <c r="F322" t="e">
        <f ca="1"/>
        <v>#N/A</v>
      </c>
      <c r="G322" t="e">
        <f ca="1"/>
        <v>#N/A</v>
      </c>
      <c r="H322" t="e">
        <f ca="1"/>
        <v>#N/A</v>
      </c>
      <c r="I322" t="e">
        <f ca="1"/>
        <v>#N/A</v>
      </c>
      <c r="J322" t="e">
        <f ca="1"/>
        <v>#N/A</v>
      </c>
      <c r="K322" t="e">
        <f ca="1"/>
        <v>#N/A</v>
      </c>
    </row>
    <row r="323" spans="1:11" x14ac:dyDescent="0.25">
      <c r="A323" s="2" t="e">
        <f ca="1"/>
        <v>#N/A</v>
      </c>
      <c r="C323" t="e">
        <f ca="1"/>
        <v>#N/A</v>
      </c>
      <c r="D323" t="e">
        <f ca="1"/>
        <v>#N/A</v>
      </c>
      <c r="E323" t="e">
        <f ca="1"/>
        <v>#N/A</v>
      </c>
      <c r="F323" t="e">
        <f ca="1"/>
        <v>#N/A</v>
      </c>
      <c r="G323" t="e">
        <f ca="1"/>
        <v>#N/A</v>
      </c>
      <c r="H323" t="e">
        <f ca="1"/>
        <v>#N/A</v>
      </c>
      <c r="I323" t="e">
        <f ca="1"/>
        <v>#N/A</v>
      </c>
      <c r="J323" t="e">
        <f ca="1"/>
        <v>#N/A</v>
      </c>
      <c r="K323" t="e">
        <f ca="1"/>
        <v>#N/A</v>
      </c>
    </row>
    <row r="324" spans="1:11" x14ac:dyDescent="0.25">
      <c r="A324" s="2" t="e">
        <f ca="1"/>
        <v>#N/A</v>
      </c>
      <c r="C324" t="e">
        <f ca="1"/>
        <v>#N/A</v>
      </c>
      <c r="D324" t="e">
        <f ca="1"/>
        <v>#N/A</v>
      </c>
      <c r="E324" t="e">
        <f ca="1"/>
        <v>#N/A</v>
      </c>
      <c r="F324" t="e">
        <f ca="1"/>
        <v>#N/A</v>
      </c>
      <c r="G324" t="e">
        <f ca="1"/>
        <v>#N/A</v>
      </c>
      <c r="H324" t="e">
        <f ca="1"/>
        <v>#N/A</v>
      </c>
      <c r="I324" t="e">
        <f ca="1"/>
        <v>#N/A</v>
      </c>
      <c r="J324" t="e">
        <f ca="1"/>
        <v>#N/A</v>
      </c>
      <c r="K324" t="e">
        <f ca="1"/>
        <v>#N/A</v>
      </c>
    </row>
    <row r="325" spans="1:11" x14ac:dyDescent="0.25">
      <c r="A325" s="2" t="e">
        <f ca="1"/>
        <v>#N/A</v>
      </c>
      <c r="C325" t="e">
        <f ca="1"/>
        <v>#N/A</v>
      </c>
      <c r="D325" t="e">
        <f ca="1"/>
        <v>#N/A</v>
      </c>
      <c r="E325" t="e">
        <f ca="1"/>
        <v>#N/A</v>
      </c>
      <c r="F325" t="e">
        <f ca="1"/>
        <v>#N/A</v>
      </c>
      <c r="G325" t="e">
        <f ca="1"/>
        <v>#N/A</v>
      </c>
      <c r="H325" t="e">
        <f ca="1"/>
        <v>#N/A</v>
      </c>
      <c r="I325" t="e">
        <f ca="1"/>
        <v>#N/A</v>
      </c>
      <c r="J325" t="e">
        <f ca="1"/>
        <v>#N/A</v>
      </c>
      <c r="K325" t="e">
        <f ca="1"/>
        <v>#N/A</v>
      </c>
    </row>
    <row r="326" spans="1:11" x14ac:dyDescent="0.25">
      <c r="A326" s="2" t="e">
        <f ca="1"/>
        <v>#N/A</v>
      </c>
      <c r="C326" t="e">
        <f ca="1"/>
        <v>#N/A</v>
      </c>
      <c r="D326" t="e">
        <f ca="1"/>
        <v>#N/A</v>
      </c>
      <c r="E326" t="e">
        <f ca="1"/>
        <v>#N/A</v>
      </c>
      <c r="F326" t="e">
        <f ca="1"/>
        <v>#N/A</v>
      </c>
      <c r="G326" t="e">
        <f ca="1"/>
        <v>#N/A</v>
      </c>
      <c r="H326" t="e">
        <f ca="1"/>
        <v>#N/A</v>
      </c>
      <c r="I326" t="e">
        <f ca="1"/>
        <v>#N/A</v>
      </c>
      <c r="J326" t="e">
        <f ca="1"/>
        <v>#N/A</v>
      </c>
      <c r="K326" t="e">
        <f ca="1"/>
        <v>#N/A</v>
      </c>
    </row>
    <row r="327" spans="1:11" x14ac:dyDescent="0.25">
      <c r="A327" s="2" t="e">
        <f ca="1"/>
        <v>#N/A</v>
      </c>
      <c r="C327" t="e">
        <f ca="1"/>
        <v>#N/A</v>
      </c>
      <c r="D327" t="e">
        <f ca="1"/>
        <v>#N/A</v>
      </c>
      <c r="E327" t="e">
        <f ca="1"/>
        <v>#N/A</v>
      </c>
      <c r="F327" t="e">
        <f ca="1"/>
        <v>#N/A</v>
      </c>
      <c r="G327" t="e">
        <f ca="1"/>
        <v>#N/A</v>
      </c>
      <c r="H327" t="e">
        <f ca="1"/>
        <v>#N/A</v>
      </c>
      <c r="I327" t="e">
        <f ca="1"/>
        <v>#N/A</v>
      </c>
      <c r="J327" t="e">
        <f ca="1"/>
        <v>#N/A</v>
      </c>
      <c r="K327" t="e">
        <f ca="1"/>
        <v>#N/A</v>
      </c>
    </row>
    <row r="328" spans="1:11" x14ac:dyDescent="0.25">
      <c r="A328" s="2" t="e">
        <f ca="1"/>
        <v>#N/A</v>
      </c>
      <c r="C328" t="e">
        <f ca="1"/>
        <v>#N/A</v>
      </c>
      <c r="D328" t="e">
        <f ca="1"/>
        <v>#N/A</v>
      </c>
      <c r="E328" t="e">
        <f ca="1"/>
        <v>#N/A</v>
      </c>
      <c r="F328" t="e">
        <f ca="1"/>
        <v>#N/A</v>
      </c>
      <c r="G328" t="e">
        <f ca="1"/>
        <v>#N/A</v>
      </c>
      <c r="H328" t="e">
        <f ca="1"/>
        <v>#N/A</v>
      </c>
      <c r="I328" t="e">
        <f ca="1"/>
        <v>#N/A</v>
      </c>
      <c r="J328" t="e">
        <f ca="1"/>
        <v>#N/A</v>
      </c>
      <c r="K328" t="e">
        <f ca="1"/>
        <v>#N/A</v>
      </c>
    </row>
    <row r="329" spans="1:11" x14ac:dyDescent="0.25">
      <c r="A329" s="2" t="e">
        <f ca="1"/>
        <v>#N/A</v>
      </c>
      <c r="C329" t="e">
        <f ca="1"/>
        <v>#N/A</v>
      </c>
      <c r="D329" t="e">
        <f ca="1"/>
        <v>#N/A</v>
      </c>
      <c r="E329" t="e">
        <f ca="1"/>
        <v>#N/A</v>
      </c>
      <c r="F329" t="e">
        <f ca="1"/>
        <v>#N/A</v>
      </c>
      <c r="G329" t="e">
        <f ca="1"/>
        <v>#N/A</v>
      </c>
      <c r="H329" t="e">
        <f ca="1"/>
        <v>#N/A</v>
      </c>
      <c r="I329" t="e">
        <f ca="1"/>
        <v>#N/A</v>
      </c>
      <c r="J329" t="e">
        <f ca="1"/>
        <v>#N/A</v>
      </c>
      <c r="K329" t="e">
        <f ca="1"/>
        <v>#N/A</v>
      </c>
    </row>
    <row r="330" spans="1:11" x14ac:dyDescent="0.25">
      <c r="A330" s="2" t="e">
        <f ca="1"/>
        <v>#N/A</v>
      </c>
      <c r="C330" t="e">
        <f ca="1"/>
        <v>#N/A</v>
      </c>
      <c r="D330" t="e">
        <f ca="1"/>
        <v>#N/A</v>
      </c>
      <c r="E330" t="e">
        <f ca="1"/>
        <v>#N/A</v>
      </c>
      <c r="F330" t="e">
        <f ca="1"/>
        <v>#N/A</v>
      </c>
      <c r="G330" t="e">
        <f ca="1"/>
        <v>#N/A</v>
      </c>
      <c r="H330" t="e">
        <f ca="1"/>
        <v>#N/A</v>
      </c>
      <c r="I330" t="e">
        <f ca="1"/>
        <v>#N/A</v>
      </c>
      <c r="J330" t="e">
        <f ca="1"/>
        <v>#N/A</v>
      </c>
      <c r="K330" t="e">
        <f ca="1"/>
        <v>#N/A</v>
      </c>
    </row>
    <row r="331" spans="1:11" x14ac:dyDescent="0.25">
      <c r="A331" s="2" t="e">
        <f ca="1"/>
        <v>#N/A</v>
      </c>
      <c r="C331" t="e">
        <f ca="1"/>
        <v>#N/A</v>
      </c>
      <c r="D331" t="e">
        <f ca="1"/>
        <v>#N/A</v>
      </c>
      <c r="E331" t="e">
        <f ca="1"/>
        <v>#N/A</v>
      </c>
      <c r="F331" t="e">
        <f ca="1"/>
        <v>#N/A</v>
      </c>
      <c r="G331" t="e">
        <f ca="1"/>
        <v>#N/A</v>
      </c>
      <c r="H331" t="e">
        <f ca="1"/>
        <v>#N/A</v>
      </c>
      <c r="I331" t="e">
        <f ca="1"/>
        <v>#N/A</v>
      </c>
      <c r="J331" t="e">
        <f ca="1"/>
        <v>#N/A</v>
      </c>
      <c r="K331" t="e">
        <f ca="1"/>
        <v>#N/A</v>
      </c>
    </row>
    <row r="332" spans="1:11" x14ac:dyDescent="0.25">
      <c r="A332" s="2" t="e">
        <f ca="1"/>
        <v>#N/A</v>
      </c>
      <c r="C332" t="e">
        <f ca="1"/>
        <v>#N/A</v>
      </c>
      <c r="D332" t="e">
        <f ca="1"/>
        <v>#N/A</v>
      </c>
      <c r="E332" t="e">
        <f ca="1"/>
        <v>#N/A</v>
      </c>
      <c r="F332" t="e">
        <f ca="1"/>
        <v>#N/A</v>
      </c>
      <c r="G332" t="e">
        <f ca="1"/>
        <v>#N/A</v>
      </c>
      <c r="H332" t="e">
        <f ca="1"/>
        <v>#N/A</v>
      </c>
      <c r="I332" t="e">
        <f ca="1"/>
        <v>#N/A</v>
      </c>
      <c r="J332" t="e">
        <f ca="1"/>
        <v>#N/A</v>
      </c>
      <c r="K332" t="e">
        <f ca="1"/>
        <v>#N/A</v>
      </c>
    </row>
    <row r="333" spans="1:11" x14ac:dyDescent="0.25">
      <c r="A333" s="2" t="e">
        <f ca="1"/>
        <v>#N/A</v>
      </c>
      <c r="C333" t="e">
        <f ca="1"/>
        <v>#N/A</v>
      </c>
      <c r="D333" t="e">
        <f ca="1"/>
        <v>#N/A</v>
      </c>
      <c r="E333" t="e">
        <f ca="1"/>
        <v>#N/A</v>
      </c>
      <c r="F333" t="e">
        <f ca="1"/>
        <v>#N/A</v>
      </c>
      <c r="G333" t="e">
        <f ca="1"/>
        <v>#N/A</v>
      </c>
      <c r="H333" t="e">
        <f ca="1"/>
        <v>#N/A</v>
      </c>
      <c r="I333" t="e">
        <f ca="1"/>
        <v>#N/A</v>
      </c>
      <c r="J333" t="e">
        <f ca="1"/>
        <v>#N/A</v>
      </c>
      <c r="K333" t="e">
        <f ca="1"/>
        <v>#N/A</v>
      </c>
    </row>
    <row r="334" spans="1:11" x14ac:dyDescent="0.25">
      <c r="A334" s="2" t="e">
        <f ca="1"/>
        <v>#N/A</v>
      </c>
      <c r="C334" t="e">
        <f ca="1"/>
        <v>#N/A</v>
      </c>
      <c r="D334" t="e">
        <f ca="1"/>
        <v>#N/A</v>
      </c>
      <c r="E334" t="e">
        <f ca="1"/>
        <v>#N/A</v>
      </c>
      <c r="F334" t="e">
        <f ca="1"/>
        <v>#N/A</v>
      </c>
      <c r="G334" t="e">
        <f ca="1"/>
        <v>#N/A</v>
      </c>
      <c r="H334" t="e">
        <f ca="1"/>
        <v>#N/A</v>
      </c>
      <c r="I334" t="e">
        <f ca="1"/>
        <v>#N/A</v>
      </c>
      <c r="J334" t="e">
        <f ca="1"/>
        <v>#N/A</v>
      </c>
      <c r="K334" t="e">
        <f ca="1"/>
        <v>#N/A</v>
      </c>
    </row>
    <row r="335" spans="1:11" x14ac:dyDescent="0.25">
      <c r="A335" s="2" t="e">
        <f ca="1"/>
        <v>#N/A</v>
      </c>
      <c r="C335" t="e">
        <f ca="1"/>
        <v>#N/A</v>
      </c>
      <c r="D335" t="e">
        <f ca="1"/>
        <v>#N/A</v>
      </c>
      <c r="E335" t="e">
        <f ca="1"/>
        <v>#N/A</v>
      </c>
      <c r="F335" t="e">
        <f ca="1"/>
        <v>#N/A</v>
      </c>
      <c r="G335" t="e">
        <f ca="1"/>
        <v>#N/A</v>
      </c>
      <c r="H335" t="e">
        <f ca="1"/>
        <v>#N/A</v>
      </c>
      <c r="I335" t="e">
        <f ca="1"/>
        <v>#N/A</v>
      </c>
      <c r="J335" t="e">
        <f ca="1"/>
        <v>#N/A</v>
      </c>
      <c r="K335" t="e">
        <f ca="1"/>
        <v>#N/A</v>
      </c>
    </row>
    <row r="336" spans="1:11" x14ac:dyDescent="0.25">
      <c r="A336" s="2" t="e">
        <f ca="1"/>
        <v>#N/A</v>
      </c>
      <c r="C336" t="e">
        <f ca="1"/>
        <v>#N/A</v>
      </c>
      <c r="D336" t="e">
        <f ca="1"/>
        <v>#N/A</v>
      </c>
      <c r="E336" t="e">
        <f ca="1"/>
        <v>#N/A</v>
      </c>
      <c r="F336" t="e">
        <f ca="1"/>
        <v>#N/A</v>
      </c>
      <c r="G336" t="e">
        <f ca="1"/>
        <v>#N/A</v>
      </c>
      <c r="H336" t="e">
        <f ca="1"/>
        <v>#N/A</v>
      </c>
      <c r="I336" t="e">
        <f ca="1"/>
        <v>#N/A</v>
      </c>
      <c r="J336" t="e">
        <f ca="1"/>
        <v>#N/A</v>
      </c>
      <c r="K336" t="e">
        <f ca="1"/>
        <v>#N/A</v>
      </c>
    </row>
    <row r="337" spans="1:11" x14ac:dyDescent="0.25">
      <c r="A337" s="2" t="e">
        <f ca="1"/>
        <v>#N/A</v>
      </c>
      <c r="C337" t="e">
        <f ca="1"/>
        <v>#N/A</v>
      </c>
      <c r="D337" t="e">
        <f ca="1"/>
        <v>#N/A</v>
      </c>
      <c r="E337" t="e">
        <f ca="1"/>
        <v>#N/A</v>
      </c>
      <c r="F337" t="e">
        <f ca="1"/>
        <v>#N/A</v>
      </c>
      <c r="G337" t="e">
        <f ca="1"/>
        <v>#N/A</v>
      </c>
      <c r="H337" t="e">
        <f ca="1"/>
        <v>#N/A</v>
      </c>
      <c r="I337" t="e">
        <f ca="1"/>
        <v>#N/A</v>
      </c>
      <c r="J337" t="e">
        <f ca="1"/>
        <v>#N/A</v>
      </c>
      <c r="K337" t="e">
        <f ca="1"/>
        <v>#N/A</v>
      </c>
    </row>
    <row r="338" spans="1:11" x14ac:dyDescent="0.25">
      <c r="A338" s="2" t="e">
        <f ca="1"/>
        <v>#N/A</v>
      </c>
      <c r="C338" t="e">
        <f ca="1"/>
        <v>#N/A</v>
      </c>
      <c r="D338" t="e">
        <f ca="1"/>
        <v>#N/A</v>
      </c>
      <c r="E338" t="e">
        <f ca="1"/>
        <v>#N/A</v>
      </c>
      <c r="F338" t="e">
        <f ca="1"/>
        <v>#N/A</v>
      </c>
      <c r="G338" t="e">
        <f ca="1"/>
        <v>#N/A</v>
      </c>
      <c r="H338" t="e">
        <f ca="1"/>
        <v>#N/A</v>
      </c>
      <c r="I338" t="e">
        <f ca="1"/>
        <v>#N/A</v>
      </c>
      <c r="J338" t="e">
        <f ca="1"/>
        <v>#N/A</v>
      </c>
      <c r="K338" t="e">
        <f ca="1"/>
        <v>#N/A</v>
      </c>
    </row>
    <row r="339" spans="1:11" x14ac:dyDescent="0.25">
      <c r="A339" s="2" t="e">
        <f ca="1"/>
        <v>#N/A</v>
      </c>
      <c r="C339" t="e">
        <f ca="1"/>
        <v>#N/A</v>
      </c>
      <c r="D339" t="e">
        <f ca="1"/>
        <v>#N/A</v>
      </c>
      <c r="E339" t="e">
        <f ca="1"/>
        <v>#N/A</v>
      </c>
      <c r="F339" t="e">
        <f ca="1"/>
        <v>#N/A</v>
      </c>
      <c r="G339" t="e">
        <f ca="1"/>
        <v>#N/A</v>
      </c>
      <c r="H339" t="e">
        <f ca="1"/>
        <v>#N/A</v>
      </c>
      <c r="I339" t="e">
        <f ca="1"/>
        <v>#N/A</v>
      </c>
      <c r="J339" t="e">
        <f ca="1"/>
        <v>#N/A</v>
      </c>
      <c r="K339" t="e">
        <f ca="1"/>
        <v>#N/A</v>
      </c>
    </row>
    <row r="340" spans="1:11" x14ac:dyDescent="0.25">
      <c r="A340" s="2" t="e">
        <f ca="1"/>
        <v>#N/A</v>
      </c>
      <c r="C340" t="e">
        <f ca="1"/>
        <v>#N/A</v>
      </c>
      <c r="D340" t="e">
        <f ca="1"/>
        <v>#N/A</v>
      </c>
      <c r="E340" t="e">
        <f ca="1"/>
        <v>#N/A</v>
      </c>
      <c r="F340" t="e">
        <f ca="1"/>
        <v>#N/A</v>
      </c>
      <c r="G340" t="e">
        <f ca="1"/>
        <v>#N/A</v>
      </c>
      <c r="H340" t="e">
        <f ca="1"/>
        <v>#N/A</v>
      </c>
      <c r="I340" t="e">
        <f ca="1"/>
        <v>#N/A</v>
      </c>
      <c r="J340" t="e">
        <f ca="1"/>
        <v>#N/A</v>
      </c>
      <c r="K340" t="e">
        <f ca="1"/>
        <v>#N/A</v>
      </c>
    </row>
    <row r="341" spans="1:11" x14ac:dyDescent="0.25">
      <c r="A341" s="2" t="e">
        <f ca="1"/>
        <v>#N/A</v>
      </c>
      <c r="C341" t="e">
        <f ca="1"/>
        <v>#N/A</v>
      </c>
      <c r="D341" t="e">
        <f ca="1"/>
        <v>#N/A</v>
      </c>
      <c r="E341" t="e">
        <f ca="1"/>
        <v>#N/A</v>
      </c>
      <c r="F341" t="e">
        <f ca="1"/>
        <v>#N/A</v>
      </c>
      <c r="G341" t="e">
        <f ca="1"/>
        <v>#N/A</v>
      </c>
      <c r="H341" t="e">
        <f ca="1"/>
        <v>#N/A</v>
      </c>
      <c r="I341" t="e">
        <f ca="1"/>
        <v>#N/A</v>
      </c>
      <c r="J341" t="e">
        <f ca="1"/>
        <v>#N/A</v>
      </c>
      <c r="K341" t="e">
        <f ca="1"/>
        <v>#N/A</v>
      </c>
    </row>
    <row r="342" spans="1:11" x14ac:dyDescent="0.25">
      <c r="A342" s="2" t="e">
        <f ca="1"/>
        <v>#N/A</v>
      </c>
      <c r="C342" t="e">
        <f ca="1"/>
        <v>#N/A</v>
      </c>
      <c r="D342" t="e">
        <f ca="1"/>
        <v>#N/A</v>
      </c>
      <c r="E342" t="e">
        <f ca="1"/>
        <v>#N/A</v>
      </c>
      <c r="F342" t="e">
        <f ca="1"/>
        <v>#N/A</v>
      </c>
      <c r="G342" t="e">
        <f ca="1"/>
        <v>#N/A</v>
      </c>
      <c r="H342" t="e">
        <f ca="1"/>
        <v>#N/A</v>
      </c>
      <c r="I342" t="e">
        <f ca="1"/>
        <v>#N/A</v>
      </c>
      <c r="J342" t="e">
        <f ca="1"/>
        <v>#N/A</v>
      </c>
      <c r="K342" t="e">
        <f ca="1"/>
        <v>#N/A</v>
      </c>
    </row>
    <row r="343" spans="1:11" x14ac:dyDescent="0.25">
      <c r="A343" s="2" t="e">
        <f ca="1"/>
        <v>#N/A</v>
      </c>
      <c r="C343" t="e">
        <f ca="1"/>
        <v>#N/A</v>
      </c>
      <c r="D343" t="e">
        <f ca="1"/>
        <v>#N/A</v>
      </c>
      <c r="E343" t="e">
        <f ca="1"/>
        <v>#N/A</v>
      </c>
      <c r="F343" t="e">
        <f ca="1"/>
        <v>#N/A</v>
      </c>
      <c r="G343" t="e">
        <f ca="1"/>
        <v>#N/A</v>
      </c>
      <c r="H343" t="e">
        <f ca="1"/>
        <v>#N/A</v>
      </c>
      <c r="I343" t="e">
        <f ca="1"/>
        <v>#N/A</v>
      </c>
      <c r="J343" t="e">
        <f ca="1"/>
        <v>#N/A</v>
      </c>
      <c r="K343" t="e">
        <f ca="1"/>
        <v>#N/A</v>
      </c>
    </row>
    <row r="344" spans="1:11" x14ac:dyDescent="0.25">
      <c r="A344" s="2" t="e">
        <f ca="1"/>
        <v>#N/A</v>
      </c>
      <c r="C344" t="e">
        <f ca="1"/>
        <v>#N/A</v>
      </c>
      <c r="D344" t="e">
        <f ca="1"/>
        <v>#N/A</v>
      </c>
      <c r="E344" t="e">
        <f ca="1"/>
        <v>#N/A</v>
      </c>
      <c r="F344" t="e">
        <f ca="1"/>
        <v>#N/A</v>
      </c>
      <c r="G344" t="e">
        <f ca="1"/>
        <v>#N/A</v>
      </c>
      <c r="H344" t="e">
        <f ca="1"/>
        <v>#N/A</v>
      </c>
      <c r="I344" t="e">
        <f ca="1"/>
        <v>#N/A</v>
      </c>
      <c r="J344" t="e">
        <f ca="1"/>
        <v>#N/A</v>
      </c>
      <c r="K344" t="e">
        <f ca="1"/>
        <v>#N/A</v>
      </c>
    </row>
    <row r="345" spans="1:11" x14ac:dyDescent="0.25">
      <c r="A345" s="2" t="e">
        <f ca="1"/>
        <v>#N/A</v>
      </c>
      <c r="C345" t="e">
        <f ca="1"/>
        <v>#N/A</v>
      </c>
      <c r="D345" t="e">
        <f ca="1"/>
        <v>#N/A</v>
      </c>
      <c r="E345" t="e">
        <f ca="1"/>
        <v>#N/A</v>
      </c>
      <c r="F345" t="e">
        <f ca="1"/>
        <v>#N/A</v>
      </c>
      <c r="G345" t="e">
        <f ca="1"/>
        <v>#N/A</v>
      </c>
      <c r="H345" t="e">
        <f ca="1"/>
        <v>#N/A</v>
      </c>
      <c r="I345" t="e">
        <f ca="1"/>
        <v>#N/A</v>
      </c>
      <c r="J345" t="e">
        <f ca="1"/>
        <v>#N/A</v>
      </c>
      <c r="K345" t="e">
        <f ca="1"/>
        <v>#N/A</v>
      </c>
    </row>
    <row r="346" spans="1:11" x14ac:dyDescent="0.25">
      <c r="A346" s="2" t="e">
        <f ca="1"/>
        <v>#N/A</v>
      </c>
      <c r="C346" t="e">
        <f ca="1"/>
        <v>#N/A</v>
      </c>
      <c r="D346" t="e">
        <f ca="1"/>
        <v>#N/A</v>
      </c>
      <c r="E346" t="e">
        <f ca="1"/>
        <v>#N/A</v>
      </c>
      <c r="F346" t="e">
        <f ca="1"/>
        <v>#N/A</v>
      </c>
      <c r="G346" t="e">
        <f ca="1"/>
        <v>#N/A</v>
      </c>
      <c r="H346" t="e">
        <f ca="1"/>
        <v>#N/A</v>
      </c>
      <c r="I346" t="e">
        <f ca="1"/>
        <v>#N/A</v>
      </c>
      <c r="J346" t="e">
        <f ca="1"/>
        <v>#N/A</v>
      </c>
      <c r="K346" t="e">
        <f ca="1"/>
        <v>#N/A</v>
      </c>
    </row>
    <row r="347" spans="1:11" x14ac:dyDescent="0.25">
      <c r="A347" s="2" t="e">
        <f ca="1"/>
        <v>#N/A</v>
      </c>
      <c r="C347" t="e">
        <f ca="1"/>
        <v>#N/A</v>
      </c>
      <c r="D347" t="e">
        <f ca="1"/>
        <v>#N/A</v>
      </c>
      <c r="E347" t="e">
        <f ca="1"/>
        <v>#N/A</v>
      </c>
      <c r="F347" t="e">
        <f ca="1"/>
        <v>#N/A</v>
      </c>
      <c r="G347" t="e">
        <f ca="1"/>
        <v>#N/A</v>
      </c>
      <c r="H347" t="e">
        <f ca="1"/>
        <v>#N/A</v>
      </c>
      <c r="I347" t="e">
        <f ca="1"/>
        <v>#N/A</v>
      </c>
      <c r="J347" t="e">
        <f ca="1"/>
        <v>#N/A</v>
      </c>
      <c r="K347" t="e">
        <f ca="1"/>
        <v>#N/A</v>
      </c>
    </row>
    <row r="348" spans="1:11" x14ac:dyDescent="0.25">
      <c r="A348" s="2" t="e">
        <f ca="1"/>
        <v>#N/A</v>
      </c>
      <c r="C348" t="e">
        <f ca="1"/>
        <v>#N/A</v>
      </c>
      <c r="D348" t="e">
        <f ca="1"/>
        <v>#N/A</v>
      </c>
      <c r="E348" t="e">
        <f ca="1"/>
        <v>#N/A</v>
      </c>
      <c r="F348" t="e">
        <f ca="1"/>
        <v>#N/A</v>
      </c>
      <c r="G348" t="e">
        <f ca="1"/>
        <v>#N/A</v>
      </c>
      <c r="H348" t="e">
        <f ca="1"/>
        <v>#N/A</v>
      </c>
      <c r="I348" t="e">
        <f ca="1"/>
        <v>#N/A</v>
      </c>
      <c r="J348" t="e">
        <f ca="1"/>
        <v>#N/A</v>
      </c>
      <c r="K348" t="e">
        <f ca="1"/>
        <v>#N/A</v>
      </c>
    </row>
    <row r="349" spans="1:11" x14ac:dyDescent="0.25">
      <c r="A349" s="2" t="e">
        <f ca="1"/>
        <v>#N/A</v>
      </c>
      <c r="C349" t="e">
        <f ca="1"/>
        <v>#N/A</v>
      </c>
      <c r="D349" t="e">
        <f ca="1"/>
        <v>#N/A</v>
      </c>
      <c r="E349" t="e">
        <f ca="1"/>
        <v>#N/A</v>
      </c>
      <c r="F349" t="e">
        <f ca="1"/>
        <v>#N/A</v>
      </c>
      <c r="G349" t="e">
        <f ca="1"/>
        <v>#N/A</v>
      </c>
      <c r="H349" t="e">
        <f ca="1"/>
        <v>#N/A</v>
      </c>
      <c r="I349" t="e">
        <f ca="1"/>
        <v>#N/A</v>
      </c>
      <c r="J349" t="e">
        <f ca="1"/>
        <v>#N/A</v>
      </c>
      <c r="K349" t="e">
        <f ca="1"/>
        <v>#N/A</v>
      </c>
    </row>
    <row r="350" spans="1:11" x14ac:dyDescent="0.25">
      <c r="A350" s="2" t="e">
        <f ca="1"/>
        <v>#N/A</v>
      </c>
      <c r="C350" t="e">
        <f ca="1"/>
        <v>#N/A</v>
      </c>
      <c r="D350" t="e">
        <f ca="1"/>
        <v>#N/A</v>
      </c>
      <c r="E350" t="e">
        <f ca="1"/>
        <v>#N/A</v>
      </c>
      <c r="F350" t="e">
        <f ca="1"/>
        <v>#N/A</v>
      </c>
      <c r="G350" t="e">
        <f ca="1"/>
        <v>#N/A</v>
      </c>
      <c r="H350" t="e">
        <f ca="1"/>
        <v>#N/A</v>
      </c>
      <c r="I350" t="e">
        <f ca="1"/>
        <v>#N/A</v>
      </c>
      <c r="J350" t="e">
        <f ca="1"/>
        <v>#N/A</v>
      </c>
      <c r="K350" t="e">
        <f ca="1"/>
        <v>#N/A</v>
      </c>
    </row>
    <row r="351" spans="1:11" x14ac:dyDescent="0.25">
      <c r="A351" s="2" t="e">
        <f ca="1"/>
        <v>#N/A</v>
      </c>
      <c r="C351" t="e">
        <f ca="1"/>
        <v>#N/A</v>
      </c>
      <c r="D351" t="e">
        <f ca="1"/>
        <v>#N/A</v>
      </c>
      <c r="E351" t="e">
        <f ca="1"/>
        <v>#N/A</v>
      </c>
      <c r="F351" t="e">
        <f ca="1"/>
        <v>#N/A</v>
      </c>
      <c r="G351" t="e">
        <f ca="1"/>
        <v>#N/A</v>
      </c>
      <c r="H351" t="e">
        <f ca="1"/>
        <v>#N/A</v>
      </c>
      <c r="I351" t="e">
        <f ca="1"/>
        <v>#N/A</v>
      </c>
      <c r="J351" t="e">
        <f ca="1"/>
        <v>#N/A</v>
      </c>
      <c r="K351" t="e">
        <f ca="1"/>
        <v>#N/A</v>
      </c>
    </row>
    <row r="352" spans="1:11" x14ac:dyDescent="0.25">
      <c r="A352" s="2" t="e">
        <f ca="1"/>
        <v>#N/A</v>
      </c>
      <c r="C352" t="e">
        <f ca="1"/>
        <v>#N/A</v>
      </c>
      <c r="D352" t="e">
        <f ca="1"/>
        <v>#N/A</v>
      </c>
      <c r="E352" t="e">
        <f ca="1"/>
        <v>#N/A</v>
      </c>
      <c r="F352" t="e">
        <f ca="1"/>
        <v>#N/A</v>
      </c>
      <c r="G352" t="e">
        <f ca="1"/>
        <v>#N/A</v>
      </c>
      <c r="H352" t="e">
        <f ca="1"/>
        <v>#N/A</v>
      </c>
      <c r="I352" t="e">
        <f ca="1"/>
        <v>#N/A</v>
      </c>
      <c r="J352" t="e">
        <f ca="1"/>
        <v>#N/A</v>
      </c>
      <c r="K352" t="e">
        <f ca="1"/>
        <v>#N/A</v>
      </c>
    </row>
    <row r="353" spans="1:11" x14ac:dyDescent="0.25">
      <c r="A353" s="2" t="e">
        <f ca="1"/>
        <v>#N/A</v>
      </c>
      <c r="C353" t="e">
        <f ca="1"/>
        <v>#N/A</v>
      </c>
      <c r="D353" t="e">
        <f ca="1"/>
        <v>#N/A</v>
      </c>
      <c r="E353" t="e">
        <f ca="1"/>
        <v>#N/A</v>
      </c>
      <c r="F353" t="e">
        <f ca="1"/>
        <v>#N/A</v>
      </c>
      <c r="G353" t="e">
        <f ca="1"/>
        <v>#N/A</v>
      </c>
      <c r="H353" t="e">
        <f ca="1"/>
        <v>#N/A</v>
      </c>
      <c r="I353" t="e">
        <f ca="1"/>
        <v>#N/A</v>
      </c>
      <c r="J353" t="e">
        <f ca="1"/>
        <v>#N/A</v>
      </c>
      <c r="K353" t="e">
        <f ca="1"/>
        <v>#N/A</v>
      </c>
    </row>
    <row r="354" spans="1:11" x14ac:dyDescent="0.25">
      <c r="A354" s="2" t="e">
        <f ca="1"/>
        <v>#N/A</v>
      </c>
      <c r="C354" t="e">
        <f ca="1"/>
        <v>#N/A</v>
      </c>
      <c r="D354" t="e">
        <f ca="1"/>
        <v>#N/A</v>
      </c>
      <c r="E354" t="e">
        <f ca="1"/>
        <v>#N/A</v>
      </c>
      <c r="F354" t="e">
        <f ca="1"/>
        <v>#N/A</v>
      </c>
      <c r="G354" t="e">
        <f ca="1"/>
        <v>#N/A</v>
      </c>
      <c r="H354" t="e">
        <f ca="1"/>
        <v>#N/A</v>
      </c>
      <c r="I354" t="e">
        <f ca="1"/>
        <v>#N/A</v>
      </c>
      <c r="J354" t="e">
        <f ca="1"/>
        <v>#N/A</v>
      </c>
      <c r="K354" t="e">
        <f ca="1"/>
        <v>#N/A</v>
      </c>
    </row>
    <row r="355" spans="1:11" x14ac:dyDescent="0.25">
      <c r="A355" s="2" t="e">
        <f ca="1"/>
        <v>#N/A</v>
      </c>
      <c r="C355" t="e">
        <f ca="1"/>
        <v>#N/A</v>
      </c>
      <c r="D355" t="e">
        <f ca="1"/>
        <v>#N/A</v>
      </c>
      <c r="E355" t="e">
        <f ca="1"/>
        <v>#N/A</v>
      </c>
      <c r="F355" t="e">
        <f ca="1"/>
        <v>#N/A</v>
      </c>
      <c r="G355" t="e">
        <f ca="1"/>
        <v>#N/A</v>
      </c>
      <c r="H355" t="e">
        <f ca="1"/>
        <v>#N/A</v>
      </c>
      <c r="I355" t="e">
        <f ca="1"/>
        <v>#N/A</v>
      </c>
      <c r="J355" t="e">
        <f ca="1"/>
        <v>#N/A</v>
      </c>
      <c r="K355" t="e">
        <f ca="1"/>
        <v>#N/A</v>
      </c>
    </row>
    <row r="356" spans="1:11" x14ac:dyDescent="0.25">
      <c r="A356" s="2" t="e">
        <f ca="1"/>
        <v>#N/A</v>
      </c>
      <c r="C356" t="e">
        <f ca="1"/>
        <v>#N/A</v>
      </c>
      <c r="D356" t="e">
        <f ca="1"/>
        <v>#N/A</v>
      </c>
      <c r="E356" t="e">
        <f ca="1"/>
        <v>#N/A</v>
      </c>
      <c r="F356" t="e">
        <f ca="1"/>
        <v>#N/A</v>
      </c>
      <c r="G356" t="e">
        <f ca="1"/>
        <v>#N/A</v>
      </c>
      <c r="H356" t="e">
        <f ca="1"/>
        <v>#N/A</v>
      </c>
      <c r="I356" t="e">
        <f ca="1"/>
        <v>#N/A</v>
      </c>
      <c r="J356" t="e">
        <f ca="1"/>
        <v>#N/A</v>
      </c>
      <c r="K356" t="e">
        <f ca="1"/>
        <v>#N/A</v>
      </c>
    </row>
    <row r="357" spans="1:11" x14ac:dyDescent="0.25">
      <c r="A357" s="2" t="e">
        <f ca="1"/>
        <v>#N/A</v>
      </c>
      <c r="C357" t="e">
        <f ca="1"/>
        <v>#N/A</v>
      </c>
      <c r="D357" t="e">
        <f ca="1"/>
        <v>#N/A</v>
      </c>
      <c r="E357" t="e">
        <f ca="1"/>
        <v>#N/A</v>
      </c>
      <c r="F357" t="e">
        <f ca="1"/>
        <v>#N/A</v>
      </c>
      <c r="G357" t="e">
        <f ca="1"/>
        <v>#N/A</v>
      </c>
      <c r="H357" t="e">
        <f ca="1"/>
        <v>#N/A</v>
      </c>
      <c r="I357" t="e">
        <f ca="1"/>
        <v>#N/A</v>
      </c>
      <c r="J357" t="e">
        <f ca="1"/>
        <v>#N/A</v>
      </c>
      <c r="K357" t="e">
        <f ca="1"/>
        <v>#N/A</v>
      </c>
    </row>
    <row r="358" spans="1:11" x14ac:dyDescent="0.25">
      <c r="A358" s="2" t="e">
        <f ca="1"/>
        <v>#N/A</v>
      </c>
      <c r="C358" t="e">
        <f ca="1"/>
        <v>#N/A</v>
      </c>
      <c r="D358" t="e">
        <f ca="1"/>
        <v>#N/A</v>
      </c>
      <c r="E358" t="e">
        <f ca="1"/>
        <v>#N/A</v>
      </c>
      <c r="F358" t="e">
        <f ca="1"/>
        <v>#N/A</v>
      </c>
      <c r="G358" t="e">
        <f ca="1"/>
        <v>#N/A</v>
      </c>
      <c r="H358" t="e">
        <f ca="1"/>
        <v>#N/A</v>
      </c>
      <c r="I358" t="e">
        <f ca="1"/>
        <v>#N/A</v>
      </c>
      <c r="J358" t="e">
        <f ca="1"/>
        <v>#N/A</v>
      </c>
      <c r="K358" t="e">
        <f ca="1"/>
        <v>#N/A</v>
      </c>
    </row>
    <row r="359" spans="1:11" x14ac:dyDescent="0.25">
      <c r="A359" s="2" t="e">
        <f ca="1"/>
        <v>#N/A</v>
      </c>
      <c r="C359" t="e">
        <f ca="1"/>
        <v>#N/A</v>
      </c>
      <c r="D359" t="e">
        <f ca="1"/>
        <v>#N/A</v>
      </c>
      <c r="E359" t="e">
        <f ca="1"/>
        <v>#N/A</v>
      </c>
      <c r="F359" t="e">
        <f ca="1"/>
        <v>#N/A</v>
      </c>
      <c r="G359" t="e">
        <f ca="1"/>
        <v>#N/A</v>
      </c>
      <c r="H359" t="e">
        <f ca="1"/>
        <v>#N/A</v>
      </c>
      <c r="I359" t="e">
        <f ca="1"/>
        <v>#N/A</v>
      </c>
      <c r="J359" t="e">
        <f ca="1"/>
        <v>#N/A</v>
      </c>
      <c r="K359" t="e">
        <f ca="1"/>
        <v>#N/A</v>
      </c>
    </row>
    <row r="360" spans="1:11" x14ac:dyDescent="0.25">
      <c r="A360" s="2" t="e">
        <f ca="1"/>
        <v>#N/A</v>
      </c>
      <c r="C360" t="e">
        <f ca="1"/>
        <v>#N/A</v>
      </c>
      <c r="D360" t="e">
        <f ca="1"/>
        <v>#N/A</v>
      </c>
      <c r="E360" t="e">
        <f ca="1"/>
        <v>#N/A</v>
      </c>
      <c r="F360" t="e">
        <f ca="1"/>
        <v>#N/A</v>
      </c>
      <c r="G360" t="e">
        <f ca="1"/>
        <v>#N/A</v>
      </c>
      <c r="H360" t="e">
        <f ca="1"/>
        <v>#N/A</v>
      </c>
      <c r="I360" t="e">
        <f ca="1"/>
        <v>#N/A</v>
      </c>
      <c r="J360" t="e">
        <f ca="1"/>
        <v>#N/A</v>
      </c>
      <c r="K360" t="e">
        <f ca="1"/>
        <v>#N/A</v>
      </c>
    </row>
    <row r="361" spans="1:11" x14ac:dyDescent="0.25">
      <c r="A361" s="2" t="e">
        <f ca="1"/>
        <v>#N/A</v>
      </c>
      <c r="C361" t="e">
        <f ca="1"/>
        <v>#N/A</v>
      </c>
      <c r="D361" t="e">
        <f ca="1"/>
        <v>#N/A</v>
      </c>
      <c r="E361" t="e">
        <f ca="1"/>
        <v>#N/A</v>
      </c>
      <c r="F361" t="e">
        <f ca="1"/>
        <v>#N/A</v>
      </c>
      <c r="G361" t="e">
        <f ca="1"/>
        <v>#N/A</v>
      </c>
      <c r="H361" t="e">
        <f ca="1"/>
        <v>#N/A</v>
      </c>
      <c r="I361" t="e">
        <f ca="1"/>
        <v>#N/A</v>
      </c>
      <c r="J361" t="e">
        <f ca="1"/>
        <v>#N/A</v>
      </c>
      <c r="K361" t="e">
        <f ca="1"/>
        <v>#N/A</v>
      </c>
    </row>
    <row r="362" spans="1:11" x14ac:dyDescent="0.25">
      <c r="A362" s="2" t="e">
        <f ca="1"/>
        <v>#N/A</v>
      </c>
      <c r="C362" t="e">
        <f ca="1"/>
        <v>#N/A</v>
      </c>
      <c r="D362" t="e">
        <f ca="1"/>
        <v>#N/A</v>
      </c>
      <c r="E362" t="e">
        <f ca="1"/>
        <v>#N/A</v>
      </c>
      <c r="F362" t="e">
        <f ca="1"/>
        <v>#N/A</v>
      </c>
      <c r="G362" t="e">
        <f ca="1"/>
        <v>#N/A</v>
      </c>
      <c r="H362" t="e">
        <f ca="1"/>
        <v>#N/A</v>
      </c>
      <c r="I362" t="e">
        <f ca="1"/>
        <v>#N/A</v>
      </c>
      <c r="J362" t="e">
        <f ca="1"/>
        <v>#N/A</v>
      </c>
      <c r="K362" t="e">
        <f ca="1"/>
        <v>#N/A</v>
      </c>
    </row>
    <row r="363" spans="1:11" x14ac:dyDescent="0.25">
      <c r="A363" s="2" t="e">
        <f ca="1"/>
        <v>#N/A</v>
      </c>
      <c r="C363" t="e">
        <f ca="1"/>
        <v>#N/A</v>
      </c>
      <c r="D363" t="e">
        <f ca="1"/>
        <v>#N/A</v>
      </c>
      <c r="E363" t="e">
        <f ca="1"/>
        <v>#N/A</v>
      </c>
      <c r="F363" t="e">
        <f ca="1"/>
        <v>#N/A</v>
      </c>
      <c r="G363" t="e">
        <f ca="1"/>
        <v>#N/A</v>
      </c>
      <c r="H363" t="e">
        <f ca="1"/>
        <v>#N/A</v>
      </c>
      <c r="I363" t="e">
        <f ca="1"/>
        <v>#N/A</v>
      </c>
      <c r="J363" t="e">
        <f ca="1"/>
        <v>#N/A</v>
      </c>
      <c r="K363" t="e">
        <f ca="1"/>
        <v>#N/A</v>
      </c>
    </row>
    <row r="364" spans="1:11" x14ac:dyDescent="0.25">
      <c r="A364" s="2" t="e">
        <f ca="1"/>
        <v>#N/A</v>
      </c>
      <c r="C364" t="e">
        <f ca="1"/>
        <v>#N/A</v>
      </c>
      <c r="D364" t="e">
        <f ca="1"/>
        <v>#N/A</v>
      </c>
      <c r="E364" t="e">
        <f ca="1"/>
        <v>#N/A</v>
      </c>
      <c r="F364" t="e">
        <f ca="1"/>
        <v>#N/A</v>
      </c>
      <c r="G364" t="e">
        <f ca="1"/>
        <v>#N/A</v>
      </c>
      <c r="H364" t="e">
        <f ca="1"/>
        <v>#N/A</v>
      </c>
      <c r="I364" t="e">
        <f ca="1"/>
        <v>#N/A</v>
      </c>
      <c r="J364" t="e">
        <f ca="1"/>
        <v>#N/A</v>
      </c>
      <c r="K364" t="e">
        <f ca="1"/>
        <v>#N/A</v>
      </c>
    </row>
    <row r="365" spans="1:11" x14ac:dyDescent="0.25">
      <c r="A365" s="2" t="e">
        <f ca="1"/>
        <v>#N/A</v>
      </c>
      <c r="C365" t="e">
        <f ca="1"/>
        <v>#N/A</v>
      </c>
      <c r="D365" t="e">
        <f ca="1"/>
        <v>#N/A</v>
      </c>
      <c r="E365" t="e">
        <f ca="1"/>
        <v>#N/A</v>
      </c>
      <c r="F365" t="e">
        <f ca="1"/>
        <v>#N/A</v>
      </c>
      <c r="G365" t="e">
        <f ca="1"/>
        <v>#N/A</v>
      </c>
      <c r="H365" t="e">
        <f ca="1"/>
        <v>#N/A</v>
      </c>
      <c r="I365" t="e">
        <f ca="1"/>
        <v>#N/A</v>
      </c>
      <c r="J365" t="e">
        <f ca="1"/>
        <v>#N/A</v>
      </c>
      <c r="K365" t="e">
        <f ca="1"/>
        <v>#N/A</v>
      </c>
    </row>
    <row r="366" spans="1:11" x14ac:dyDescent="0.25">
      <c r="A366" s="2" t="e">
        <f ca="1"/>
        <v>#N/A</v>
      </c>
      <c r="C366" t="e">
        <f ca="1"/>
        <v>#N/A</v>
      </c>
      <c r="D366" t="e">
        <f ca="1"/>
        <v>#N/A</v>
      </c>
      <c r="E366" t="e">
        <f ca="1"/>
        <v>#N/A</v>
      </c>
      <c r="F366" t="e">
        <f ca="1"/>
        <v>#N/A</v>
      </c>
      <c r="G366" t="e">
        <f ca="1"/>
        <v>#N/A</v>
      </c>
      <c r="H366" t="e">
        <f ca="1"/>
        <v>#N/A</v>
      </c>
      <c r="I366" t="e">
        <f ca="1"/>
        <v>#N/A</v>
      </c>
      <c r="J366" t="e">
        <f ca="1"/>
        <v>#N/A</v>
      </c>
      <c r="K366" t="e">
        <f ca="1"/>
        <v>#N/A</v>
      </c>
    </row>
    <row r="367" spans="1:11" x14ac:dyDescent="0.25">
      <c r="A367" s="2" t="e">
        <f ca="1"/>
        <v>#N/A</v>
      </c>
      <c r="C367" t="e">
        <f ca="1"/>
        <v>#N/A</v>
      </c>
      <c r="D367" t="e">
        <f ca="1"/>
        <v>#N/A</v>
      </c>
      <c r="E367" t="e">
        <f ca="1"/>
        <v>#N/A</v>
      </c>
      <c r="F367" t="e">
        <f ca="1"/>
        <v>#N/A</v>
      </c>
      <c r="G367" t="e">
        <f ca="1"/>
        <v>#N/A</v>
      </c>
      <c r="H367" t="e">
        <f ca="1"/>
        <v>#N/A</v>
      </c>
      <c r="I367" t="e">
        <f ca="1"/>
        <v>#N/A</v>
      </c>
      <c r="J367" t="e">
        <f ca="1"/>
        <v>#N/A</v>
      </c>
      <c r="K367" t="e">
        <f ca="1"/>
        <v>#N/A</v>
      </c>
    </row>
    <row r="368" spans="1:11" x14ac:dyDescent="0.25">
      <c r="A368" s="2" t="e">
        <f ca="1"/>
        <v>#N/A</v>
      </c>
      <c r="C368" t="e">
        <f ca="1"/>
        <v>#N/A</v>
      </c>
      <c r="D368" t="e">
        <f ca="1"/>
        <v>#N/A</v>
      </c>
      <c r="E368" t="e">
        <f ca="1"/>
        <v>#N/A</v>
      </c>
      <c r="F368" t="e">
        <f ca="1"/>
        <v>#N/A</v>
      </c>
      <c r="G368" t="e">
        <f ca="1"/>
        <v>#N/A</v>
      </c>
      <c r="H368" t="e">
        <f ca="1"/>
        <v>#N/A</v>
      </c>
      <c r="I368" t="e">
        <f ca="1"/>
        <v>#N/A</v>
      </c>
      <c r="J368" t="e">
        <f ca="1"/>
        <v>#N/A</v>
      </c>
      <c r="K368" t="e">
        <f ca="1"/>
        <v>#N/A</v>
      </c>
    </row>
    <row r="369" spans="1:11" x14ac:dyDescent="0.25">
      <c r="A369" s="2" t="e">
        <f ca="1"/>
        <v>#N/A</v>
      </c>
      <c r="C369" t="e">
        <f ca="1"/>
        <v>#N/A</v>
      </c>
      <c r="D369" t="e">
        <f ca="1"/>
        <v>#N/A</v>
      </c>
      <c r="E369" t="e">
        <f ca="1"/>
        <v>#N/A</v>
      </c>
      <c r="F369" t="e">
        <f ca="1"/>
        <v>#N/A</v>
      </c>
      <c r="G369" t="e">
        <f ca="1"/>
        <v>#N/A</v>
      </c>
      <c r="H369" t="e">
        <f ca="1"/>
        <v>#N/A</v>
      </c>
      <c r="I369" t="e">
        <f ca="1"/>
        <v>#N/A</v>
      </c>
      <c r="J369" t="e">
        <f ca="1"/>
        <v>#N/A</v>
      </c>
      <c r="K369" t="e">
        <f ca="1"/>
        <v>#N/A</v>
      </c>
    </row>
    <row r="370" spans="1:11" x14ac:dyDescent="0.25">
      <c r="A370" s="2" t="e">
        <f ca="1"/>
        <v>#N/A</v>
      </c>
      <c r="C370" t="e">
        <f ca="1"/>
        <v>#N/A</v>
      </c>
      <c r="D370" t="e">
        <f ca="1"/>
        <v>#N/A</v>
      </c>
      <c r="E370" t="e">
        <f ca="1"/>
        <v>#N/A</v>
      </c>
      <c r="F370" t="e">
        <f ca="1"/>
        <v>#N/A</v>
      </c>
      <c r="G370" t="e">
        <f ca="1"/>
        <v>#N/A</v>
      </c>
      <c r="H370" t="e">
        <f ca="1"/>
        <v>#N/A</v>
      </c>
      <c r="I370" t="e">
        <f ca="1"/>
        <v>#N/A</v>
      </c>
      <c r="J370" t="e">
        <f ca="1"/>
        <v>#N/A</v>
      </c>
      <c r="K370" t="e">
        <f ca="1"/>
        <v>#N/A</v>
      </c>
    </row>
    <row r="371" spans="1:11" x14ac:dyDescent="0.25">
      <c r="A371" s="2" t="e">
        <f ca="1"/>
        <v>#N/A</v>
      </c>
      <c r="C371" t="e">
        <f ca="1"/>
        <v>#N/A</v>
      </c>
      <c r="D371" t="e">
        <f ca="1"/>
        <v>#N/A</v>
      </c>
      <c r="E371" t="e">
        <f ca="1"/>
        <v>#N/A</v>
      </c>
      <c r="F371" t="e">
        <f ca="1"/>
        <v>#N/A</v>
      </c>
      <c r="G371" t="e">
        <f ca="1"/>
        <v>#N/A</v>
      </c>
      <c r="H371" t="e">
        <f ca="1"/>
        <v>#N/A</v>
      </c>
      <c r="I371" t="e">
        <f ca="1"/>
        <v>#N/A</v>
      </c>
      <c r="J371" t="e">
        <f ca="1"/>
        <v>#N/A</v>
      </c>
      <c r="K371" t="e">
        <f ca="1"/>
        <v>#N/A</v>
      </c>
    </row>
    <row r="372" spans="1:11" x14ac:dyDescent="0.25">
      <c r="A372" s="2" t="e">
        <f ca="1"/>
        <v>#N/A</v>
      </c>
      <c r="C372" t="e">
        <f ca="1"/>
        <v>#N/A</v>
      </c>
      <c r="D372" t="e">
        <f ca="1"/>
        <v>#N/A</v>
      </c>
      <c r="E372" t="e">
        <f ca="1"/>
        <v>#N/A</v>
      </c>
      <c r="F372" t="e">
        <f ca="1"/>
        <v>#N/A</v>
      </c>
      <c r="G372" t="e">
        <f ca="1"/>
        <v>#N/A</v>
      </c>
      <c r="H372" t="e">
        <f ca="1"/>
        <v>#N/A</v>
      </c>
      <c r="I372" t="e">
        <f ca="1"/>
        <v>#N/A</v>
      </c>
      <c r="J372" t="e">
        <f ca="1"/>
        <v>#N/A</v>
      </c>
      <c r="K372" t="e">
        <f ca="1"/>
        <v>#N/A</v>
      </c>
    </row>
    <row r="373" spans="1:11" x14ac:dyDescent="0.25">
      <c r="A373" s="2" t="e">
        <f ca="1"/>
        <v>#N/A</v>
      </c>
      <c r="C373" t="e">
        <f ca="1"/>
        <v>#N/A</v>
      </c>
      <c r="D373" t="e">
        <f ca="1"/>
        <v>#N/A</v>
      </c>
      <c r="E373" t="e">
        <f ca="1"/>
        <v>#N/A</v>
      </c>
      <c r="F373" t="e">
        <f ca="1"/>
        <v>#N/A</v>
      </c>
      <c r="G373" t="e">
        <f ca="1"/>
        <v>#N/A</v>
      </c>
      <c r="H373" t="e">
        <f ca="1"/>
        <v>#N/A</v>
      </c>
      <c r="I373" t="e">
        <f ca="1"/>
        <v>#N/A</v>
      </c>
      <c r="J373" t="e">
        <f ca="1"/>
        <v>#N/A</v>
      </c>
      <c r="K373" t="e">
        <f ca="1"/>
        <v>#N/A</v>
      </c>
    </row>
    <row r="374" spans="1:11" x14ac:dyDescent="0.25">
      <c r="A374" s="2" t="e">
        <f ca="1"/>
        <v>#N/A</v>
      </c>
      <c r="C374" t="e">
        <f ca="1"/>
        <v>#N/A</v>
      </c>
      <c r="D374" t="e">
        <f ca="1"/>
        <v>#N/A</v>
      </c>
      <c r="E374" t="e">
        <f ca="1"/>
        <v>#N/A</v>
      </c>
      <c r="F374" t="e">
        <f ca="1"/>
        <v>#N/A</v>
      </c>
      <c r="G374" t="e">
        <f ca="1"/>
        <v>#N/A</v>
      </c>
      <c r="H374" t="e">
        <f ca="1"/>
        <v>#N/A</v>
      </c>
      <c r="I374" t="e">
        <f ca="1"/>
        <v>#N/A</v>
      </c>
      <c r="J374" t="e">
        <f ca="1"/>
        <v>#N/A</v>
      </c>
      <c r="K374" t="e">
        <f ca="1"/>
        <v>#N/A</v>
      </c>
    </row>
    <row r="375" spans="1:11" x14ac:dyDescent="0.25">
      <c r="A375" s="2" t="e">
        <f ca="1"/>
        <v>#N/A</v>
      </c>
      <c r="C375" t="e">
        <f ca="1"/>
        <v>#N/A</v>
      </c>
      <c r="D375" t="e">
        <f ca="1"/>
        <v>#N/A</v>
      </c>
      <c r="E375" t="e">
        <f ca="1"/>
        <v>#N/A</v>
      </c>
      <c r="F375" t="e">
        <f ca="1"/>
        <v>#N/A</v>
      </c>
      <c r="G375" t="e">
        <f ca="1"/>
        <v>#N/A</v>
      </c>
      <c r="H375" t="e">
        <f ca="1"/>
        <v>#N/A</v>
      </c>
      <c r="I375" t="e">
        <f ca="1"/>
        <v>#N/A</v>
      </c>
      <c r="J375" t="e">
        <f ca="1"/>
        <v>#N/A</v>
      </c>
      <c r="K375" t="e">
        <f ca="1"/>
        <v>#N/A</v>
      </c>
    </row>
    <row r="376" spans="1:11" x14ac:dyDescent="0.25">
      <c r="A376" s="2" t="e">
        <f ca="1"/>
        <v>#N/A</v>
      </c>
      <c r="C376" t="e">
        <f ca="1"/>
        <v>#N/A</v>
      </c>
      <c r="D376" t="e">
        <f ca="1"/>
        <v>#N/A</v>
      </c>
      <c r="E376" t="e">
        <f ca="1"/>
        <v>#N/A</v>
      </c>
      <c r="F376" t="e">
        <f ca="1"/>
        <v>#N/A</v>
      </c>
      <c r="G376" t="e">
        <f ca="1"/>
        <v>#N/A</v>
      </c>
      <c r="H376" t="e">
        <f ca="1"/>
        <v>#N/A</v>
      </c>
      <c r="I376" t="e">
        <f ca="1"/>
        <v>#N/A</v>
      </c>
      <c r="J376" t="e">
        <f ca="1"/>
        <v>#N/A</v>
      </c>
      <c r="K376" t="e">
        <f ca="1"/>
        <v>#N/A</v>
      </c>
    </row>
    <row r="377" spans="1:11" x14ac:dyDescent="0.25">
      <c r="A377" s="2" t="e">
        <f ca="1"/>
        <v>#N/A</v>
      </c>
      <c r="C377" t="e">
        <f ca="1"/>
        <v>#N/A</v>
      </c>
      <c r="D377" t="e">
        <f ca="1"/>
        <v>#N/A</v>
      </c>
      <c r="E377" t="e">
        <f ca="1"/>
        <v>#N/A</v>
      </c>
      <c r="F377" t="e">
        <f ca="1"/>
        <v>#N/A</v>
      </c>
      <c r="G377" t="e">
        <f ca="1"/>
        <v>#N/A</v>
      </c>
      <c r="H377" t="e">
        <f ca="1"/>
        <v>#N/A</v>
      </c>
      <c r="I377" t="e">
        <f ca="1"/>
        <v>#N/A</v>
      </c>
      <c r="J377" t="e">
        <f ca="1"/>
        <v>#N/A</v>
      </c>
      <c r="K377" t="e">
        <f ca="1"/>
        <v>#N/A</v>
      </c>
    </row>
    <row r="378" spans="1:11" x14ac:dyDescent="0.25">
      <c r="A378" s="2" t="e">
        <f ca="1"/>
        <v>#N/A</v>
      </c>
      <c r="C378" t="e">
        <f ca="1"/>
        <v>#N/A</v>
      </c>
      <c r="D378" t="e">
        <f ca="1"/>
        <v>#N/A</v>
      </c>
      <c r="E378" t="e">
        <f ca="1"/>
        <v>#N/A</v>
      </c>
      <c r="F378" t="e">
        <f ca="1"/>
        <v>#N/A</v>
      </c>
      <c r="G378" t="e">
        <f ca="1"/>
        <v>#N/A</v>
      </c>
      <c r="H378" t="e">
        <f ca="1"/>
        <v>#N/A</v>
      </c>
      <c r="I378" t="e">
        <f ca="1"/>
        <v>#N/A</v>
      </c>
      <c r="J378" t="e">
        <f ca="1"/>
        <v>#N/A</v>
      </c>
      <c r="K378" t="e">
        <f ca="1"/>
        <v>#N/A</v>
      </c>
    </row>
    <row r="379" spans="1:11" x14ac:dyDescent="0.25">
      <c r="A379" s="2" t="e">
        <f ca="1"/>
        <v>#N/A</v>
      </c>
      <c r="C379" t="e">
        <f ca="1"/>
        <v>#N/A</v>
      </c>
      <c r="D379" t="e">
        <f ca="1"/>
        <v>#N/A</v>
      </c>
      <c r="E379" t="e">
        <f ca="1"/>
        <v>#N/A</v>
      </c>
      <c r="F379" t="e">
        <f ca="1"/>
        <v>#N/A</v>
      </c>
      <c r="G379" t="e">
        <f ca="1"/>
        <v>#N/A</v>
      </c>
      <c r="H379" t="e">
        <f ca="1"/>
        <v>#N/A</v>
      </c>
      <c r="I379" t="e">
        <f ca="1"/>
        <v>#N/A</v>
      </c>
      <c r="J379" t="e">
        <f ca="1"/>
        <v>#N/A</v>
      </c>
      <c r="K379" t="e">
        <f ca="1"/>
        <v>#N/A</v>
      </c>
    </row>
    <row r="380" spans="1:11" x14ac:dyDescent="0.25">
      <c r="A380" s="2" t="e">
        <f ca="1"/>
        <v>#N/A</v>
      </c>
      <c r="C380" t="e">
        <f ca="1"/>
        <v>#N/A</v>
      </c>
      <c r="D380" t="e">
        <f ca="1"/>
        <v>#N/A</v>
      </c>
      <c r="E380" t="e">
        <f ca="1"/>
        <v>#N/A</v>
      </c>
      <c r="F380" t="e">
        <f ca="1"/>
        <v>#N/A</v>
      </c>
      <c r="G380" t="e">
        <f ca="1"/>
        <v>#N/A</v>
      </c>
      <c r="H380" t="e">
        <f ca="1"/>
        <v>#N/A</v>
      </c>
      <c r="I380" t="e">
        <f ca="1"/>
        <v>#N/A</v>
      </c>
      <c r="J380" t="e">
        <f ca="1"/>
        <v>#N/A</v>
      </c>
      <c r="K380" t="e">
        <f ca="1"/>
        <v>#N/A</v>
      </c>
    </row>
    <row r="381" spans="1:11" x14ac:dyDescent="0.25">
      <c r="A381" s="2" t="e">
        <f ca="1"/>
        <v>#N/A</v>
      </c>
      <c r="C381" t="e">
        <f ca="1"/>
        <v>#N/A</v>
      </c>
      <c r="D381" t="e">
        <f ca="1"/>
        <v>#N/A</v>
      </c>
      <c r="E381" t="e">
        <f ca="1"/>
        <v>#N/A</v>
      </c>
      <c r="F381" t="e">
        <f ca="1"/>
        <v>#N/A</v>
      </c>
      <c r="G381" t="e">
        <f ca="1"/>
        <v>#N/A</v>
      </c>
      <c r="H381" t="e">
        <f ca="1"/>
        <v>#N/A</v>
      </c>
      <c r="I381" t="e">
        <f ca="1"/>
        <v>#N/A</v>
      </c>
      <c r="J381" t="e">
        <f ca="1"/>
        <v>#N/A</v>
      </c>
      <c r="K381" t="e">
        <f ca="1"/>
        <v>#N/A</v>
      </c>
    </row>
    <row r="382" spans="1:11" x14ac:dyDescent="0.25">
      <c r="A382" s="2" t="e">
        <f ca="1"/>
        <v>#N/A</v>
      </c>
      <c r="C382" t="e">
        <f ca="1"/>
        <v>#N/A</v>
      </c>
      <c r="D382" t="e">
        <f ca="1"/>
        <v>#N/A</v>
      </c>
      <c r="E382" t="e">
        <f ca="1"/>
        <v>#N/A</v>
      </c>
      <c r="F382" t="e">
        <f ca="1"/>
        <v>#N/A</v>
      </c>
      <c r="G382" t="e">
        <f ca="1"/>
        <v>#N/A</v>
      </c>
      <c r="H382" t="e">
        <f ca="1"/>
        <v>#N/A</v>
      </c>
      <c r="I382" t="e">
        <f ca="1"/>
        <v>#N/A</v>
      </c>
      <c r="J382" t="e">
        <f ca="1"/>
        <v>#N/A</v>
      </c>
      <c r="K382" t="e">
        <f ca="1"/>
        <v>#N/A</v>
      </c>
    </row>
    <row r="383" spans="1:11" x14ac:dyDescent="0.25">
      <c r="A383" s="2" t="e">
        <f ca="1"/>
        <v>#N/A</v>
      </c>
      <c r="C383" t="e">
        <f ca="1"/>
        <v>#N/A</v>
      </c>
      <c r="D383" t="e">
        <f ca="1"/>
        <v>#N/A</v>
      </c>
      <c r="E383" t="e">
        <f ca="1"/>
        <v>#N/A</v>
      </c>
      <c r="F383" t="e">
        <f ca="1"/>
        <v>#N/A</v>
      </c>
      <c r="G383" t="e">
        <f ca="1"/>
        <v>#N/A</v>
      </c>
      <c r="H383" t="e">
        <f ca="1"/>
        <v>#N/A</v>
      </c>
      <c r="I383" t="e">
        <f ca="1"/>
        <v>#N/A</v>
      </c>
      <c r="J383" t="e">
        <f ca="1"/>
        <v>#N/A</v>
      </c>
      <c r="K383" t="e">
        <f ca="1"/>
        <v>#N/A</v>
      </c>
    </row>
    <row r="384" spans="1:11" x14ac:dyDescent="0.25">
      <c r="A384" s="2" t="e">
        <f ca="1"/>
        <v>#N/A</v>
      </c>
      <c r="C384" t="e">
        <f ca="1"/>
        <v>#N/A</v>
      </c>
      <c r="D384" t="e">
        <f ca="1"/>
        <v>#N/A</v>
      </c>
      <c r="E384" t="e">
        <f ca="1"/>
        <v>#N/A</v>
      </c>
      <c r="F384" t="e">
        <f ca="1"/>
        <v>#N/A</v>
      </c>
      <c r="G384" t="e">
        <f ca="1"/>
        <v>#N/A</v>
      </c>
      <c r="H384" t="e">
        <f ca="1"/>
        <v>#N/A</v>
      </c>
      <c r="I384" t="e">
        <f ca="1"/>
        <v>#N/A</v>
      </c>
      <c r="J384" t="e">
        <f ca="1"/>
        <v>#N/A</v>
      </c>
      <c r="K384" t="e">
        <f ca="1"/>
        <v>#N/A</v>
      </c>
    </row>
    <row r="385" spans="1:11" x14ac:dyDescent="0.25">
      <c r="A385" s="2" t="e">
        <f ca="1"/>
        <v>#N/A</v>
      </c>
      <c r="C385" t="e">
        <f ca="1"/>
        <v>#N/A</v>
      </c>
      <c r="D385" t="e">
        <f ca="1"/>
        <v>#N/A</v>
      </c>
      <c r="E385" t="e">
        <f ca="1"/>
        <v>#N/A</v>
      </c>
      <c r="F385" t="e">
        <f ca="1"/>
        <v>#N/A</v>
      </c>
      <c r="G385" t="e">
        <f ca="1"/>
        <v>#N/A</v>
      </c>
      <c r="H385" t="e">
        <f ca="1"/>
        <v>#N/A</v>
      </c>
      <c r="I385" t="e">
        <f ca="1"/>
        <v>#N/A</v>
      </c>
      <c r="J385" t="e">
        <f ca="1"/>
        <v>#N/A</v>
      </c>
      <c r="K385" t="e">
        <f ca="1"/>
        <v>#N/A</v>
      </c>
    </row>
    <row r="386" spans="1:11" x14ac:dyDescent="0.25">
      <c r="A386" s="2" t="e">
        <f ca="1"/>
        <v>#N/A</v>
      </c>
      <c r="C386" t="e">
        <f ca="1"/>
        <v>#N/A</v>
      </c>
      <c r="D386" t="e">
        <f ca="1"/>
        <v>#N/A</v>
      </c>
      <c r="E386" t="e">
        <f ca="1"/>
        <v>#N/A</v>
      </c>
      <c r="F386" t="e">
        <f ca="1"/>
        <v>#N/A</v>
      </c>
      <c r="G386" t="e">
        <f ca="1"/>
        <v>#N/A</v>
      </c>
      <c r="H386" t="e">
        <f ca="1"/>
        <v>#N/A</v>
      </c>
      <c r="I386" t="e">
        <f ca="1"/>
        <v>#N/A</v>
      </c>
      <c r="J386" t="e">
        <f ca="1"/>
        <v>#N/A</v>
      </c>
      <c r="K386" t="e">
        <f ca="1"/>
        <v>#N/A</v>
      </c>
    </row>
    <row r="387" spans="1:11" x14ac:dyDescent="0.25">
      <c r="A387" s="2" t="e">
        <f ca="1"/>
        <v>#N/A</v>
      </c>
      <c r="C387" t="e">
        <f ca="1"/>
        <v>#N/A</v>
      </c>
      <c r="D387" t="e">
        <f ca="1"/>
        <v>#N/A</v>
      </c>
      <c r="E387" t="e">
        <f ca="1"/>
        <v>#N/A</v>
      </c>
      <c r="F387" t="e">
        <f ca="1"/>
        <v>#N/A</v>
      </c>
      <c r="G387" t="e">
        <f ca="1"/>
        <v>#N/A</v>
      </c>
      <c r="H387" t="e">
        <f ca="1"/>
        <v>#N/A</v>
      </c>
      <c r="I387" t="e">
        <f ca="1"/>
        <v>#N/A</v>
      </c>
      <c r="J387" t="e">
        <f ca="1"/>
        <v>#N/A</v>
      </c>
      <c r="K387" t="e">
        <f ca="1"/>
        <v>#N/A</v>
      </c>
    </row>
    <row r="388" spans="1:11" x14ac:dyDescent="0.25">
      <c r="A388" s="2" t="e">
        <f ca="1"/>
        <v>#N/A</v>
      </c>
      <c r="C388" t="e">
        <f ca="1"/>
        <v>#N/A</v>
      </c>
      <c r="D388" t="e">
        <f ca="1"/>
        <v>#N/A</v>
      </c>
      <c r="E388" t="e">
        <f ca="1"/>
        <v>#N/A</v>
      </c>
      <c r="F388" t="e">
        <f ca="1"/>
        <v>#N/A</v>
      </c>
      <c r="G388" t="e">
        <f ca="1"/>
        <v>#N/A</v>
      </c>
      <c r="H388" t="e">
        <f ca="1"/>
        <v>#N/A</v>
      </c>
      <c r="I388" t="e">
        <f ca="1"/>
        <v>#N/A</v>
      </c>
      <c r="J388" t="e">
        <f ca="1"/>
        <v>#N/A</v>
      </c>
      <c r="K388" t="e">
        <f ca="1"/>
        <v>#N/A</v>
      </c>
    </row>
    <row r="389" spans="1:11" x14ac:dyDescent="0.25">
      <c r="A389" s="2" t="e">
        <f ca="1"/>
        <v>#N/A</v>
      </c>
      <c r="C389" t="e">
        <f ca="1"/>
        <v>#N/A</v>
      </c>
      <c r="D389" t="e">
        <f ca="1"/>
        <v>#N/A</v>
      </c>
      <c r="E389" t="e">
        <f ca="1"/>
        <v>#N/A</v>
      </c>
      <c r="F389" t="e">
        <f ca="1"/>
        <v>#N/A</v>
      </c>
      <c r="G389" t="e">
        <f ca="1"/>
        <v>#N/A</v>
      </c>
      <c r="H389" t="e">
        <f ca="1"/>
        <v>#N/A</v>
      </c>
      <c r="I389" t="e">
        <f ca="1"/>
        <v>#N/A</v>
      </c>
      <c r="J389" t="e">
        <f ca="1"/>
        <v>#N/A</v>
      </c>
      <c r="K389" t="e">
        <f ca="1"/>
        <v>#N/A</v>
      </c>
    </row>
    <row r="390" spans="1:11" x14ac:dyDescent="0.25">
      <c r="A390" s="2" t="e">
        <f ca="1"/>
        <v>#N/A</v>
      </c>
      <c r="C390" t="e">
        <f ca="1"/>
        <v>#N/A</v>
      </c>
      <c r="D390" t="e">
        <f ca="1"/>
        <v>#N/A</v>
      </c>
      <c r="E390" t="e">
        <f ca="1"/>
        <v>#N/A</v>
      </c>
      <c r="F390" t="e">
        <f ca="1"/>
        <v>#N/A</v>
      </c>
      <c r="G390" t="e">
        <f ca="1"/>
        <v>#N/A</v>
      </c>
      <c r="H390" t="e">
        <f ca="1"/>
        <v>#N/A</v>
      </c>
      <c r="I390" t="e">
        <f ca="1"/>
        <v>#N/A</v>
      </c>
      <c r="J390" t="e">
        <f ca="1"/>
        <v>#N/A</v>
      </c>
      <c r="K390" t="e">
        <f ca="1"/>
        <v>#N/A</v>
      </c>
    </row>
    <row r="391" spans="1:11" x14ac:dyDescent="0.25">
      <c r="A391" s="2" t="e">
        <f ca="1"/>
        <v>#N/A</v>
      </c>
      <c r="C391" t="e">
        <f ca="1"/>
        <v>#N/A</v>
      </c>
      <c r="D391" t="e">
        <f ca="1"/>
        <v>#N/A</v>
      </c>
      <c r="E391" t="e">
        <f ca="1"/>
        <v>#N/A</v>
      </c>
      <c r="F391" t="e">
        <f ca="1"/>
        <v>#N/A</v>
      </c>
      <c r="G391" t="e">
        <f ca="1"/>
        <v>#N/A</v>
      </c>
      <c r="H391" t="e">
        <f ca="1"/>
        <v>#N/A</v>
      </c>
      <c r="I391" t="e">
        <f ca="1"/>
        <v>#N/A</v>
      </c>
      <c r="J391" t="e">
        <f ca="1"/>
        <v>#N/A</v>
      </c>
      <c r="K391" t="e">
        <f ca="1"/>
        <v>#N/A</v>
      </c>
    </row>
    <row r="392" spans="1:11" x14ac:dyDescent="0.25">
      <c r="A392" s="2" t="e">
        <f ca="1"/>
        <v>#N/A</v>
      </c>
      <c r="C392" t="e">
        <f ca="1"/>
        <v>#N/A</v>
      </c>
      <c r="D392" t="e">
        <f ca="1"/>
        <v>#N/A</v>
      </c>
      <c r="E392" t="e">
        <f ca="1"/>
        <v>#N/A</v>
      </c>
      <c r="F392" t="e">
        <f ca="1"/>
        <v>#N/A</v>
      </c>
      <c r="G392" t="e">
        <f ca="1"/>
        <v>#N/A</v>
      </c>
      <c r="H392" t="e">
        <f ca="1"/>
        <v>#N/A</v>
      </c>
      <c r="I392" t="e">
        <f ca="1"/>
        <v>#N/A</v>
      </c>
      <c r="J392" t="e">
        <f ca="1"/>
        <v>#N/A</v>
      </c>
      <c r="K392" t="e">
        <f ca="1"/>
        <v>#N/A</v>
      </c>
    </row>
    <row r="393" spans="1:11" x14ac:dyDescent="0.25">
      <c r="A393" s="2" t="e">
        <f ca="1"/>
        <v>#N/A</v>
      </c>
      <c r="C393" t="e">
        <f ca="1"/>
        <v>#N/A</v>
      </c>
      <c r="D393" t="e">
        <f ca="1"/>
        <v>#N/A</v>
      </c>
      <c r="E393" t="e">
        <f ca="1"/>
        <v>#N/A</v>
      </c>
      <c r="F393" t="e">
        <f ca="1"/>
        <v>#N/A</v>
      </c>
      <c r="G393" t="e">
        <f ca="1"/>
        <v>#N/A</v>
      </c>
      <c r="H393" t="e">
        <f ca="1"/>
        <v>#N/A</v>
      </c>
      <c r="I393" t="e">
        <f ca="1"/>
        <v>#N/A</v>
      </c>
      <c r="J393" t="e">
        <f ca="1"/>
        <v>#N/A</v>
      </c>
      <c r="K393" t="e">
        <f ca="1"/>
        <v>#N/A</v>
      </c>
    </row>
    <row r="394" spans="1:11" x14ac:dyDescent="0.25">
      <c r="A394" s="2" t="e">
        <f ca="1"/>
        <v>#N/A</v>
      </c>
      <c r="C394" t="e">
        <f ca="1"/>
        <v>#N/A</v>
      </c>
      <c r="D394" t="e">
        <f ca="1"/>
        <v>#N/A</v>
      </c>
      <c r="E394" t="e">
        <f ca="1"/>
        <v>#N/A</v>
      </c>
      <c r="F394" t="e">
        <f ca="1"/>
        <v>#N/A</v>
      </c>
      <c r="G394" t="e">
        <f ca="1"/>
        <v>#N/A</v>
      </c>
      <c r="H394" t="e">
        <f ca="1"/>
        <v>#N/A</v>
      </c>
      <c r="I394" t="e">
        <f ca="1"/>
        <v>#N/A</v>
      </c>
      <c r="J394" t="e">
        <f ca="1"/>
        <v>#N/A</v>
      </c>
      <c r="K394" t="e">
        <f ca="1"/>
        <v>#N/A</v>
      </c>
    </row>
    <row r="395" spans="1:11" x14ac:dyDescent="0.25">
      <c r="A395" s="2" t="e">
        <f ca="1"/>
        <v>#N/A</v>
      </c>
      <c r="C395" t="e">
        <f ca="1"/>
        <v>#N/A</v>
      </c>
      <c r="D395" t="e">
        <f ca="1"/>
        <v>#N/A</v>
      </c>
      <c r="E395" t="e">
        <f ca="1"/>
        <v>#N/A</v>
      </c>
      <c r="F395" t="e">
        <f ca="1"/>
        <v>#N/A</v>
      </c>
      <c r="G395" t="e">
        <f ca="1"/>
        <v>#N/A</v>
      </c>
      <c r="H395" t="e">
        <f ca="1"/>
        <v>#N/A</v>
      </c>
      <c r="I395" t="e">
        <f ca="1"/>
        <v>#N/A</v>
      </c>
      <c r="J395" t="e">
        <f ca="1"/>
        <v>#N/A</v>
      </c>
      <c r="K395" t="e">
        <f ca="1"/>
        <v>#N/A</v>
      </c>
    </row>
    <row r="396" spans="1:11" x14ac:dyDescent="0.25">
      <c r="A396" s="2" t="e">
        <f ca="1"/>
        <v>#N/A</v>
      </c>
      <c r="C396" t="e">
        <f ca="1"/>
        <v>#N/A</v>
      </c>
      <c r="D396" t="e">
        <f ca="1"/>
        <v>#N/A</v>
      </c>
      <c r="E396" t="e">
        <f ca="1"/>
        <v>#N/A</v>
      </c>
      <c r="F396" t="e">
        <f ca="1"/>
        <v>#N/A</v>
      </c>
      <c r="G396" t="e">
        <f ca="1"/>
        <v>#N/A</v>
      </c>
      <c r="H396" t="e">
        <f ca="1"/>
        <v>#N/A</v>
      </c>
      <c r="I396" t="e">
        <f ca="1"/>
        <v>#N/A</v>
      </c>
      <c r="J396" t="e">
        <f ca="1"/>
        <v>#N/A</v>
      </c>
      <c r="K396" t="e">
        <f ca="1"/>
        <v>#N/A</v>
      </c>
    </row>
    <row r="397" spans="1:11" x14ac:dyDescent="0.25">
      <c r="A397" s="2" t="e">
        <f ca="1"/>
        <v>#N/A</v>
      </c>
      <c r="C397" t="e">
        <f ca="1"/>
        <v>#N/A</v>
      </c>
      <c r="D397" t="e">
        <f ca="1"/>
        <v>#N/A</v>
      </c>
      <c r="E397" t="e">
        <f ca="1"/>
        <v>#N/A</v>
      </c>
      <c r="F397" t="e">
        <f ca="1"/>
        <v>#N/A</v>
      </c>
      <c r="G397" t="e">
        <f ca="1"/>
        <v>#N/A</v>
      </c>
      <c r="H397" t="e">
        <f ca="1"/>
        <v>#N/A</v>
      </c>
      <c r="I397" t="e">
        <f ca="1"/>
        <v>#N/A</v>
      </c>
      <c r="J397" t="e">
        <f ca="1"/>
        <v>#N/A</v>
      </c>
      <c r="K397" t="e">
        <f ca="1"/>
        <v>#N/A</v>
      </c>
    </row>
    <row r="398" spans="1:11" x14ac:dyDescent="0.25">
      <c r="A398" s="2" t="e">
        <f ca="1"/>
        <v>#N/A</v>
      </c>
      <c r="C398" t="e">
        <f ca="1"/>
        <v>#N/A</v>
      </c>
      <c r="D398" t="e">
        <f ca="1"/>
        <v>#N/A</v>
      </c>
      <c r="E398" t="e">
        <f ca="1"/>
        <v>#N/A</v>
      </c>
      <c r="F398" t="e">
        <f ca="1"/>
        <v>#N/A</v>
      </c>
      <c r="G398" t="e">
        <f ca="1"/>
        <v>#N/A</v>
      </c>
      <c r="H398" t="e">
        <f ca="1"/>
        <v>#N/A</v>
      </c>
      <c r="I398" t="e">
        <f ca="1"/>
        <v>#N/A</v>
      </c>
      <c r="J398" t="e">
        <f ca="1"/>
        <v>#N/A</v>
      </c>
      <c r="K398" t="e">
        <f ca="1"/>
        <v>#N/A</v>
      </c>
    </row>
    <row r="399" spans="1:11" x14ac:dyDescent="0.25">
      <c r="A399" s="2" t="e">
        <f ca="1"/>
        <v>#N/A</v>
      </c>
      <c r="C399" t="e">
        <f ca="1"/>
        <v>#N/A</v>
      </c>
      <c r="D399" t="e">
        <f ca="1"/>
        <v>#N/A</v>
      </c>
      <c r="E399" t="e">
        <f ca="1"/>
        <v>#N/A</v>
      </c>
      <c r="F399" t="e">
        <f ca="1"/>
        <v>#N/A</v>
      </c>
      <c r="G399" t="e">
        <f ca="1"/>
        <v>#N/A</v>
      </c>
      <c r="H399" t="e">
        <f ca="1"/>
        <v>#N/A</v>
      </c>
      <c r="I399" t="e">
        <f ca="1"/>
        <v>#N/A</v>
      </c>
      <c r="J399" t="e">
        <f ca="1"/>
        <v>#N/A</v>
      </c>
      <c r="K399" t="e">
        <f ca="1"/>
        <v>#N/A</v>
      </c>
    </row>
    <row r="400" spans="1:11" x14ac:dyDescent="0.25">
      <c r="A400" s="2" t="e">
        <f ca="1"/>
        <v>#N/A</v>
      </c>
      <c r="C400" t="e">
        <f ca="1"/>
        <v>#N/A</v>
      </c>
      <c r="D400" t="e">
        <f ca="1"/>
        <v>#N/A</v>
      </c>
      <c r="E400" t="e">
        <f ca="1"/>
        <v>#N/A</v>
      </c>
      <c r="F400" t="e">
        <f ca="1"/>
        <v>#N/A</v>
      </c>
      <c r="G400" t="e">
        <f ca="1"/>
        <v>#N/A</v>
      </c>
      <c r="H400" t="e">
        <f ca="1"/>
        <v>#N/A</v>
      </c>
      <c r="I400" t="e">
        <f ca="1"/>
        <v>#N/A</v>
      </c>
      <c r="J400" t="e">
        <f ca="1"/>
        <v>#N/A</v>
      </c>
      <c r="K400" t="e">
        <f ca="1"/>
        <v>#N/A</v>
      </c>
    </row>
    <row r="401" spans="1:11" x14ac:dyDescent="0.25">
      <c r="A401" s="2" t="e">
        <f ca="1"/>
        <v>#N/A</v>
      </c>
      <c r="C401" t="e">
        <f ca="1"/>
        <v>#N/A</v>
      </c>
      <c r="D401" t="e">
        <f ca="1"/>
        <v>#N/A</v>
      </c>
      <c r="E401" t="e">
        <f ca="1"/>
        <v>#N/A</v>
      </c>
      <c r="F401" t="e">
        <f ca="1"/>
        <v>#N/A</v>
      </c>
      <c r="G401" t="e">
        <f ca="1"/>
        <v>#N/A</v>
      </c>
      <c r="H401" t="e">
        <f ca="1"/>
        <v>#N/A</v>
      </c>
      <c r="I401" t="e">
        <f ca="1"/>
        <v>#N/A</v>
      </c>
      <c r="J401" t="e">
        <f ca="1"/>
        <v>#N/A</v>
      </c>
      <c r="K401" t="e">
        <f ca="1"/>
        <v>#N/A</v>
      </c>
    </row>
    <row r="402" spans="1:11" x14ac:dyDescent="0.25">
      <c r="A402" s="2" t="e">
        <f ca="1"/>
        <v>#N/A</v>
      </c>
      <c r="C402" t="e">
        <f ca="1"/>
        <v>#N/A</v>
      </c>
      <c r="D402" t="e">
        <f ca="1"/>
        <v>#N/A</v>
      </c>
      <c r="E402" t="e">
        <f ca="1"/>
        <v>#N/A</v>
      </c>
      <c r="F402" t="e">
        <f ca="1"/>
        <v>#N/A</v>
      </c>
      <c r="G402" t="e">
        <f ca="1"/>
        <v>#N/A</v>
      </c>
      <c r="H402" t="e">
        <f ca="1"/>
        <v>#N/A</v>
      </c>
      <c r="I402" t="e">
        <f ca="1"/>
        <v>#N/A</v>
      </c>
      <c r="J402" t="e">
        <f ca="1"/>
        <v>#N/A</v>
      </c>
      <c r="K402" t="e">
        <f ca="1"/>
        <v>#N/A</v>
      </c>
    </row>
    <row r="403" spans="1:11" x14ac:dyDescent="0.25">
      <c r="A403" s="2" t="e">
        <f ca="1"/>
        <v>#N/A</v>
      </c>
      <c r="C403" t="e">
        <f ca="1"/>
        <v>#N/A</v>
      </c>
      <c r="D403" t="e">
        <f ca="1"/>
        <v>#N/A</v>
      </c>
      <c r="E403" t="e">
        <f ca="1"/>
        <v>#N/A</v>
      </c>
      <c r="F403" t="e">
        <f ca="1"/>
        <v>#N/A</v>
      </c>
      <c r="G403" t="e">
        <f ca="1"/>
        <v>#N/A</v>
      </c>
      <c r="H403" t="e">
        <f ca="1"/>
        <v>#N/A</v>
      </c>
      <c r="I403" t="e">
        <f ca="1"/>
        <v>#N/A</v>
      </c>
      <c r="J403" t="e">
        <f ca="1"/>
        <v>#N/A</v>
      </c>
      <c r="K403" t="e">
        <f ca="1"/>
        <v>#N/A</v>
      </c>
    </row>
    <row r="404" spans="1:11" x14ac:dyDescent="0.25">
      <c r="A404" s="2" t="e">
        <f ca="1"/>
        <v>#N/A</v>
      </c>
      <c r="C404" t="e">
        <f ca="1"/>
        <v>#N/A</v>
      </c>
      <c r="D404" t="e">
        <f ca="1"/>
        <v>#N/A</v>
      </c>
      <c r="E404" t="e">
        <f ca="1"/>
        <v>#N/A</v>
      </c>
      <c r="F404" t="e">
        <f ca="1"/>
        <v>#N/A</v>
      </c>
      <c r="G404" t="e">
        <f ca="1"/>
        <v>#N/A</v>
      </c>
      <c r="H404" t="e">
        <f ca="1"/>
        <v>#N/A</v>
      </c>
      <c r="I404" t="e">
        <f ca="1"/>
        <v>#N/A</v>
      </c>
      <c r="J404" t="e">
        <f ca="1"/>
        <v>#N/A</v>
      </c>
      <c r="K404" t="e">
        <f ca="1"/>
        <v>#N/A</v>
      </c>
    </row>
    <row r="405" spans="1:11" x14ac:dyDescent="0.25">
      <c r="A405" s="2" t="e">
        <f ca="1"/>
        <v>#N/A</v>
      </c>
      <c r="C405" t="e">
        <f ca="1"/>
        <v>#N/A</v>
      </c>
      <c r="D405" t="e">
        <f ca="1"/>
        <v>#N/A</v>
      </c>
      <c r="E405" t="e">
        <f ca="1"/>
        <v>#N/A</v>
      </c>
      <c r="F405" t="e">
        <f ca="1"/>
        <v>#N/A</v>
      </c>
      <c r="G405" t="e">
        <f ca="1"/>
        <v>#N/A</v>
      </c>
      <c r="H405" t="e">
        <f ca="1"/>
        <v>#N/A</v>
      </c>
      <c r="I405" t="e">
        <f ca="1"/>
        <v>#N/A</v>
      </c>
      <c r="J405" t="e">
        <f ca="1"/>
        <v>#N/A</v>
      </c>
      <c r="K405" t="e">
        <f ca="1"/>
        <v>#N/A</v>
      </c>
    </row>
    <row r="406" spans="1:11" x14ac:dyDescent="0.25">
      <c r="A406" s="2" t="e">
        <f ca="1"/>
        <v>#N/A</v>
      </c>
      <c r="C406" t="e">
        <f ca="1"/>
        <v>#N/A</v>
      </c>
      <c r="D406" t="e">
        <f ca="1"/>
        <v>#N/A</v>
      </c>
      <c r="E406" t="e">
        <f ca="1"/>
        <v>#N/A</v>
      </c>
      <c r="F406" t="e">
        <f ca="1"/>
        <v>#N/A</v>
      </c>
      <c r="G406" t="e">
        <f ca="1"/>
        <v>#N/A</v>
      </c>
      <c r="H406" t="e">
        <f ca="1"/>
        <v>#N/A</v>
      </c>
      <c r="I406" t="e">
        <f ca="1"/>
        <v>#N/A</v>
      </c>
      <c r="J406" t="e">
        <f ca="1"/>
        <v>#N/A</v>
      </c>
      <c r="K406" t="e">
        <f ca="1"/>
        <v>#N/A</v>
      </c>
    </row>
    <row r="407" spans="1:11" x14ac:dyDescent="0.25">
      <c r="A407" s="2" t="e">
        <f ca="1"/>
        <v>#N/A</v>
      </c>
      <c r="C407" t="e">
        <f ca="1"/>
        <v>#N/A</v>
      </c>
      <c r="D407" t="e">
        <f ca="1"/>
        <v>#N/A</v>
      </c>
      <c r="E407" t="e">
        <f ca="1"/>
        <v>#N/A</v>
      </c>
      <c r="F407" t="e">
        <f ca="1"/>
        <v>#N/A</v>
      </c>
      <c r="G407" t="e">
        <f ca="1"/>
        <v>#N/A</v>
      </c>
      <c r="H407" t="e">
        <f ca="1"/>
        <v>#N/A</v>
      </c>
      <c r="I407" t="e">
        <f ca="1"/>
        <v>#N/A</v>
      </c>
      <c r="J407" t="e">
        <f ca="1"/>
        <v>#N/A</v>
      </c>
      <c r="K407" t="e">
        <f ca="1"/>
        <v>#N/A</v>
      </c>
    </row>
    <row r="408" spans="1:11" x14ac:dyDescent="0.25">
      <c r="A408" s="2" t="e">
        <f ca="1"/>
        <v>#N/A</v>
      </c>
      <c r="C408" t="e">
        <f ca="1"/>
        <v>#N/A</v>
      </c>
      <c r="D408" t="e">
        <f ca="1"/>
        <v>#N/A</v>
      </c>
      <c r="E408" t="e">
        <f ca="1"/>
        <v>#N/A</v>
      </c>
      <c r="F408" t="e">
        <f ca="1"/>
        <v>#N/A</v>
      </c>
      <c r="G408" t="e">
        <f ca="1"/>
        <v>#N/A</v>
      </c>
      <c r="H408" t="e">
        <f ca="1"/>
        <v>#N/A</v>
      </c>
      <c r="I408" t="e">
        <f ca="1"/>
        <v>#N/A</v>
      </c>
      <c r="J408" t="e">
        <f ca="1"/>
        <v>#N/A</v>
      </c>
      <c r="K408" t="e">
        <f ca="1"/>
        <v>#N/A</v>
      </c>
    </row>
    <row r="409" spans="1:11" x14ac:dyDescent="0.25">
      <c r="A409" s="2" t="e">
        <f ca="1"/>
        <v>#N/A</v>
      </c>
      <c r="C409" t="e">
        <f ca="1"/>
        <v>#N/A</v>
      </c>
      <c r="D409" t="e">
        <f ca="1"/>
        <v>#N/A</v>
      </c>
      <c r="E409" t="e">
        <f ca="1"/>
        <v>#N/A</v>
      </c>
      <c r="F409" t="e">
        <f ca="1"/>
        <v>#N/A</v>
      </c>
      <c r="G409" t="e">
        <f ca="1"/>
        <v>#N/A</v>
      </c>
      <c r="H409" t="e">
        <f ca="1"/>
        <v>#N/A</v>
      </c>
      <c r="I409" t="e">
        <f ca="1"/>
        <v>#N/A</v>
      </c>
      <c r="J409" t="e">
        <f ca="1"/>
        <v>#N/A</v>
      </c>
      <c r="K409" t="e">
        <f ca="1"/>
        <v>#N/A</v>
      </c>
    </row>
    <row r="410" spans="1:11" x14ac:dyDescent="0.25">
      <c r="A410" s="2" t="e">
        <f ca="1"/>
        <v>#N/A</v>
      </c>
      <c r="C410" t="e">
        <f ca="1"/>
        <v>#N/A</v>
      </c>
      <c r="D410" t="e">
        <f ca="1"/>
        <v>#N/A</v>
      </c>
      <c r="E410" t="e">
        <f ca="1"/>
        <v>#N/A</v>
      </c>
      <c r="F410" t="e">
        <f ca="1"/>
        <v>#N/A</v>
      </c>
      <c r="G410" t="e">
        <f ca="1"/>
        <v>#N/A</v>
      </c>
      <c r="H410" t="e">
        <f ca="1"/>
        <v>#N/A</v>
      </c>
      <c r="I410" t="e">
        <f ca="1"/>
        <v>#N/A</v>
      </c>
      <c r="J410" t="e">
        <f ca="1"/>
        <v>#N/A</v>
      </c>
      <c r="K410" t="e">
        <f ca="1"/>
        <v>#N/A</v>
      </c>
    </row>
    <row r="411" spans="1:11" x14ac:dyDescent="0.25">
      <c r="A411" s="2" t="e">
        <f ca="1"/>
        <v>#N/A</v>
      </c>
      <c r="C411" t="e">
        <f ca="1"/>
        <v>#N/A</v>
      </c>
      <c r="D411" t="e">
        <f ca="1"/>
        <v>#N/A</v>
      </c>
      <c r="E411" t="e">
        <f ca="1"/>
        <v>#N/A</v>
      </c>
      <c r="F411" t="e">
        <f ca="1"/>
        <v>#N/A</v>
      </c>
      <c r="G411" t="e">
        <f ca="1"/>
        <v>#N/A</v>
      </c>
      <c r="H411" t="e">
        <f ca="1"/>
        <v>#N/A</v>
      </c>
      <c r="I411" t="e">
        <f ca="1"/>
        <v>#N/A</v>
      </c>
      <c r="J411" t="e">
        <f ca="1"/>
        <v>#N/A</v>
      </c>
      <c r="K411" t="e">
        <f ca="1"/>
        <v>#N/A</v>
      </c>
    </row>
    <row r="412" spans="1:11" x14ac:dyDescent="0.25">
      <c r="A412" s="2" t="e">
        <f ca="1"/>
        <v>#N/A</v>
      </c>
      <c r="C412" t="e">
        <f ca="1"/>
        <v>#N/A</v>
      </c>
      <c r="D412" t="e">
        <f ca="1"/>
        <v>#N/A</v>
      </c>
      <c r="E412" t="e">
        <f ca="1"/>
        <v>#N/A</v>
      </c>
      <c r="F412" t="e">
        <f ca="1"/>
        <v>#N/A</v>
      </c>
      <c r="G412" t="e">
        <f ca="1"/>
        <v>#N/A</v>
      </c>
      <c r="H412" t="e">
        <f ca="1"/>
        <v>#N/A</v>
      </c>
      <c r="I412" t="e">
        <f ca="1"/>
        <v>#N/A</v>
      </c>
      <c r="J412" t="e">
        <f ca="1"/>
        <v>#N/A</v>
      </c>
      <c r="K412" t="e">
        <f ca="1"/>
        <v>#N/A</v>
      </c>
    </row>
    <row r="413" spans="1:11" x14ac:dyDescent="0.25">
      <c r="A413" s="2" t="e">
        <f ca="1"/>
        <v>#N/A</v>
      </c>
      <c r="C413" t="e">
        <f ca="1"/>
        <v>#N/A</v>
      </c>
      <c r="D413" t="e">
        <f ca="1"/>
        <v>#N/A</v>
      </c>
      <c r="E413" t="e">
        <f ca="1"/>
        <v>#N/A</v>
      </c>
      <c r="F413" t="e">
        <f ca="1"/>
        <v>#N/A</v>
      </c>
      <c r="G413" t="e">
        <f ca="1"/>
        <v>#N/A</v>
      </c>
      <c r="H413" t="e">
        <f ca="1"/>
        <v>#N/A</v>
      </c>
      <c r="I413" t="e">
        <f ca="1"/>
        <v>#N/A</v>
      </c>
      <c r="J413" t="e">
        <f ca="1"/>
        <v>#N/A</v>
      </c>
      <c r="K413" t="e">
        <f ca="1"/>
        <v>#N/A</v>
      </c>
    </row>
    <row r="414" spans="1:11" x14ac:dyDescent="0.25">
      <c r="A414" s="2" t="e">
        <f ca="1"/>
        <v>#N/A</v>
      </c>
      <c r="C414" t="e">
        <f ca="1"/>
        <v>#N/A</v>
      </c>
      <c r="D414" t="e">
        <f ca="1"/>
        <v>#N/A</v>
      </c>
      <c r="E414" t="e">
        <f ca="1"/>
        <v>#N/A</v>
      </c>
      <c r="F414" t="e">
        <f ca="1"/>
        <v>#N/A</v>
      </c>
      <c r="G414" t="e">
        <f ca="1"/>
        <v>#N/A</v>
      </c>
      <c r="H414" t="e">
        <f ca="1"/>
        <v>#N/A</v>
      </c>
      <c r="I414" t="e">
        <f ca="1"/>
        <v>#N/A</v>
      </c>
      <c r="J414" t="e">
        <f ca="1"/>
        <v>#N/A</v>
      </c>
      <c r="K414" t="e">
        <f ca="1"/>
        <v>#N/A</v>
      </c>
    </row>
    <row r="415" spans="1:11" x14ac:dyDescent="0.25">
      <c r="A415" s="2" t="e">
        <f ca="1"/>
        <v>#N/A</v>
      </c>
      <c r="C415" t="e">
        <f ca="1"/>
        <v>#N/A</v>
      </c>
      <c r="D415" t="e">
        <f ca="1"/>
        <v>#N/A</v>
      </c>
      <c r="E415" t="e">
        <f ca="1"/>
        <v>#N/A</v>
      </c>
      <c r="F415" t="e">
        <f ca="1"/>
        <v>#N/A</v>
      </c>
      <c r="G415" t="e">
        <f ca="1"/>
        <v>#N/A</v>
      </c>
      <c r="H415" t="e">
        <f ca="1"/>
        <v>#N/A</v>
      </c>
      <c r="I415" t="e">
        <f ca="1"/>
        <v>#N/A</v>
      </c>
      <c r="J415" t="e">
        <f ca="1"/>
        <v>#N/A</v>
      </c>
      <c r="K415" t="e">
        <f ca="1"/>
        <v>#N/A</v>
      </c>
    </row>
    <row r="416" spans="1:11" x14ac:dyDescent="0.25">
      <c r="A416" s="2" t="e">
        <f ca="1"/>
        <v>#N/A</v>
      </c>
      <c r="C416" t="e">
        <f ca="1"/>
        <v>#N/A</v>
      </c>
      <c r="D416" t="e">
        <f ca="1"/>
        <v>#N/A</v>
      </c>
      <c r="E416" t="e">
        <f ca="1"/>
        <v>#N/A</v>
      </c>
      <c r="F416" t="e">
        <f ca="1"/>
        <v>#N/A</v>
      </c>
      <c r="G416" t="e">
        <f ca="1"/>
        <v>#N/A</v>
      </c>
      <c r="H416" t="e">
        <f ca="1"/>
        <v>#N/A</v>
      </c>
      <c r="I416" t="e">
        <f ca="1"/>
        <v>#N/A</v>
      </c>
      <c r="J416" t="e">
        <f ca="1"/>
        <v>#N/A</v>
      </c>
      <c r="K416" t="e">
        <f ca="1"/>
        <v>#N/A</v>
      </c>
    </row>
    <row r="417" spans="1:11" x14ac:dyDescent="0.25">
      <c r="A417" s="2" t="e">
        <f ca="1"/>
        <v>#N/A</v>
      </c>
      <c r="C417" t="e">
        <f ca="1"/>
        <v>#N/A</v>
      </c>
      <c r="D417" t="e">
        <f ca="1"/>
        <v>#N/A</v>
      </c>
      <c r="E417" t="e">
        <f ca="1"/>
        <v>#N/A</v>
      </c>
      <c r="F417" t="e">
        <f ca="1"/>
        <v>#N/A</v>
      </c>
      <c r="G417" t="e">
        <f ca="1"/>
        <v>#N/A</v>
      </c>
      <c r="H417" t="e">
        <f ca="1"/>
        <v>#N/A</v>
      </c>
      <c r="I417" t="e">
        <f ca="1"/>
        <v>#N/A</v>
      </c>
      <c r="J417" t="e">
        <f ca="1"/>
        <v>#N/A</v>
      </c>
      <c r="K417" t="e">
        <f ca="1"/>
        <v>#N/A</v>
      </c>
    </row>
    <row r="418" spans="1:11" x14ac:dyDescent="0.25">
      <c r="A418" s="2" t="e">
        <f ca="1"/>
        <v>#N/A</v>
      </c>
      <c r="C418" t="e">
        <f ca="1"/>
        <v>#N/A</v>
      </c>
      <c r="D418" t="e">
        <f ca="1"/>
        <v>#N/A</v>
      </c>
      <c r="E418" t="e">
        <f ca="1"/>
        <v>#N/A</v>
      </c>
      <c r="F418" t="e">
        <f ca="1"/>
        <v>#N/A</v>
      </c>
      <c r="G418" t="e">
        <f ca="1"/>
        <v>#N/A</v>
      </c>
      <c r="H418" t="e">
        <f ca="1"/>
        <v>#N/A</v>
      </c>
      <c r="I418" t="e">
        <f ca="1"/>
        <v>#N/A</v>
      </c>
      <c r="J418" t="e">
        <f ca="1"/>
        <v>#N/A</v>
      </c>
      <c r="K418" t="e">
        <f ca="1"/>
        <v>#N/A</v>
      </c>
    </row>
    <row r="419" spans="1:11" x14ac:dyDescent="0.25">
      <c r="A419" s="2" t="e">
        <f ca="1"/>
        <v>#N/A</v>
      </c>
      <c r="C419" t="e">
        <f ca="1"/>
        <v>#N/A</v>
      </c>
      <c r="D419" t="e">
        <f ca="1"/>
        <v>#N/A</v>
      </c>
      <c r="E419" t="e">
        <f ca="1"/>
        <v>#N/A</v>
      </c>
      <c r="F419" t="e">
        <f ca="1"/>
        <v>#N/A</v>
      </c>
      <c r="G419" t="e">
        <f ca="1"/>
        <v>#N/A</v>
      </c>
      <c r="H419" t="e">
        <f ca="1"/>
        <v>#N/A</v>
      </c>
      <c r="I419" t="e">
        <f ca="1"/>
        <v>#N/A</v>
      </c>
      <c r="J419" t="e">
        <f ca="1"/>
        <v>#N/A</v>
      </c>
      <c r="K419" t="e">
        <f ca="1"/>
        <v>#N/A</v>
      </c>
    </row>
    <row r="420" spans="1:11" x14ac:dyDescent="0.25">
      <c r="A420" s="2" t="e">
        <f ca="1"/>
        <v>#N/A</v>
      </c>
      <c r="C420" t="e">
        <f ca="1"/>
        <v>#N/A</v>
      </c>
      <c r="D420" t="e">
        <f ca="1"/>
        <v>#N/A</v>
      </c>
      <c r="E420" t="e">
        <f ca="1"/>
        <v>#N/A</v>
      </c>
      <c r="F420" t="e">
        <f ca="1"/>
        <v>#N/A</v>
      </c>
      <c r="G420" t="e">
        <f ca="1"/>
        <v>#N/A</v>
      </c>
      <c r="H420" t="e">
        <f ca="1"/>
        <v>#N/A</v>
      </c>
      <c r="I420" t="e">
        <f ca="1"/>
        <v>#N/A</v>
      </c>
      <c r="J420" t="e">
        <f ca="1"/>
        <v>#N/A</v>
      </c>
      <c r="K420" t="e">
        <f ca="1"/>
        <v>#N/A</v>
      </c>
    </row>
    <row r="421" spans="1:11" x14ac:dyDescent="0.25">
      <c r="A421" s="2" t="e">
        <f ca="1"/>
        <v>#N/A</v>
      </c>
      <c r="C421" t="e">
        <f ca="1"/>
        <v>#N/A</v>
      </c>
      <c r="D421" t="e">
        <f ca="1"/>
        <v>#N/A</v>
      </c>
      <c r="E421" t="e">
        <f ca="1"/>
        <v>#N/A</v>
      </c>
      <c r="F421" t="e">
        <f ca="1"/>
        <v>#N/A</v>
      </c>
      <c r="G421" t="e">
        <f ca="1"/>
        <v>#N/A</v>
      </c>
      <c r="H421" t="e">
        <f ca="1"/>
        <v>#N/A</v>
      </c>
      <c r="I421" t="e">
        <f ca="1"/>
        <v>#N/A</v>
      </c>
      <c r="J421" t="e">
        <f ca="1"/>
        <v>#N/A</v>
      </c>
      <c r="K421" t="e">
        <f ca="1"/>
        <v>#N/A</v>
      </c>
    </row>
    <row r="422" spans="1:11" x14ac:dyDescent="0.25">
      <c r="A422" s="2" t="e">
        <f ca="1"/>
        <v>#N/A</v>
      </c>
      <c r="C422" t="e">
        <f ca="1"/>
        <v>#N/A</v>
      </c>
      <c r="D422" t="e">
        <f ca="1"/>
        <v>#N/A</v>
      </c>
      <c r="E422" t="e">
        <f ca="1"/>
        <v>#N/A</v>
      </c>
      <c r="F422" t="e">
        <f ca="1"/>
        <v>#N/A</v>
      </c>
      <c r="G422" t="e">
        <f ca="1"/>
        <v>#N/A</v>
      </c>
      <c r="H422" t="e">
        <f ca="1"/>
        <v>#N/A</v>
      </c>
      <c r="I422" t="e">
        <f ca="1"/>
        <v>#N/A</v>
      </c>
      <c r="J422" t="e">
        <f ca="1"/>
        <v>#N/A</v>
      </c>
      <c r="K422" t="e">
        <f ca="1"/>
        <v>#N/A</v>
      </c>
    </row>
    <row r="423" spans="1:11" x14ac:dyDescent="0.25">
      <c r="A423" s="2" t="e">
        <f ca="1"/>
        <v>#N/A</v>
      </c>
      <c r="C423" t="e">
        <f ca="1"/>
        <v>#N/A</v>
      </c>
      <c r="D423" t="e">
        <f ca="1"/>
        <v>#N/A</v>
      </c>
      <c r="E423" t="e">
        <f ca="1"/>
        <v>#N/A</v>
      </c>
      <c r="F423" t="e">
        <f ca="1"/>
        <v>#N/A</v>
      </c>
      <c r="G423" t="e">
        <f ca="1"/>
        <v>#N/A</v>
      </c>
      <c r="H423" t="e">
        <f ca="1"/>
        <v>#N/A</v>
      </c>
      <c r="I423" t="e">
        <f ca="1"/>
        <v>#N/A</v>
      </c>
      <c r="J423" t="e">
        <f ca="1"/>
        <v>#N/A</v>
      </c>
      <c r="K423" t="e">
        <f ca="1"/>
        <v>#N/A</v>
      </c>
    </row>
    <row r="424" spans="1:11" x14ac:dyDescent="0.25">
      <c r="A424" s="2" t="e">
        <f ca="1"/>
        <v>#N/A</v>
      </c>
      <c r="C424" t="e">
        <f ca="1"/>
        <v>#N/A</v>
      </c>
      <c r="D424" t="e">
        <f ca="1"/>
        <v>#N/A</v>
      </c>
      <c r="E424" t="e">
        <f ca="1"/>
        <v>#N/A</v>
      </c>
      <c r="F424" t="e">
        <f ca="1"/>
        <v>#N/A</v>
      </c>
      <c r="G424" t="e">
        <f ca="1"/>
        <v>#N/A</v>
      </c>
      <c r="H424" t="e">
        <f ca="1"/>
        <v>#N/A</v>
      </c>
      <c r="I424" t="e">
        <f ca="1"/>
        <v>#N/A</v>
      </c>
      <c r="J424" t="e">
        <f ca="1"/>
        <v>#N/A</v>
      </c>
      <c r="K424" t="e">
        <f ca="1"/>
        <v>#N/A</v>
      </c>
    </row>
    <row r="425" spans="1:11" x14ac:dyDescent="0.25">
      <c r="A425" s="2" t="e">
        <f ca="1"/>
        <v>#N/A</v>
      </c>
      <c r="C425" t="e">
        <f ca="1"/>
        <v>#N/A</v>
      </c>
      <c r="D425" t="e">
        <f ca="1"/>
        <v>#N/A</v>
      </c>
      <c r="E425" t="e">
        <f ca="1"/>
        <v>#N/A</v>
      </c>
      <c r="F425" t="e">
        <f ca="1"/>
        <v>#N/A</v>
      </c>
      <c r="G425" t="e">
        <f ca="1"/>
        <v>#N/A</v>
      </c>
      <c r="H425" t="e">
        <f ca="1"/>
        <v>#N/A</v>
      </c>
      <c r="I425" t="e">
        <f ca="1"/>
        <v>#N/A</v>
      </c>
      <c r="J425" t="e">
        <f ca="1"/>
        <v>#N/A</v>
      </c>
      <c r="K425" t="e">
        <f ca="1"/>
        <v>#N/A</v>
      </c>
    </row>
    <row r="426" spans="1:11" x14ac:dyDescent="0.25">
      <c r="A426" s="2" t="e">
        <f ca="1"/>
        <v>#N/A</v>
      </c>
      <c r="C426" t="e">
        <f ca="1"/>
        <v>#N/A</v>
      </c>
      <c r="D426" t="e">
        <f ca="1"/>
        <v>#N/A</v>
      </c>
      <c r="E426" t="e">
        <f ca="1"/>
        <v>#N/A</v>
      </c>
      <c r="F426" t="e">
        <f ca="1"/>
        <v>#N/A</v>
      </c>
      <c r="G426" t="e">
        <f ca="1"/>
        <v>#N/A</v>
      </c>
      <c r="H426" t="e">
        <f ca="1"/>
        <v>#N/A</v>
      </c>
      <c r="I426" t="e">
        <f ca="1"/>
        <v>#N/A</v>
      </c>
      <c r="J426" t="e">
        <f ca="1"/>
        <v>#N/A</v>
      </c>
      <c r="K426" t="e">
        <f ca="1"/>
        <v>#N/A</v>
      </c>
    </row>
    <row r="427" spans="1:11" x14ac:dyDescent="0.25">
      <c r="A427" s="2" t="e">
        <f ca="1"/>
        <v>#N/A</v>
      </c>
      <c r="C427" t="e">
        <f ca="1"/>
        <v>#N/A</v>
      </c>
      <c r="D427" t="e">
        <f ca="1"/>
        <v>#N/A</v>
      </c>
      <c r="E427" t="e">
        <f ca="1"/>
        <v>#N/A</v>
      </c>
      <c r="F427" t="e">
        <f ca="1"/>
        <v>#N/A</v>
      </c>
      <c r="G427" t="e">
        <f ca="1"/>
        <v>#N/A</v>
      </c>
      <c r="H427" t="e">
        <f ca="1"/>
        <v>#N/A</v>
      </c>
      <c r="I427" t="e">
        <f ca="1"/>
        <v>#N/A</v>
      </c>
      <c r="J427" t="e">
        <f ca="1"/>
        <v>#N/A</v>
      </c>
      <c r="K427" t="e">
        <f ca="1"/>
        <v>#N/A</v>
      </c>
    </row>
    <row r="428" spans="1:11" x14ac:dyDescent="0.25">
      <c r="A428" s="2" t="e">
        <f ca="1"/>
        <v>#N/A</v>
      </c>
      <c r="C428" t="e">
        <f ca="1"/>
        <v>#N/A</v>
      </c>
      <c r="D428" t="e">
        <f ca="1"/>
        <v>#N/A</v>
      </c>
      <c r="E428" t="e">
        <f ca="1"/>
        <v>#N/A</v>
      </c>
      <c r="F428" t="e">
        <f ca="1"/>
        <v>#N/A</v>
      </c>
      <c r="G428" t="e">
        <f ca="1"/>
        <v>#N/A</v>
      </c>
      <c r="H428" t="e">
        <f ca="1"/>
        <v>#N/A</v>
      </c>
      <c r="I428" t="e">
        <f ca="1"/>
        <v>#N/A</v>
      </c>
      <c r="J428" t="e">
        <f ca="1"/>
        <v>#N/A</v>
      </c>
      <c r="K428" t="e">
        <f ca="1"/>
        <v>#N/A</v>
      </c>
    </row>
    <row r="429" spans="1:11" x14ac:dyDescent="0.25">
      <c r="A429" s="2" t="e">
        <f ca="1"/>
        <v>#N/A</v>
      </c>
      <c r="C429" t="e">
        <f ca="1"/>
        <v>#N/A</v>
      </c>
      <c r="D429" t="e">
        <f ca="1"/>
        <v>#N/A</v>
      </c>
      <c r="E429" t="e">
        <f ca="1"/>
        <v>#N/A</v>
      </c>
      <c r="F429" t="e">
        <f ca="1"/>
        <v>#N/A</v>
      </c>
      <c r="G429" t="e">
        <f ca="1"/>
        <v>#N/A</v>
      </c>
      <c r="H429" t="e">
        <f ca="1"/>
        <v>#N/A</v>
      </c>
      <c r="I429" t="e">
        <f ca="1"/>
        <v>#N/A</v>
      </c>
      <c r="J429" t="e">
        <f ca="1"/>
        <v>#N/A</v>
      </c>
      <c r="K429" t="e">
        <f ca="1"/>
        <v>#N/A</v>
      </c>
    </row>
    <row r="430" spans="1:11" x14ac:dyDescent="0.25">
      <c r="A430" s="2" t="e">
        <f ca="1"/>
        <v>#N/A</v>
      </c>
      <c r="C430" t="e">
        <f ca="1"/>
        <v>#N/A</v>
      </c>
      <c r="D430" t="e">
        <f ca="1"/>
        <v>#N/A</v>
      </c>
      <c r="E430" t="e">
        <f ca="1"/>
        <v>#N/A</v>
      </c>
      <c r="F430" t="e">
        <f ca="1"/>
        <v>#N/A</v>
      </c>
      <c r="G430" t="e">
        <f ca="1"/>
        <v>#N/A</v>
      </c>
      <c r="H430" t="e">
        <f ca="1"/>
        <v>#N/A</v>
      </c>
      <c r="I430" t="e">
        <f ca="1"/>
        <v>#N/A</v>
      </c>
      <c r="J430" t="e">
        <f ca="1"/>
        <v>#N/A</v>
      </c>
      <c r="K430" t="e">
        <f ca="1"/>
        <v>#N/A</v>
      </c>
    </row>
    <row r="431" spans="1:11" x14ac:dyDescent="0.25">
      <c r="A431" s="2" t="e">
        <f ca="1"/>
        <v>#N/A</v>
      </c>
      <c r="C431" t="e">
        <f ca="1"/>
        <v>#N/A</v>
      </c>
      <c r="D431" t="e">
        <f ca="1"/>
        <v>#N/A</v>
      </c>
      <c r="E431" t="e">
        <f ca="1"/>
        <v>#N/A</v>
      </c>
      <c r="F431" t="e">
        <f ca="1"/>
        <v>#N/A</v>
      </c>
      <c r="G431" t="e">
        <f ca="1"/>
        <v>#N/A</v>
      </c>
      <c r="H431" t="e">
        <f ca="1"/>
        <v>#N/A</v>
      </c>
      <c r="I431" t="e">
        <f ca="1"/>
        <v>#N/A</v>
      </c>
      <c r="J431" t="e">
        <f ca="1"/>
        <v>#N/A</v>
      </c>
      <c r="K431" t="e">
        <f ca="1"/>
        <v>#N/A</v>
      </c>
    </row>
    <row r="432" spans="1:11" x14ac:dyDescent="0.25">
      <c r="A432" s="2" t="e">
        <f ca="1"/>
        <v>#N/A</v>
      </c>
      <c r="C432" t="e">
        <f ca="1"/>
        <v>#N/A</v>
      </c>
      <c r="D432" t="e">
        <f ca="1"/>
        <v>#N/A</v>
      </c>
      <c r="E432" t="e">
        <f ca="1"/>
        <v>#N/A</v>
      </c>
      <c r="F432" t="e">
        <f ca="1"/>
        <v>#N/A</v>
      </c>
      <c r="G432" t="e">
        <f ca="1"/>
        <v>#N/A</v>
      </c>
      <c r="H432" t="e">
        <f ca="1"/>
        <v>#N/A</v>
      </c>
      <c r="I432" t="e">
        <f ca="1"/>
        <v>#N/A</v>
      </c>
      <c r="J432" t="e">
        <f ca="1"/>
        <v>#N/A</v>
      </c>
      <c r="K432" t="e">
        <f ca="1"/>
        <v>#N/A</v>
      </c>
    </row>
    <row r="433" spans="1:11" x14ac:dyDescent="0.25">
      <c r="A433" s="2" t="e">
        <f ca="1"/>
        <v>#N/A</v>
      </c>
      <c r="C433" t="e">
        <f ca="1"/>
        <v>#N/A</v>
      </c>
      <c r="D433" t="e">
        <f ca="1"/>
        <v>#N/A</v>
      </c>
      <c r="E433" t="e">
        <f ca="1"/>
        <v>#N/A</v>
      </c>
      <c r="F433" t="e">
        <f ca="1"/>
        <v>#N/A</v>
      </c>
      <c r="G433" t="e">
        <f ca="1"/>
        <v>#N/A</v>
      </c>
      <c r="H433" t="e">
        <f ca="1"/>
        <v>#N/A</v>
      </c>
      <c r="I433" t="e">
        <f ca="1"/>
        <v>#N/A</v>
      </c>
      <c r="J433" t="e">
        <f ca="1"/>
        <v>#N/A</v>
      </c>
      <c r="K433" t="e">
        <f ca="1"/>
        <v>#N/A</v>
      </c>
    </row>
    <row r="434" spans="1:11" x14ac:dyDescent="0.25">
      <c r="A434" s="2" t="e">
        <f ca="1"/>
        <v>#N/A</v>
      </c>
      <c r="C434" t="e">
        <f ca="1"/>
        <v>#N/A</v>
      </c>
      <c r="D434" t="e">
        <f ca="1"/>
        <v>#N/A</v>
      </c>
      <c r="E434" t="e">
        <f ca="1"/>
        <v>#N/A</v>
      </c>
      <c r="F434" t="e">
        <f ca="1"/>
        <v>#N/A</v>
      </c>
      <c r="G434" t="e">
        <f ca="1"/>
        <v>#N/A</v>
      </c>
      <c r="H434" t="e">
        <f ca="1"/>
        <v>#N/A</v>
      </c>
      <c r="I434" t="e">
        <f ca="1"/>
        <v>#N/A</v>
      </c>
      <c r="J434" t="e">
        <f ca="1"/>
        <v>#N/A</v>
      </c>
      <c r="K434" t="e">
        <f ca="1"/>
        <v>#N/A</v>
      </c>
    </row>
    <row r="435" spans="1:11" x14ac:dyDescent="0.25">
      <c r="A435" s="2" t="e">
        <f ca="1"/>
        <v>#N/A</v>
      </c>
      <c r="C435" t="e">
        <f ca="1"/>
        <v>#N/A</v>
      </c>
      <c r="D435" t="e">
        <f ca="1"/>
        <v>#N/A</v>
      </c>
      <c r="E435" t="e">
        <f ca="1"/>
        <v>#N/A</v>
      </c>
      <c r="F435" t="e">
        <f ca="1"/>
        <v>#N/A</v>
      </c>
      <c r="G435" t="e">
        <f ca="1"/>
        <v>#N/A</v>
      </c>
      <c r="H435" t="e">
        <f ca="1"/>
        <v>#N/A</v>
      </c>
      <c r="I435" t="e">
        <f ca="1"/>
        <v>#N/A</v>
      </c>
      <c r="J435" t="e">
        <f ca="1"/>
        <v>#N/A</v>
      </c>
      <c r="K435" t="e">
        <f ca="1"/>
        <v>#N/A</v>
      </c>
    </row>
    <row r="436" spans="1:11" x14ac:dyDescent="0.25">
      <c r="A436" s="2" t="e">
        <f ca="1"/>
        <v>#N/A</v>
      </c>
      <c r="C436" t="e">
        <f ca="1"/>
        <v>#N/A</v>
      </c>
      <c r="D436" t="e">
        <f ca="1"/>
        <v>#N/A</v>
      </c>
      <c r="E436" t="e">
        <f ca="1"/>
        <v>#N/A</v>
      </c>
      <c r="F436" t="e">
        <f ca="1"/>
        <v>#N/A</v>
      </c>
      <c r="G436" t="e">
        <f ca="1"/>
        <v>#N/A</v>
      </c>
      <c r="H436" t="e">
        <f ca="1"/>
        <v>#N/A</v>
      </c>
      <c r="I436" t="e">
        <f ca="1"/>
        <v>#N/A</v>
      </c>
      <c r="J436" t="e">
        <f ca="1"/>
        <v>#N/A</v>
      </c>
      <c r="K436" t="e">
        <f ca="1"/>
        <v>#N/A</v>
      </c>
    </row>
    <row r="437" spans="1:11" x14ac:dyDescent="0.25">
      <c r="A437" s="2" t="e">
        <f ca="1"/>
        <v>#N/A</v>
      </c>
      <c r="C437" t="e">
        <f ca="1"/>
        <v>#N/A</v>
      </c>
      <c r="D437" t="e">
        <f ca="1"/>
        <v>#N/A</v>
      </c>
      <c r="E437" t="e">
        <f ca="1"/>
        <v>#N/A</v>
      </c>
      <c r="F437" t="e">
        <f ca="1"/>
        <v>#N/A</v>
      </c>
      <c r="G437" t="e">
        <f ca="1"/>
        <v>#N/A</v>
      </c>
      <c r="H437" t="e">
        <f ca="1"/>
        <v>#N/A</v>
      </c>
      <c r="I437" t="e">
        <f ca="1"/>
        <v>#N/A</v>
      </c>
      <c r="J437" t="e">
        <f ca="1"/>
        <v>#N/A</v>
      </c>
      <c r="K437" t="e">
        <f ca="1"/>
        <v>#N/A</v>
      </c>
    </row>
    <row r="438" spans="1:11" x14ac:dyDescent="0.25">
      <c r="A438" s="2" t="e">
        <f ca="1"/>
        <v>#N/A</v>
      </c>
      <c r="C438" t="e">
        <f ca="1"/>
        <v>#N/A</v>
      </c>
      <c r="D438" t="e">
        <f ca="1"/>
        <v>#N/A</v>
      </c>
      <c r="E438" t="e">
        <f ca="1"/>
        <v>#N/A</v>
      </c>
      <c r="F438" t="e">
        <f ca="1"/>
        <v>#N/A</v>
      </c>
      <c r="G438" t="e">
        <f ca="1"/>
        <v>#N/A</v>
      </c>
      <c r="H438" t="e">
        <f ca="1"/>
        <v>#N/A</v>
      </c>
      <c r="I438" t="e">
        <f ca="1"/>
        <v>#N/A</v>
      </c>
      <c r="J438" t="e">
        <f ca="1"/>
        <v>#N/A</v>
      </c>
      <c r="K438" t="e">
        <f ca="1"/>
        <v>#N/A</v>
      </c>
    </row>
    <row r="439" spans="1:11" x14ac:dyDescent="0.25">
      <c r="A439" s="2" t="e">
        <f ca="1"/>
        <v>#N/A</v>
      </c>
      <c r="C439" t="e">
        <f ca="1"/>
        <v>#N/A</v>
      </c>
      <c r="D439" t="e">
        <f ca="1"/>
        <v>#N/A</v>
      </c>
      <c r="E439" t="e">
        <f ca="1"/>
        <v>#N/A</v>
      </c>
      <c r="F439" t="e">
        <f ca="1"/>
        <v>#N/A</v>
      </c>
      <c r="G439" t="e">
        <f ca="1"/>
        <v>#N/A</v>
      </c>
      <c r="H439" t="e">
        <f ca="1"/>
        <v>#N/A</v>
      </c>
      <c r="I439" t="e">
        <f ca="1"/>
        <v>#N/A</v>
      </c>
      <c r="J439" t="e">
        <f ca="1"/>
        <v>#N/A</v>
      </c>
      <c r="K439" t="e">
        <f ca="1"/>
        <v>#N/A</v>
      </c>
    </row>
    <row r="440" spans="1:11" x14ac:dyDescent="0.25">
      <c r="A440" s="2" t="e">
        <f ca="1"/>
        <v>#N/A</v>
      </c>
      <c r="C440" t="e">
        <f ca="1"/>
        <v>#N/A</v>
      </c>
      <c r="D440" t="e">
        <f ca="1"/>
        <v>#N/A</v>
      </c>
      <c r="E440" t="e">
        <f ca="1"/>
        <v>#N/A</v>
      </c>
      <c r="F440" t="e">
        <f ca="1"/>
        <v>#N/A</v>
      </c>
      <c r="G440" t="e">
        <f ca="1"/>
        <v>#N/A</v>
      </c>
      <c r="H440" t="e">
        <f ca="1"/>
        <v>#N/A</v>
      </c>
      <c r="I440" t="e">
        <f ca="1"/>
        <v>#N/A</v>
      </c>
      <c r="J440" t="e">
        <f ca="1"/>
        <v>#N/A</v>
      </c>
      <c r="K440" t="e">
        <f ca="1"/>
        <v>#N/A</v>
      </c>
    </row>
    <row r="441" spans="1:11" x14ac:dyDescent="0.25">
      <c r="A441" s="2" t="e">
        <f ca="1"/>
        <v>#N/A</v>
      </c>
      <c r="C441" t="e">
        <f ca="1"/>
        <v>#N/A</v>
      </c>
      <c r="D441" t="e">
        <f ca="1"/>
        <v>#N/A</v>
      </c>
      <c r="E441" t="e">
        <f ca="1"/>
        <v>#N/A</v>
      </c>
      <c r="F441" t="e">
        <f ca="1"/>
        <v>#N/A</v>
      </c>
      <c r="G441" t="e">
        <f ca="1"/>
        <v>#N/A</v>
      </c>
      <c r="H441" t="e">
        <f ca="1"/>
        <v>#N/A</v>
      </c>
      <c r="I441" t="e">
        <f ca="1"/>
        <v>#N/A</v>
      </c>
      <c r="J441" t="e">
        <f ca="1"/>
        <v>#N/A</v>
      </c>
      <c r="K441" t="e">
        <f ca="1"/>
        <v>#N/A</v>
      </c>
    </row>
    <row r="442" spans="1:11" x14ac:dyDescent="0.25">
      <c r="A442" s="2" t="e">
        <f ca="1"/>
        <v>#N/A</v>
      </c>
      <c r="C442" t="e">
        <f ca="1"/>
        <v>#N/A</v>
      </c>
      <c r="D442" t="e">
        <f ca="1"/>
        <v>#N/A</v>
      </c>
      <c r="E442" t="e">
        <f ca="1"/>
        <v>#N/A</v>
      </c>
      <c r="F442" t="e">
        <f ca="1"/>
        <v>#N/A</v>
      </c>
      <c r="G442" t="e">
        <f ca="1"/>
        <v>#N/A</v>
      </c>
      <c r="H442" t="e">
        <f ca="1"/>
        <v>#N/A</v>
      </c>
      <c r="I442" t="e">
        <f ca="1"/>
        <v>#N/A</v>
      </c>
      <c r="J442" t="e">
        <f ca="1"/>
        <v>#N/A</v>
      </c>
      <c r="K442" t="e">
        <f ca="1"/>
        <v>#N/A</v>
      </c>
    </row>
    <row r="443" spans="1:11" x14ac:dyDescent="0.25">
      <c r="A443" s="2" t="e">
        <f ca="1"/>
        <v>#N/A</v>
      </c>
      <c r="C443" t="e">
        <f ca="1"/>
        <v>#N/A</v>
      </c>
      <c r="D443" t="e">
        <f ca="1"/>
        <v>#N/A</v>
      </c>
      <c r="E443" t="e">
        <f ca="1"/>
        <v>#N/A</v>
      </c>
      <c r="F443" t="e">
        <f ca="1"/>
        <v>#N/A</v>
      </c>
      <c r="G443" t="e">
        <f ca="1"/>
        <v>#N/A</v>
      </c>
      <c r="H443" t="e">
        <f ca="1"/>
        <v>#N/A</v>
      </c>
      <c r="I443" t="e">
        <f ca="1"/>
        <v>#N/A</v>
      </c>
      <c r="J443" t="e">
        <f ca="1"/>
        <v>#N/A</v>
      </c>
      <c r="K443" t="e">
        <f ca="1"/>
        <v>#N/A</v>
      </c>
    </row>
    <row r="444" spans="1:11" x14ac:dyDescent="0.25">
      <c r="A444" s="2" t="e">
        <f ca="1"/>
        <v>#N/A</v>
      </c>
      <c r="C444" t="e">
        <f ca="1"/>
        <v>#N/A</v>
      </c>
      <c r="D444" t="e">
        <f ca="1"/>
        <v>#N/A</v>
      </c>
      <c r="E444" t="e">
        <f ca="1"/>
        <v>#N/A</v>
      </c>
      <c r="F444" t="e">
        <f ca="1"/>
        <v>#N/A</v>
      </c>
      <c r="G444" t="e">
        <f ca="1"/>
        <v>#N/A</v>
      </c>
      <c r="H444" t="e">
        <f ca="1"/>
        <v>#N/A</v>
      </c>
      <c r="I444" t="e">
        <f ca="1"/>
        <v>#N/A</v>
      </c>
      <c r="J444" t="e">
        <f ca="1"/>
        <v>#N/A</v>
      </c>
      <c r="K444" t="e">
        <f ca="1"/>
        <v>#N/A</v>
      </c>
    </row>
    <row r="445" spans="1:11" x14ac:dyDescent="0.25">
      <c r="A445" s="2" t="e">
        <f ca="1"/>
        <v>#N/A</v>
      </c>
      <c r="C445" t="e">
        <f ca="1"/>
        <v>#N/A</v>
      </c>
      <c r="D445" t="e">
        <f ca="1"/>
        <v>#N/A</v>
      </c>
      <c r="E445" t="e">
        <f ca="1"/>
        <v>#N/A</v>
      </c>
      <c r="F445" t="e">
        <f ca="1"/>
        <v>#N/A</v>
      </c>
      <c r="G445" t="e">
        <f ca="1"/>
        <v>#N/A</v>
      </c>
      <c r="H445" t="e">
        <f ca="1"/>
        <v>#N/A</v>
      </c>
      <c r="I445" t="e">
        <f ca="1"/>
        <v>#N/A</v>
      </c>
      <c r="J445" t="e">
        <f ca="1"/>
        <v>#N/A</v>
      </c>
      <c r="K445" t="e">
        <f ca="1"/>
        <v>#N/A</v>
      </c>
    </row>
    <row r="446" spans="1:11" x14ac:dyDescent="0.25">
      <c r="A446" s="2" t="e">
        <f ca="1"/>
        <v>#N/A</v>
      </c>
      <c r="C446" t="e">
        <f ca="1"/>
        <v>#N/A</v>
      </c>
      <c r="D446" t="e">
        <f ca="1"/>
        <v>#N/A</v>
      </c>
      <c r="E446" t="e">
        <f ca="1"/>
        <v>#N/A</v>
      </c>
      <c r="F446" t="e">
        <f ca="1"/>
        <v>#N/A</v>
      </c>
      <c r="G446" t="e">
        <f ca="1"/>
        <v>#N/A</v>
      </c>
      <c r="H446" t="e">
        <f ca="1"/>
        <v>#N/A</v>
      </c>
      <c r="I446" t="e">
        <f ca="1"/>
        <v>#N/A</v>
      </c>
      <c r="J446" t="e">
        <f ca="1"/>
        <v>#N/A</v>
      </c>
      <c r="K446" t="e">
        <f ca="1"/>
        <v>#N/A</v>
      </c>
    </row>
    <row r="447" spans="1:11" x14ac:dyDescent="0.25">
      <c r="A447" s="2" t="e">
        <f ca="1"/>
        <v>#N/A</v>
      </c>
      <c r="C447" t="e">
        <f ca="1"/>
        <v>#N/A</v>
      </c>
      <c r="D447" t="e">
        <f ca="1"/>
        <v>#N/A</v>
      </c>
      <c r="E447" t="e">
        <f ca="1"/>
        <v>#N/A</v>
      </c>
      <c r="F447" t="e">
        <f ca="1"/>
        <v>#N/A</v>
      </c>
      <c r="G447" t="e">
        <f ca="1"/>
        <v>#N/A</v>
      </c>
      <c r="H447" t="e">
        <f ca="1"/>
        <v>#N/A</v>
      </c>
      <c r="I447" t="e">
        <f ca="1"/>
        <v>#N/A</v>
      </c>
      <c r="J447" t="e">
        <f ca="1"/>
        <v>#N/A</v>
      </c>
      <c r="K447" t="e">
        <f ca="1"/>
        <v>#N/A</v>
      </c>
    </row>
    <row r="448" spans="1:11" x14ac:dyDescent="0.25">
      <c r="A448" s="2" t="e">
        <f ca="1"/>
        <v>#N/A</v>
      </c>
      <c r="C448" t="e">
        <f ca="1"/>
        <v>#N/A</v>
      </c>
      <c r="D448" t="e">
        <f ca="1"/>
        <v>#N/A</v>
      </c>
      <c r="E448" t="e">
        <f ca="1"/>
        <v>#N/A</v>
      </c>
      <c r="F448" t="e">
        <f ca="1"/>
        <v>#N/A</v>
      </c>
      <c r="G448" t="e">
        <f ca="1"/>
        <v>#N/A</v>
      </c>
      <c r="H448" t="e">
        <f ca="1"/>
        <v>#N/A</v>
      </c>
      <c r="I448" t="e">
        <f ca="1"/>
        <v>#N/A</v>
      </c>
      <c r="J448" t="e">
        <f ca="1"/>
        <v>#N/A</v>
      </c>
      <c r="K448" t="e">
        <f ca="1"/>
        <v>#N/A</v>
      </c>
    </row>
    <row r="449" spans="1:11" x14ac:dyDescent="0.25">
      <c r="A449" s="2" t="e">
        <f ca="1"/>
        <v>#N/A</v>
      </c>
      <c r="C449" t="e">
        <f ca="1"/>
        <v>#N/A</v>
      </c>
      <c r="D449" t="e">
        <f ca="1"/>
        <v>#N/A</v>
      </c>
      <c r="E449" t="e">
        <f ca="1"/>
        <v>#N/A</v>
      </c>
      <c r="F449" t="e">
        <f ca="1"/>
        <v>#N/A</v>
      </c>
      <c r="G449" t="e">
        <f ca="1"/>
        <v>#N/A</v>
      </c>
      <c r="H449" t="e">
        <f ca="1"/>
        <v>#N/A</v>
      </c>
      <c r="I449" t="e">
        <f ca="1"/>
        <v>#N/A</v>
      </c>
      <c r="J449" t="e">
        <f ca="1"/>
        <v>#N/A</v>
      </c>
      <c r="K449" t="e">
        <f ca="1"/>
        <v>#N/A</v>
      </c>
    </row>
    <row r="450" spans="1:11" x14ac:dyDescent="0.25">
      <c r="A450" s="2" t="e">
        <f ca="1"/>
        <v>#N/A</v>
      </c>
      <c r="C450" t="e">
        <f ca="1"/>
        <v>#N/A</v>
      </c>
      <c r="D450" t="e">
        <f ca="1"/>
        <v>#N/A</v>
      </c>
      <c r="E450" t="e">
        <f ca="1"/>
        <v>#N/A</v>
      </c>
      <c r="F450" t="e">
        <f ca="1"/>
        <v>#N/A</v>
      </c>
      <c r="G450" t="e">
        <f ca="1"/>
        <v>#N/A</v>
      </c>
      <c r="H450" t="e">
        <f ca="1"/>
        <v>#N/A</v>
      </c>
      <c r="I450" t="e">
        <f ca="1"/>
        <v>#N/A</v>
      </c>
      <c r="J450" t="e">
        <f ca="1"/>
        <v>#N/A</v>
      </c>
      <c r="K450" t="e">
        <f ca="1"/>
        <v>#N/A</v>
      </c>
    </row>
    <row r="451" spans="1:11" x14ac:dyDescent="0.25">
      <c r="A451" s="2" t="e">
        <f ca="1"/>
        <v>#N/A</v>
      </c>
      <c r="C451" t="e">
        <f ca="1"/>
        <v>#N/A</v>
      </c>
      <c r="D451" t="e">
        <f ca="1"/>
        <v>#N/A</v>
      </c>
      <c r="E451" t="e">
        <f ca="1"/>
        <v>#N/A</v>
      </c>
      <c r="F451" t="e">
        <f ca="1"/>
        <v>#N/A</v>
      </c>
      <c r="G451" t="e">
        <f ca="1"/>
        <v>#N/A</v>
      </c>
      <c r="H451" t="e">
        <f ca="1"/>
        <v>#N/A</v>
      </c>
      <c r="I451" t="e">
        <f ca="1"/>
        <v>#N/A</v>
      </c>
      <c r="J451" t="e">
        <f ca="1"/>
        <v>#N/A</v>
      </c>
      <c r="K451" t="e">
        <f ca="1"/>
        <v>#N/A</v>
      </c>
    </row>
    <row r="452" spans="1:11" x14ac:dyDescent="0.25">
      <c r="A452" s="2" t="e">
        <f ca="1"/>
        <v>#N/A</v>
      </c>
      <c r="C452" t="e">
        <f ca="1"/>
        <v>#N/A</v>
      </c>
      <c r="D452" t="e">
        <f ca="1"/>
        <v>#N/A</v>
      </c>
      <c r="E452" t="e">
        <f ca="1"/>
        <v>#N/A</v>
      </c>
      <c r="F452" t="e">
        <f ca="1"/>
        <v>#N/A</v>
      </c>
      <c r="G452" t="e">
        <f ca="1"/>
        <v>#N/A</v>
      </c>
      <c r="H452" t="e">
        <f ca="1"/>
        <v>#N/A</v>
      </c>
      <c r="I452" t="e">
        <f ca="1"/>
        <v>#N/A</v>
      </c>
      <c r="J452" t="e">
        <f ca="1"/>
        <v>#N/A</v>
      </c>
      <c r="K452" t="e">
        <f ca="1"/>
        <v>#N/A</v>
      </c>
    </row>
    <row r="453" spans="1:11" x14ac:dyDescent="0.25">
      <c r="A453" s="2" t="e">
        <f ca="1"/>
        <v>#N/A</v>
      </c>
      <c r="C453" t="e">
        <f ca="1"/>
        <v>#N/A</v>
      </c>
      <c r="D453" t="e">
        <f ca="1"/>
        <v>#N/A</v>
      </c>
      <c r="E453" t="e">
        <f ca="1"/>
        <v>#N/A</v>
      </c>
      <c r="F453" t="e">
        <f ca="1"/>
        <v>#N/A</v>
      </c>
      <c r="G453" t="e">
        <f ca="1"/>
        <v>#N/A</v>
      </c>
      <c r="H453" t="e">
        <f ca="1"/>
        <v>#N/A</v>
      </c>
      <c r="I453" t="e">
        <f ca="1"/>
        <v>#N/A</v>
      </c>
      <c r="J453" t="e">
        <f ca="1"/>
        <v>#N/A</v>
      </c>
      <c r="K453" t="e">
        <f ca="1"/>
        <v>#N/A</v>
      </c>
    </row>
    <row r="454" spans="1:11" x14ac:dyDescent="0.25">
      <c r="A454" s="2" t="e">
        <f ca="1"/>
        <v>#N/A</v>
      </c>
      <c r="C454" t="e">
        <f ca="1"/>
        <v>#N/A</v>
      </c>
      <c r="D454" t="e">
        <f ca="1"/>
        <v>#N/A</v>
      </c>
      <c r="E454" t="e">
        <f ca="1"/>
        <v>#N/A</v>
      </c>
      <c r="F454" t="e">
        <f ca="1"/>
        <v>#N/A</v>
      </c>
      <c r="G454" t="e">
        <f ca="1"/>
        <v>#N/A</v>
      </c>
      <c r="H454" t="e">
        <f ca="1"/>
        <v>#N/A</v>
      </c>
      <c r="I454" t="e">
        <f ca="1"/>
        <v>#N/A</v>
      </c>
      <c r="J454" t="e">
        <f ca="1"/>
        <v>#N/A</v>
      </c>
      <c r="K454" t="e">
        <f ca="1"/>
        <v>#N/A</v>
      </c>
    </row>
    <row r="455" spans="1:11" x14ac:dyDescent="0.25">
      <c r="A455" s="2" t="e">
        <f ca="1"/>
        <v>#N/A</v>
      </c>
      <c r="C455" t="e">
        <f ca="1"/>
        <v>#N/A</v>
      </c>
      <c r="D455" t="e">
        <f ca="1"/>
        <v>#N/A</v>
      </c>
      <c r="E455" t="e">
        <f ca="1"/>
        <v>#N/A</v>
      </c>
      <c r="F455" t="e">
        <f ca="1"/>
        <v>#N/A</v>
      </c>
      <c r="G455" t="e">
        <f ca="1"/>
        <v>#N/A</v>
      </c>
      <c r="H455" t="e">
        <f ca="1"/>
        <v>#N/A</v>
      </c>
      <c r="I455" t="e">
        <f ca="1"/>
        <v>#N/A</v>
      </c>
      <c r="J455" t="e">
        <f ca="1"/>
        <v>#N/A</v>
      </c>
      <c r="K455" t="e">
        <f ca="1"/>
        <v>#N/A</v>
      </c>
    </row>
    <row r="456" spans="1:11" x14ac:dyDescent="0.25">
      <c r="A456" s="2" t="e">
        <f ca="1"/>
        <v>#N/A</v>
      </c>
      <c r="C456" t="e">
        <f ca="1"/>
        <v>#N/A</v>
      </c>
      <c r="D456" t="e">
        <f ca="1"/>
        <v>#N/A</v>
      </c>
      <c r="E456" t="e">
        <f ca="1"/>
        <v>#N/A</v>
      </c>
      <c r="F456" t="e">
        <f ca="1"/>
        <v>#N/A</v>
      </c>
      <c r="G456" t="e">
        <f ca="1"/>
        <v>#N/A</v>
      </c>
      <c r="H456" t="e">
        <f ca="1"/>
        <v>#N/A</v>
      </c>
      <c r="I456" t="e">
        <f ca="1"/>
        <v>#N/A</v>
      </c>
      <c r="J456" t="e">
        <f ca="1"/>
        <v>#N/A</v>
      </c>
      <c r="K456" t="e">
        <f ca="1"/>
        <v>#N/A</v>
      </c>
    </row>
    <row r="457" spans="1:11" x14ac:dyDescent="0.25">
      <c r="A457" s="2" t="e">
        <f ca="1"/>
        <v>#N/A</v>
      </c>
      <c r="C457" t="e">
        <f ca="1"/>
        <v>#N/A</v>
      </c>
      <c r="D457" t="e">
        <f ca="1"/>
        <v>#N/A</v>
      </c>
      <c r="E457" t="e">
        <f ca="1"/>
        <v>#N/A</v>
      </c>
      <c r="F457" t="e">
        <f ca="1"/>
        <v>#N/A</v>
      </c>
      <c r="G457" t="e">
        <f ca="1"/>
        <v>#N/A</v>
      </c>
      <c r="H457" t="e">
        <f ca="1"/>
        <v>#N/A</v>
      </c>
      <c r="I457" t="e">
        <f ca="1"/>
        <v>#N/A</v>
      </c>
      <c r="J457" t="e">
        <f ca="1"/>
        <v>#N/A</v>
      </c>
      <c r="K457" t="e">
        <f ca="1"/>
        <v>#N/A</v>
      </c>
    </row>
    <row r="458" spans="1:11" x14ac:dyDescent="0.25">
      <c r="A458" s="2" t="e">
        <f ca="1"/>
        <v>#N/A</v>
      </c>
      <c r="C458" t="e">
        <f ca="1"/>
        <v>#N/A</v>
      </c>
      <c r="D458" t="e">
        <f ca="1"/>
        <v>#N/A</v>
      </c>
      <c r="E458" t="e">
        <f ca="1"/>
        <v>#N/A</v>
      </c>
      <c r="F458" t="e">
        <f ca="1"/>
        <v>#N/A</v>
      </c>
      <c r="G458" t="e">
        <f ca="1"/>
        <v>#N/A</v>
      </c>
      <c r="H458" t="e">
        <f ca="1"/>
        <v>#N/A</v>
      </c>
      <c r="I458" t="e">
        <f ca="1"/>
        <v>#N/A</v>
      </c>
      <c r="J458" t="e">
        <f ca="1"/>
        <v>#N/A</v>
      </c>
      <c r="K458" t="e">
        <f ca="1"/>
        <v>#N/A</v>
      </c>
    </row>
    <row r="459" spans="1:11" x14ac:dyDescent="0.25">
      <c r="A459" s="2" t="e">
        <f ca="1"/>
        <v>#N/A</v>
      </c>
      <c r="C459" t="e">
        <f ca="1"/>
        <v>#N/A</v>
      </c>
      <c r="D459" t="e">
        <f ca="1"/>
        <v>#N/A</v>
      </c>
      <c r="E459" t="e">
        <f ca="1"/>
        <v>#N/A</v>
      </c>
      <c r="F459" t="e">
        <f ca="1"/>
        <v>#N/A</v>
      </c>
      <c r="G459" t="e">
        <f ca="1"/>
        <v>#N/A</v>
      </c>
      <c r="H459" t="e">
        <f ca="1"/>
        <v>#N/A</v>
      </c>
      <c r="I459" t="e">
        <f ca="1"/>
        <v>#N/A</v>
      </c>
      <c r="J459" t="e">
        <f ca="1"/>
        <v>#N/A</v>
      </c>
      <c r="K459" t="e">
        <f ca="1"/>
        <v>#N/A</v>
      </c>
    </row>
    <row r="460" spans="1:11" x14ac:dyDescent="0.25">
      <c r="A460" s="2" t="e">
        <f ca="1"/>
        <v>#N/A</v>
      </c>
      <c r="C460" t="e">
        <f ca="1"/>
        <v>#N/A</v>
      </c>
      <c r="D460" t="e">
        <f ca="1"/>
        <v>#N/A</v>
      </c>
      <c r="E460" t="e">
        <f ca="1"/>
        <v>#N/A</v>
      </c>
      <c r="F460" t="e">
        <f ca="1"/>
        <v>#N/A</v>
      </c>
      <c r="G460" t="e">
        <f ca="1"/>
        <v>#N/A</v>
      </c>
      <c r="H460" t="e">
        <f ca="1"/>
        <v>#N/A</v>
      </c>
      <c r="I460" t="e">
        <f ca="1"/>
        <v>#N/A</v>
      </c>
      <c r="J460" t="e">
        <f ca="1"/>
        <v>#N/A</v>
      </c>
      <c r="K460" t="e">
        <f ca="1"/>
        <v>#N/A</v>
      </c>
    </row>
    <row r="461" spans="1:11" x14ac:dyDescent="0.25">
      <c r="A461" s="2" t="e">
        <f ca="1"/>
        <v>#N/A</v>
      </c>
      <c r="C461" t="e">
        <f ca="1"/>
        <v>#N/A</v>
      </c>
      <c r="D461" t="e">
        <f ca="1"/>
        <v>#N/A</v>
      </c>
      <c r="E461" t="e">
        <f ca="1"/>
        <v>#N/A</v>
      </c>
      <c r="F461" t="e">
        <f ca="1"/>
        <v>#N/A</v>
      </c>
      <c r="G461" t="e">
        <f ca="1"/>
        <v>#N/A</v>
      </c>
      <c r="H461" t="e">
        <f ca="1"/>
        <v>#N/A</v>
      </c>
      <c r="I461" t="e">
        <f ca="1"/>
        <v>#N/A</v>
      </c>
      <c r="J461" t="e">
        <f ca="1"/>
        <v>#N/A</v>
      </c>
      <c r="K461" t="e">
        <f ca="1"/>
        <v>#N/A</v>
      </c>
    </row>
    <row r="462" spans="1:11" x14ac:dyDescent="0.25">
      <c r="A462" s="2" t="e">
        <f ca="1"/>
        <v>#N/A</v>
      </c>
      <c r="C462" t="e">
        <f ca="1"/>
        <v>#N/A</v>
      </c>
      <c r="D462" t="e">
        <f ca="1"/>
        <v>#N/A</v>
      </c>
      <c r="E462" t="e">
        <f ca="1"/>
        <v>#N/A</v>
      </c>
      <c r="F462" t="e">
        <f ca="1"/>
        <v>#N/A</v>
      </c>
      <c r="G462" t="e">
        <f ca="1"/>
        <v>#N/A</v>
      </c>
      <c r="H462" t="e">
        <f ca="1"/>
        <v>#N/A</v>
      </c>
      <c r="I462" t="e">
        <f ca="1"/>
        <v>#N/A</v>
      </c>
      <c r="J462" t="e">
        <f ca="1"/>
        <v>#N/A</v>
      </c>
      <c r="K462" t="e">
        <f ca="1"/>
        <v>#N/A</v>
      </c>
    </row>
    <row r="463" spans="1:11" x14ac:dyDescent="0.25">
      <c r="A463" s="2" t="e">
        <f ca="1"/>
        <v>#N/A</v>
      </c>
      <c r="C463" t="e">
        <f ca="1"/>
        <v>#N/A</v>
      </c>
      <c r="D463" t="e">
        <f ca="1"/>
        <v>#N/A</v>
      </c>
      <c r="E463" t="e">
        <f ca="1"/>
        <v>#N/A</v>
      </c>
      <c r="F463" t="e">
        <f ca="1"/>
        <v>#N/A</v>
      </c>
      <c r="G463" t="e">
        <f ca="1"/>
        <v>#N/A</v>
      </c>
      <c r="H463" t="e">
        <f ca="1"/>
        <v>#N/A</v>
      </c>
      <c r="I463" t="e">
        <f ca="1"/>
        <v>#N/A</v>
      </c>
      <c r="J463" t="e">
        <f ca="1"/>
        <v>#N/A</v>
      </c>
      <c r="K463" t="e">
        <f ca="1"/>
        <v>#N/A</v>
      </c>
    </row>
    <row r="464" spans="1:11" x14ac:dyDescent="0.25">
      <c r="A464" s="2" t="e">
        <f ca="1"/>
        <v>#N/A</v>
      </c>
      <c r="C464" t="e">
        <f ca="1"/>
        <v>#N/A</v>
      </c>
      <c r="D464" t="e">
        <f ca="1"/>
        <v>#N/A</v>
      </c>
      <c r="E464" t="e">
        <f ca="1"/>
        <v>#N/A</v>
      </c>
      <c r="F464" t="e">
        <f ca="1"/>
        <v>#N/A</v>
      </c>
      <c r="G464" t="e">
        <f ca="1"/>
        <v>#N/A</v>
      </c>
      <c r="H464" t="e">
        <f ca="1"/>
        <v>#N/A</v>
      </c>
      <c r="I464" t="e">
        <f ca="1"/>
        <v>#N/A</v>
      </c>
      <c r="J464" t="e">
        <f ca="1"/>
        <v>#N/A</v>
      </c>
      <c r="K464" t="e">
        <f ca="1"/>
        <v>#N/A</v>
      </c>
    </row>
    <row r="465" spans="1:11" x14ac:dyDescent="0.25">
      <c r="A465" s="2" t="e">
        <f ca="1"/>
        <v>#N/A</v>
      </c>
      <c r="C465" t="e">
        <f ca="1"/>
        <v>#N/A</v>
      </c>
      <c r="D465" t="e">
        <f ca="1"/>
        <v>#N/A</v>
      </c>
      <c r="E465" t="e">
        <f ca="1"/>
        <v>#N/A</v>
      </c>
      <c r="F465" t="e">
        <f ca="1"/>
        <v>#N/A</v>
      </c>
      <c r="G465" t="e">
        <f ca="1"/>
        <v>#N/A</v>
      </c>
      <c r="H465" t="e">
        <f ca="1"/>
        <v>#N/A</v>
      </c>
      <c r="I465" t="e">
        <f ca="1"/>
        <v>#N/A</v>
      </c>
      <c r="J465" t="e">
        <f ca="1"/>
        <v>#N/A</v>
      </c>
      <c r="K465" t="e">
        <f ca="1"/>
        <v>#N/A</v>
      </c>
    </row>
    <row r="466" spans="1:11" x14ac:dyDescent="0.25">
      <c r="A466" s="2" t="e">
        <f ca="1"/>
        <v>#N/A</v>
      </c>
      <c r="C466" t="e">
        <f ca="1"/>
        <v>#N/A</v>
      </c>
      <c r="D466" t="e">
        <f ca="1"/>
        <v>#N/A</v>
      </c>
      <c r="E466" t="e">
        <f ca="1"/>
        <v>#N/A</v>
      </c>
      <c r="F466" t="e">
        <f ca="1"/>
        <v>#N/A</v>
      </c>
      <c r="G466" t="e">
        <f ca="1"/>
        <v>#N/A</v>
      </c>
      <c r="H466" t="e">
        <f ca="1"/>
        <v>#N/A</v>
      </c>
      <c r="I466" t="e">
        <f ca="1"/>
        <v>#N/A</v>
      </c>
      <c r="J466" t="e">
        <f ca="1"/>
        <v>#N/A</v>
      </c>
      <c r="K466" t="e">
        <f ca="1"/>
        <v>#N/A</v>
      </c>
    </row>
    <row r="467" spans="1:11" x14ac:dyDescent="0.25">
      <c r="A467" s="2" t="e">
        <f ca="1"/>
        <v>#N/A</v>
      </c>
      <c r="C467" t="e">
        <f ca="1"/>
        <v>#N/A</v>
      </c>
      <c r="D467" t="e">
        <f ca="1"/>
        <v>#N/A</v>
      </c>
      <c r="E467" t="e">
        <f ca="1"/>
        <v>#N/A</v>
      </c>
      <c r="F467" t="e">
        <f ca="1"/>
        <v>#N/A</v>
      </c>
      <c r="G467" t="e">
        <f ca="1"/>
        <v>#N/A</v>
      </c>
      <c r="H467" t="e">
        <f ca="1"/>
        <v>#N/A</v>
      </c>
      <c r="I467" t="e">
        <f ca="1"/>
        <v>#N/A</v>
      </c>
      <c r="J467" t="e">
        <f ca="1"/>
        <v>#N/A</v>
      </c>
      <c r="K467" t="e">
        <f ca="1"/>
        <v>#N/A</v>
      </c>
    </row>
    <row r="468" spans="1:11" x14ac:dyDescent="0.25">
      <c r="A468" s="2" t="e">
        <f ca="1"/>
        <v>#N/A</v>
      </c>
      <c r="C468" t="e">
        <f ca="1"/>
        <v>#N/A</v>
      </c>
      <c r="D468" t="e">
        <f ca="1"/>
        <v>#N/A</v>
      </c>
      <c r="E468" t="e">
        <f ca="1"/>
        <v>#N/A</v>
      </c>
      <c r="F468" t="e">
        <f ca="1"/>
        <v>#N/A</v>
      </c>
      <c r="G468" t="e">
        <f ca="1"/>
        <v>#N/A</v>
      </c>
      <c r="H468" t="e">
        <f ca="1"/>
        <v>#N/A</v>
      </c>
      <c r="I468" t="e">
        <f ca="1"/>
        <v>#N/A</v>
      </c>
      <c r="J468" t="e">
        <f ca="1"/>
        <v>#N/A</v>
      </c>
      <c r="K468" t="e">
        <f ca="1"/>
        <v>#N/A</v>
      </c>
    </row>
    <row r="469" spans="1:11" x14ac:dyDescent="0.25">
      <c r="A469" s="2" t="e">
        <f ca="1"/>
        <v>#N/A</v>
      </c>
      <c r="C469" t="e">
        <f ca="1"/>
        <v>#N/A</v>
      </c>
      <c r="D469" t="e">
        <f ca="1"/>
        <v>#N/A</v>
      </c>
      <c r="E469" t="e">
        <f ca="1"/>
        <v>#N/A</v>
      </c>
      <c r="F469" t="e">
        <f ca="1"/>
        <v>#N/A</v>
      </c>
      <c r="G469" t="e">
        <f ca="1"/>
        <v>#N/A</v>
      </c>
      <c r="H469" t="e">
        <f ca="1"/>
        <v>#N/A</v>
      </c>
      <c r="I469" t="e">
        <f ca="1"/>
        <v>#N/A</v>
      </c>
      <c r="J469" t="e">
        <f ca="1"/>
        <v>#N/A</v>
      </c>
      <c r="K469" t="e">
        <f ca="1"/>
        <v>#N/A</v>
      </c>
    </row>
    <row r="470" spans="1:11" x14ac:dyDescent="0.25">
      <c r="A470" s="2" t="e">
        <f ca="1"/>
        <v>#N/A</v>
      </c>
      <c r="C470" t="e">
        <f ca="1"/>
        <v>#N/A</v>
      </c>
      <c r="D470" t="e">
        <f ca="1"/>
        <v>#N/A</v>
      </c>
      <c r="E470" t="e">
        <f ca="1"/>
        <v>#N/A</v>
      </c>
      <c r="F470" t="e">
        <f ca="1"/>
        <v>#N/A</v>
      </c>
      <c r="G470" t="e">
        <f ca="1"/>
        <v>#N/A</v>
      </c>
      <c r="H470" t="e">
        <f ca="1"/>
        <v>#N/A</v>
      </c>
      <c r="I470" t="e">
        <f ca="1"/>
        <v>#N/A</v>
      </c>
      <c r="J470" t="e">
        <f ca="1"/>
        <v>#N/A</v>
      </c>
      <c r="K470" t="e">
        <f ca="1"/>
        <v>#N/A</v>
      </c>
    </row>
    <row r="471" spans="1:11" x14ac:dyDescent="0.25">
      <c r="A471" s="2" t="e">
        <f ca="1"/>
        <v>#N/A</v>
      </c>
      <c r="C471" t="e">
        <f ca="1"/>
        <v>#N/A</v>
      </c>
      <c r="D471" t="e">
        <f ca="1"/>
        <v>#N/A</v>
      </c>
      <c r="E471" t="e">
        <f ca="1"/>
        <v>#N/A</v>
      </c>
      <c r="F471" t="e">
        <f ca="1"/>
        <v>#N/A</v>
      </c>
      <c r="G471" t="e">
        <f ca="1"/>
        <v>#N/A</v>
      </c>
      <c r="H471" t="e">
        <f ca="1"/>
        <v>#N/A</v>
      </c>
      <c r="I471" t="e">
        <f ca="1"/>
        <v>#N/A</v>
      </c>
      <c r="J471" t="e">
        <f ca="1"/>
        <v>#N/A</v>
      </c>
      <c r="K471" t="e">
        <f ca="1"/>
        <v>#N/A</v>
      </c>
    </row>
    <row r="472" spans="1:11" x14ac:dyDescent="0.25">
      <c r="A472" s="2" t="e">
        <f ca="1"/>
        <v>#N/A</v>
      </c>
      <c r="C472" t="e">
        <f ca="1"/>
        <v>#N/A</v>
      </c>
      <c r="D472" t="e">
        <f ca="1"/>
        <v>#N/A</v>
      </c>
      <c r="E472" t="e">
        <f ca="1"/>
        <v>#N/A</v>
      </c>
      <c r="F472" t="e">
        <f ca="1"/>
        <v>#N/A</v>
      </c>
      <c r="G472" t="e">
        <f ca="1"/>
        <v>#N/A</v>
      </c>
      <c r="H472" t="e">
        <f ca="1"/>
        <v>#N/A</v>
      </c>
      <c r="I472" t="e">
        <f ca="1"/>
        <v>#N/A</v>
      </c>
      <c r="J472" t="e">
        <f ca="1"/>
        <v>#N/A</v>
      </c>
      <c r="K472" t="e">
        <f ca="1"/>
        <v>#N/A</v>
      </c>
    </row>
    <row r="473" spans="1:11" x14ac:dyDescent="0.25">
      <c r="A473" s="2" t="e">
        <f ca="1"/>
        <v>#N/A</v>
      </c>
      <c r="C473" t="e">
        <f ca="1"/>
        <v>#N/A</v>
      </c>
      <c r="D473" t="e">
        <f ca="1"/>
        <v>#N/A</v>
      </c>
      <c r="E473" t="e">
        <f ca="1"/>
        <v>#N/A</v>
      </c>
      <c r="F473" t="e">
        <f ca="1"/>
        <v>#N/A</v>
      </c>
      <c r="G473" t="e">
        <f ca="1"/>
        <v>#N/A</v>
      </c>
      <c r="H473" t="e">
        <f ca="1"/>
        <v>#N/A</v>
      </c>
      <c r="I473" t="e">
        <f ca="1"/>
        <v>#N/A</v>
      </c>
      <c r="J473" t="e">
        <f ca="1"/>
        <v>#N/A</v>
      </c>
      <c r="K473" t="e">
        <f ca="1"/>
        <v>#N/A</v>
      </c>
    </row>
    <row r="474" spans="1:11" x14ac:dyDescent="0.25">
      <c r="A474" s="2" t="e">
        <f ca="1"/>
        <v>#N/A</v>
      </c>
      <c r="C474" t="e">
        <f ca="1"/>
        <v>#N/A</v>
      </c>
      <c r="D474" t="e">
        <f ca="1"/>
        <v>#N/A</v>
      </c>
      <c r="E474" t="e">
        <f ca="1"/>
        <v>#N/A</v>
      </c>
      <c r="F474" t="e">
        <f ca="1"/>
        <v>#N/A</v>
      </c>
      <c r="G474" t="e">
        <f ca="1"/>
        <v>#N/A</v>
      </c>
      <c r="H474" t="e">
        <f ca="1"/>
        <v>#N/A</v>
      </c>
      <c r="I474" t="e">
        <f ca="1"/>
        <v>#N/A</v>
      </c>
      <c r="J474" t="e">
        <f ca="1"/>
        <v>#N/A</v>
      </c>
      <c r="K474" t="e">
        <f ca="1"/>
        <v>#N/A</v>
      </c>
    </row>
    <row r="475" spans="1:11" x14ac:dyDescent="0.25">
      <c r="A475" s="2" t="e">
        <f ca="1"/>
        <v>#N/A</v>
      </c>
      <c r="C475" t="e">
        <f ca="1"/>
        <v>#N/A</v>
      </c>
      <c r="D475" t="e">
        <f ca="1"/>
        <v>#N/A</v>
      </c>
      <c r="E475" t="e">
        <f ca="1"/>
        <v>#N/A</v>
      </c>
      <c r="F475" t="e">
        <f ca="1"/>
        <v>#N/A</v>
      </c>
      <c r="G475" t="e">
        <f ca="1"/>
        <v>#N/A</v>
      </c>
      <c r="H475" t="e">
        <f ca="1"/>
        <v>#N/A</v>
      </c>
      <c r="I475" t="e">
        <f ca="1"/>
        <v>#N/A</v>
      </c>
      <c r="J475" t="e">
        <f ca="1"/>
        <v>#N/A</v>
      </c>
      <c r="K475" t="e">
        <f ca="1"/>
        <v>#N/A</v>
      </c>
    </row>
    <row r="476" spans="1:11" x14ac:dyDescent="0.25">
      <c r="A476" s="2" t="e">
        <f ca="1"/>
        <v>#N/A</v>
      </c>
      <c r="C476" t="e">
        <f ca="1"/>
        <v>#N/A</v>
      </c>
      <c r="D476" t="e">
        <f ca="1"/>
        <v>#N/A</v>
      </c>
      <c r="E476" t="e">
        <f ca="1"/>
        <v>#N/A</v>
      </c>
      <c r="F476" t="e">
        <f ca="1"/>
        <v>#N/A</v>
      </c>
      <c r="G476" t="e">
        <f ca="1"/>
        <v>#N/A</v>
      </c>
      <c r="H476" t="e">
        <f ca="1"/>
        <v>#N/A</v>
      </c>
      <c r="I476" t="e">
        <f ca="1"/>
        <v>#N/A</v>
      </c>
      <c r="J476" t="e">
        <f ca="1"/>
        <v>#N/A</v>
      </c>
      <c r="K476" t="e">
        <f ca="1"/>
        <v>#N/A</v>
      </c>
    </row>
    <row r="477" spans="1:11" x14ac:dyDescent="0.25">
      <c r="A477" s="2" t="e">
        <f ca="1"/>
        <v>#N/A</v>
      </c>
      <c r="C477" t="e">
        <f ca="1"/>
        <v>#N/A</v>
      </c>
      <c r="D477" t="e">
        <f ca="1"/>
        <v>#N/A</v>
      </c>
      <c r="E477" t="e">
        <f ca="1"/>
        <v>#N/A</v>
      </c>
      <c r="F477" t="e">
        <f ca="1"/>
        <v>#N/A</v>
      </c>
      <c r="G477" t="e">
        <f ca="1"/>
        <v>#N/A</v>
      </c>
      <c r="H477" t="e">
        <f ca="1"/>
        <v>#N/A</v>
      </c>
      <c r="I477" t="e">
        <f ca="1"/>
        <v>#N/A</v>
      </c>
      <c r="J477" t="e">
        <f ca="1"/>
        <v>#N/A</v>
      </c>
      <c r="K477" t="e">
        <f ca="1"/>
        <v>#N/A</v>
      </c>
    </row>
    <row r="478" spans="1:11" x14ac:dyDescent="0.25">
      <c r="A478" s="2" t="e">
        <f ca="1"/>
        <v>#N/A</v>
      </c>
      <c r="C478" t="e">
        <f ca="1"/>
        <v>#N/A</v>
      </c>
      <c r="D478" t="e">
        <f ca="1"/>
        <v>#N/A</v>
      </c>
      <c r="E478" t="e">
        <f ca="1"/>
        <v>#N/A</v>
      </c>
      <c r="F478" t="e">
        <f ca="1"/>
        <v>#N/A</v>
      </c>
      <c r="G478" t="e">
        <f ca="1"/>
        <v>#N/A</v>
      </c>
      <c r="H478" t="e">
        <f ca="1"/>
        <v>#N/A</v>
      </c>
      <c r="I478" t="e">
        <f ca="1"/>
        <v>#N/A</v>
      </c>
      <c r="J478" t="e">
        <f ca="1"/>
        <v>#N/A</v>
      </c>
      <c r="K478" t="e">
        <f ca="1"/>
        <v>#N/A</v>
      </c>
    </row>
    <row r="479" spans="1:11" x14ac:dyDescent="0.25">
      <c r="A479" s="2" t="e">
        <f ca="1"/>
        <v>#N/A</v>
      </c>
      <c r="C479" t="e">
        <f ca="1"/>
        <v>#N/A</v>
      </c>
      <c r="D479" t="e">
        <f ca="1"/>
        <v>#N/A</v>
      </c>
      <c r="E479" t="e">
        <f ca="1"/>
        <v>#N/A</v>
      </c>
      <c r="F479" t="e">
        <f ca="1"/>
        <v>#N/A</v>
      </c>
      <c r="G479" t="e">
        <f ca="1"/>
        <v>#N/A</v>
      </c>
      <c r="H479" t="e">
        <f ca="1"/>
        <v>#N/A</v>
      </c>
      <c r="I479" t="e">
        <f ca="1"/>
        <v>#N/A</v>
      </c>
      <c r="J479" t="e">
        <f ca="1"/>
        <v>#N/A</v>
      </c>
      <c r="K479" t="e">
        <f ca="1"/>
        <v>#N/A</v>
      </c>
    </row>
    <row r="480" spans="1:11" x14ac:dyDescent="0.25">
      <c r="A480" s="2" t="e">
        <f ca="1"/>
        <v>#N/A</v>
      </c>
      <c r="C480" t="e">
        <f ca="1"/>
        <v>#N/A</v>
      </c>
      <c r="D480" t="e">
        <f ca="1"/>
        <v>#N/A</v>
      </c>
      <c r="E480" t="e">
        <f ca="1"/>
        <v>#N/A</v>
      </c>
      <c r="F480" t="e">
        <f ca="1"/>
        <v>#N/A</v>
      </c>
      <c r="G480" t="e">
        <f ca="1"/>
        <v>#N/A</v>
      </c>
      <c r="H480" t="e">
        <f ca="1"/>
        <v>#N/A</v>
      </c>
      <c r="I480" t="e">
        <f ca="1"/>
        <v>#N/A</v>
      </c>
      <c r="J480" t="e">
        <f ca="1"/>
        <v>#N/A</v>
      </c>
      <c r="K480" t="e">
        <f ca="1"/>
        <v>#N/A</v>
      </c>
    </row>
    <row r="481" spans="1:11" x14ac:dyDescent="0.25">
      <c r="A481" s="2" t="e">
        <f ca="1"/>
        <v>#N/A</v>
      </c>
      <c r="C481" t="e">
        <f ca="1"/>
        <v>#N/A</v>
      </c>
      <c r="D481" t="e">
        <f ca="1"/>
        <v>#N/A</v>
      </c>
      <c r="E481" t="e">
        <f ca="1"/>
        <v>#N/A</v>
      </c>
      <c r="F481" t="e">
        <f ca="1"/>
        <v>#N/A</v>
      </c>
      <c r="G481" t="e">
        <f ca="1"/>
        <v>#N/A</v>
      </c>
      <c r="H481" t="e">
        <f ca="1"/>
        <v>#N/A</v>
      </c>
      <c r="I481" t="e">
        <f ca="1"/>
        <v>#N/A</v>
      </c>
      <c r="J481" t="e">
        <f ca="1"/>
        <v>#N/A</v>
      </c>
      <c r="K481" t="e">
        <f ca="1"/>
        <v>#N/A</v>
      </c>
    </row>
    <row r="482" spans="1:11" x14ac:dyDescent="0.25">
      <c r="A482" s="2" t="e">
        <f ca="1"/>
        <v>#N/A</v>
      </c>
      <c r="C482" t="e">
        <f ca="1"/>
        <v>#N/A</v>
      </c>
      <c r="D482" t="e">
        <f ca="1"/>
        <v>#N/A</v>
      </c>
      <c r="E482" t="e">
        <f ca="1"/>
        <v>#N/A</v>
      </c>
      <c r="F482" t="e">
        <f ca="1"/>
        <v>#N/A</v>
      </c>
      <c r="G482" t="e">
        <f ca="1"/>
        <v>#N/A</v>
      </c>
      <c r="H482" t="e">
        <f ca="1"/>
        <v>#N/A</v>
      </c>
      <c r="I482" t="e">
        <f ca="1"/>
        <v>#N/A</v>
      </c>
      <c r="J482" t="e">
        <f ca="1"/>
        <v>#N/A</v>
      </c>
      <c r="K482" t="e">
        <f ca="1"/>
        <v>#N/A</v>
      </c>
    </row>
    <row r="483" spans="1:11" x14ac:dyDescent="0.25">
      <c r="A483" s="2" t="e">
        <f ca="1"/>
        <v>#N/A</v>
      </c>
      <c r="C483" t="e">
        <f ca="1"/>
        <v>#N/A</v>
      </c>
      <c r="D483" t="e">
        <f ca="1"/>
        <v>#N/A</v>
      </c>
      <c r="E483" t="e">
        <f ca="1"/>
        <v>#N/A</v>
      </c>
      <c r="F483" t="e">
        <f ca="1"/>
        <v>#N/A</v>
      </c>
      <c r="G483" t="e">
        <f ca="1"/>
        <v>#N/A</v>
      </c>
      <c r="H483" t="e">
        <f ca="1"/>
        <v>#N/A</v>
      </c>
      <c r="I483" t="e">
        <f ca="1"/>
        <v>#N/A</v>
      </c>
      <c r="J483" t="e">
        <f ca="1"/>
        <v>#N/A</v>
      </c>
      <c r="K483" t="e">
        <f ca="1"/>
        <v>#N/A</v>
      </c>
    </row>
    <row r="484" spans="1:11" x14ac:dyDescent="0.25">
      <c r="A484" s="2" t="e">
        <f ca="1"/>
        <v>#N/A</v>
      </c>
      <c r="C484" t="e">
        <f ca="1"/>
        <v>#N/A</v>
      </c>
      <c r="D484" t="e">
        <f ca="1"/>
        <v>#N/A</v>
      </c>
      <c r="E484" t="e">
        <f ca="1"/>
        <v>#N/A</v>
      </c>
      <c r="F484" t="e">
        <f ca="1"/>
        <v>#N/A</v>
      </c>
      <c r="G484" t="e">
        <f ca="1"/>
        <v>#N/A</v>
      </c>
      <c r="H484" t="e">
        <f ca="1"/>
        <v>#N/A</v>
      </c>
      <c r="I484" t="e">
        <f ca="1"/>
        <v>#N/A</v>
      </c>
      <c r="J484" t="e">
        <f ca="1"/>
        <v>#N/A</v>
      </c>
      <c r="K484" t="e">
        <f ca="1"/>
        <v>#N/A</v>
      </c>
    </row>
    <row r="485" spans="1:11" x14ac:dyDescent="0.25">
      <c r="A485" s="2" t="e">
        <f ca="1"/>
        <v>#N/A</v>
      </c>
      <c r="C485" t="e">
        <f ca="1"/>
        <v>#N/A</v>
      </c>
      <c r="D485" t="e">
        <f ca="1"/>
        <v>#N/A</v>
      </c>
      <c r="E485" t="e">
        <f ca="1"/>
        <v>#N/A</v>
      </c>
      <c r="F485" t="e">
        <f ca="1"/>
        <v>#N/A</v>
      </c>
      <c r="G485" t="e">
        <f ca="1"/>
        <v>#N/A</v>
      </c>
      <c r="H485" t="e">
        <f ca="1"/>
        <v>#N/A</v>
      </c>
      <c r="I485" t="e">
        <f ca="1"/>
        <v>#N/A</v>
      </c>
      <c r="J485" t="e">
        <f ca="1"/>
        <v>#N/A</v>
      </c>
      <c r="K485" t="e">
        <f ca="1"/>
        <v>#N/A</v>
      </c>
    </row>
    <row r="486" spans="1:11" x14ac:dyDescent="0.25">
      <c r="A486" s="2" t="e">
        <f ca="1"/>
        <v>#N/A</v>
      </c>
      <c r="C486" t="e">
        <f ca="1"/>
        <v>#N/A</v>
      </c>
      <c r="D486" t="e">
        <f ca="1"/>
        <v>#N/A</v>
      </c>
      <c r="E486" t="e">
        <f ca="1"/>
        <v>#N/A</v>
      </c>
      <c r="F486" t="e">
        <f ca="1"/>
        <v>#N/A</v>
      </c>
      <c r="G486" t="e">
        <f ca="1"/>
        <v>#N/A</v>
      </c>
      <c r="H486" t="e">
        <f ca="1"/>
        <v>#N/A</v>
      </c>
      <c r="I486" t="e">
        <f ca="1"/>
        <v>#N/A</v>
      </c>
      <c r="J486" t="e">
        <f ca="1"/>
        <v>#N/A</v>
      </c>
      <c r="K486" t="e">
        <f ca="1"/>
        <v>#N/A</v>
      </c>
    </row>
    <row r="487" spans="1:11" x14ac:dyDescent="0.25">
      <c r="A487" s="2" t="e">
        <f ca="1"/>
        <v>#N/A</v>
      </c>
      <c r="C487" t="e">
        <f ca="1"/>
        <v>#N/A</v>
      </c>
      <c r="D487" t="e">
        <f ca="1"/>
        <v>#N/A</v>
      </c>
      <c r="E487" t="e">
        <f ca="1"/>
        <v>#N/A</v>
      </c>
      <c r="F487" t="e">
        <f ca="1"/>
        <v>#N/A</v>
      </c>
      <c r="G487" t="e">
        <f ca="1"/>
        <v>#N/A</v>
      </c>
      <c r="H487" t="e">
        <f ca="1"/>
        <v>#N/A</v>
      </c>
      <c r="I487" t="e">
        <f ca="1"/>
        <v>#N/A</v>
      </c>
      <c r="J487" t="e">
        <f ca="1"/>
        <v>#N/A</v>
      </c>
      <c r="K487" t="e">
        <f ca="1"/>
        <v>#N/A</v>
      </c>
    </row>
    <row r="488" spans="1:11" x14ac:dyDescent="0.25">
      <c r="A488" s="2" t="e">
        <f ca="1"/>
        <v>#N/A</v>
      </c>
      <c r="C488" t="e">
        <f ca="1"/>
        <v>#N/A</v>
      </c>
      <c r="D488" t="e">
        <f ca="1"/>
        <v>#N/A</v>
      </c>
      <c r="E488" t="e">
        <f ca="1"/>
        <v>#N/A</v>
      </c>
      <c r="F488" t="e">
        <f ca="1"/>
        <v>#N/A</v>
      </c>
      <c r="G488" t="e">
        <f ca="1"/>
        <v>#N/A</v>
      </c>
      <c r="H488" t="e">
        <f ca="1"/>
        <v>#N/A</v>
      </c>
      <c r="I488" t="e">
        <f ca="1"/>
        <v>#N/A</v>
      </c>
      <c r="J488" t="e">
        <f ca="1"/>
        <v>#N/A</v>
      </c>
      <c r="K488" t="e">
        <f ca="1"/>
        <v>#N/A</v>
      </c>
    </row>
    <row r="489" spans="1:11" x14ac:dyDescent="0.25">
      <c r="A489" s="2" t="e">
        <f ca="1"/>
        <v>#N/A</v>
      </c>
      <c r="C489" t="e">
        <f ca="1"/>
        <v>#N/A</v>
      </c>
      <c r="D489" t="e">
        <f ca="1"/>
        <v>#N/A</v>
      </c>
      <c r="E489" t="e">
        <f ca="1"/>
        <v>#N/A</v>
      </c>
      <c r="F489" t="e">
        <f ca="1"/>
        <v>#N/A</v>
      </c>
      <c r="G489" t="e">
        <f ca="1"/>
        <v>#N/A</v>
      </c>
      <c r="H489" t="e">
        <f ca="1"/>
        <v>#N/A</v>
      </c>
      <c r="I489" t="e">
        <f ca="1"/>
        <v>#N/A</v>
      </c>
      <c r="J489" t="e">
        <f ca="1"/>
        <v>#N/A</v>
      </c>
      <c r="K489" t="e">
        <f ca="1"/>
        <v>#N/A</v>
      </c>
    </row>
    <row r="490" spans="1:11" x14ac:dyDescent="0.25">
      <c r="A490" s="2" t="e">
        <f ca="1"/>
        <v>#N/A</v>
      </c>
      <c r="C490" t="e">
        <f ca="1"/>
        <v>#N/A</v>
      </c>
      <c r="D490" t="e">
        <f ca="1"/>
        <v>#N/A</v>
      </c>
      <c r="E490" t="e">
        <f ca="1"/>
        <v>#N/A</v>
      </c>
      <c r="F490" t="e">
        <f ca="1"/>
        <v>#N/A</v>
      </c>
      <c r="G490" t="e">
        <f ca="1"/>
        <v>#N/A</v>
      </c>
      <c r="H490" t="e">
        <f ca="1"/>
        <v>#N/A</v>
      </c>
      <c r="I490" t="e">
        <f ca="1"/>
        <v>#N/A</v>
      </c>
      <c r="J490" t="e">
        <f ca="1"/>
        <v>#N/A</v>
      </c>
      <c r="K490" t="e">
        <f ca="1"/>
        <v>#N/A</v>
      </c>
    </row>
    <row r="491" spans="1:11" x14ac:dyDescent="0.25">
      <c r="A491" s="2" t="e">
        <f ca="1"/>
        <v>#N/A</v>
      </c>
      <c r="C491" t="e">
        <f ca="1"/>
        <v>#N/A</v>
      </c>
      <c r="D491" t="e">
        <f ca="1"/>
        <v>#N/A</v>
      </c>
      <c r="E491" t="e">
        <f ca="1"/>
        <v>#N/A</v>
      </c>
      <c r="F491" t="e">
        <f ca="1"/>
        <v>#N/A</v>
      </c>
      <c r="G491" t="e">
        <f ca="1"/>
        <v>#N/A</v>
      </c>
      <c r="H491" t="e">
        <f ca="1"/>
        <v>#N/A</v>
      </c>
      <c r="I491" t="e">
        <f ca="1"/>
        <v>#N/A</v>
      </c>
      <c r="J491" t="e">
        <f ca="1"/>
        <v>#N/A</v>
      </c>
      <c r="K491" t="e">
        <f ca="1"/>
        <v>#N/A</v>
      </c>
    </row>
    <row r="492" spans="1:11" x14ac:dyDescent="0.25">
      <c r="A492" s="2" t="e">
        <f ca="1"/>
        <v>#N/A</v>
      </c>
      <c r="C492" t="e">
        <f ca="1"/>
        <v>#N/A</v>
      </c>
      <c r="D492" t="e">
        <f ca="1"/>
        <v>#N/A</v>
      </c>
      <c r="E492" t="e">
        <f ca="1"/>
        <v>#N/A</v>
      </c>
      <c r="F492" t="e">
        <f ca="1"/>
        <v>#N/A</v>
      </c>
      <c r="G492" t="e">
        <f ca="1"/>
        <v>#N/A</v>
      </c>
      <c r="H492" t="e">
        <f ca="1"/>
        <v>#N/A</v>
      </c>
      <c r="I492" t="e">
        <f ca="1"/>
        <v>#N/A</v>
      </c>
      <c r="J492" t="e">
        <f ca="1"/>
        <v>#N/A</v>
      </c>
      <c r="K492" t="e">
        <f ca="1"/>
        <v>#N/A</v>
      </c>
    </row>
    <row r="493" spans="1:11" x14ac:dyDescent="0.25">
      <c r="A493" s="2" t="e">
        <f ca="1"/>
        <v>#N/A</v>
      </c>
      <c r="C493" t="e">
        <f ca="1"/>
        <v>#N/A</v>
      </c>
      <c r="D493" t="e">
        <f ca="1"/>
        <v>#N/A</v>
      </c>
      <c r="E493" t="e">
        <f ca="1"/>
        <v>#N/A</v>
      </c>
      <c r="F493" t="e">
        <f ca="1"/>
        <v>#N/A</v>
      </c>
      <c r="G493" t="e">
        <f ca="1"/>
        <v>#N/A</v>
      </c>
      <c r="H493" t="e">
        <f ca="1"/>
        <v>#N/A</v>
      </c>
      <c r="I493" t="e">
        <f ca="1"/>
        <v>#N/A</v>
      </c>
      <c r="J493" t="e">
        <f ca="1"/>
        <v>#N/A</v>
      </c>
      <c r="K493" t="e">
        <f ca="1"/>
        <v>#N/A</v>
      </c>
    </row>
    <row r="494" spans="1:11" x14ac:dyDescent="0.25">
      <c r="A494" s="2" t="e">
        <f ca="1"/>
        <v>#N/A</v>
      </c>
      <c r="C494" t="e">
        <f ca="1"/>
        <v>#N/A</v>
      </c>
      <c r="D494" t="e">
        <f ca="1"/>
        <v>#N/A</v>
      </c>
      <c r="E494" t="e">
        <f ca="1"/>
        <v>#N/A</v>
      </c>
      <c r="F494" t="e">
        <f ca="1"/>
        <v>#N/A</v>
      </c>
      <c r="G494" t="e">
        <f ca="1"/>
        <v>#N/A</v>
      </c>
      <c r="H494" t="e">
        <f ca="1"/>
        <v>#N/A</v>
      </c>
      <c r="I494" t="e">
        <f ca="1"/>
        <v>#N/A</v>
      </c>
      <c r="J494" t="e">
        <f ca="1"/>
        <v>#N/A</v>
      </c>
      <c r="K494" t="e">
        <f ca="1"/>
        <v>#N/A</v>
      </c>
    </row>
    <row r="495" spans="1:11" x14ac:dyDescent="0.25">
      <c r="A495" s="2" t="e">
        <f ca="1"/>
        <v>#N/A</v>
      </c>
      <c r="C495" t="e">
        <f ca="1"/>
        <v>#N/A</v>
      </c>
      <c r="D495" t="e">
        <f ca="1"/>
        <v>#N/A</v>
      </c>
      <c r="E495" t="e">
        <f ca="1"/>
        <v>#N/A</v>
      </c>
      <c r="F495" t="e">
        <f ca="1"/>
        <v>#N/A</v>
      </c>
      <c r="G495" t="e">
        <f ca="1"/>
        <v>#N/A</v>
      </c>
      <c r="H495" t="e">
        <f ca="1"/>
        <v>#N/A</v>
      </c>
      <c r="I495" t="e">
        <f ca="1"/>
        <v>#N/A</v>
      </c>
      <c r="J495" t="e">
        <f ca="1"/>
        <v>#N/A</v>
      </c>
      <c r="K495" t="e">
        <f ca="1"/>
        <v>#N/A</v>
      </c>
    </row>
    <row r="496" spans="1:11" x14ac:dyDescent="0.25">
      <c r="A496" s="2" t="e">
        <f ca="1"/>
        <v>#N/A</v>
      </c>
      <c r="C496" t="e">
        <f ca="1"/>
        <v>#N/A</v>
      </c>
      <c r="D496" t="e">
        <f ca="1"/>
        <v>#N/A</v>
      </c>
      <c r="E496" t="e">
        <f ca="1"/>
        <v>#N/A</v>
      </c>
      <c r="F496" t="e">
        <f ca="1"/>
        <v>#N/A</v>
      </c>
      <c r="G496" t="e">
        <f ca="1"/>
        <v>#N/A</v>
      </c>
      <c r="H496" t="e">
        <f ca="1"/>
        <v>#N/A</v>
      </c>
      <c r="I496" t="e">
        <f ca="1"/>
        <v>#N/A</v>
      </c>
      <c r="J496" t="e">
        <f ca="1"/>
        <v>#N/A</v>
      </c>
      <c r="K496" t="e">
        <f ca="1"/>
        <v>#N/A</v>
      </c>
    </row>
    <row r="497" spans="1:11" x14ac:dyDescent="0.25">
      <c r="A497" s="2" t="e">
        <f ca="1"/>
        <v>#N/A</v>
      </c>
      <c r="C497" t="e">
        <f ca="1"/>
        <v>#N/A</v>
      </c>
      <c r="D497" t="e">
        <f ca="1"/>
        <v>#N/A</v>
      </c>
      <c r="E497" t="e">
        <f ca="1"/>
        <v>#N/A</v>
      </c>
      <c r="F497" t="e">
        <f ca="1"/>
        <v>#N/A</v>
      </c>
      <c r="G497" t="e">
        <f ca="1"/>
        <v>#N/A</v>
      </c>
      <c r="H497" t="e">
        <f ca="1"/>
        <v>#N/A</v>
      </c>
      <c r="I497" t="e">
        <f ca="1"/>
        <v>#N/A</v>
      </c>
      <c r="J497" t="e">
        <f ca="1"/>
        <v>#N/A</v>
      </c>
      <c r="K497" t="e">
        <f ca="1"/>
        <v>#N/A</v>
      </c>
    </row>
    <row r="498" spans="1:11" x14ac:dyDescent="0.25">
      <c r="A498" s="2" t="e">
        <f ca="1"/>
        <v>#N/A</v>
      </c>
      <c r="C498" t="e">
        <f ca="1"/>
        <v>#N/A</v>
      </c>
      <c r="D498" t="e">
        <f ca="1"/>
        <v>#N/A</v>
      </c>
      <c r="E498" t="e">
        <f ca="1"/>
        <v>#N/A</v>
      </c>
      <c r="F498" t="e">
        <f ca="1"/>
        <v>#N/A</v>
      </c>
      <c r="G498" t="e">
        <f ca="1"/>
        <v>#N/A</v>
      </c>
      <c r="H498" t="e">
        <f ca="1"/>
        <v>#N/A</v>
      </c>
      <c r="I498" t="e">
        <f ca="1"/>
        <v>#N/A</v>
      </c>
      <c r="J498" t="e">
        <f ca="1"/>
        <v>#N/A</v>
      </c>
      <c r="K498" t="e">
        <f ca="1"/>
        <v>#N/A</v>
      </c>
    </row>
    <row r="499" spans="1:11" x14ac:dyDescent="0.25">
      <c r="A499" s="2" t="e">
        <f ca="1"/>
        <v>#N/A</v>
      </c>
      <c r="C499" t="e">
        <f ca="1"/>
        <v>#N/A</v>
      </c>
      <c r="D499" t="e">
        <f ca="1"/>
        <v>#N/A</v>
      </c>
      <c r="E499" t="e">
        <f ca="1"/>
        <v>#N/A</v>
      </c>
      <c r="F499" t="e">
        <f ca="1"/>
        <v>#N/A</v>
      </c>
      <c r="G499" t="e">
        <f ca="1"/>
        <v>#N/A</v>
      </c>
      <c r="H499" t="e">
        <f ca="1"/>
        <v>#N/A</v>
      </c>
      <c r="I499" t="e">
        <f ca="1"/>
        <v>#N/A</v>
      </c>
      <c r="J499" t="e">
        <f ca="1"/>
        <v>#N/A</v>
      </c>
      <c r="K499" t="e">
        <f ca="1"/>
        <v>#N/A</v>
      </c>
    </row>
    <row r="500" spans="1:11" x14ac:dyDescent="0.25">
      <c r="A500" s="2" t="e">
        <f ca="1"/>
        <v>#N/A</v>
      </c>
      <c r="C500" t="e">
        <f ca="1"/>
        <v>#N/A</v>
      </c>
      <c r="D500" t="e">
        <f ca="1"/>
        <v>#N/A</v>
      </c>
      <c r="E500" t="e">
        <f ca="1"/>
        <v>#N/A</v>
      </c>
      <c r="F500" t="e">
        <f ca="1"/>
        <v>#N/A</v>
      </c>
      <c r="G500" t="e">
        <f ca="1"/>
        <v>#N/A</v>
      </c>
      <c r="H500" t="e">
        <f ca="1"/>
        <v>#N/A</v>
      </c>
      <c r="I500" t="e">
        <f ca="1"/>
        <v>#N/A</v>
      </c>
      <c r="J500" t="e">
        <f ca="1"/>
        <v>#N/A</v>
      </c>
      <c r="K500" t="e">
        <f ca="1"/>
        <v>#N/A</v>
      </c>
    </row>
    <row r="501" spans="1:11" x14ac:dyDescent="0.25">
      <c r="A501" s="2" t="e">
        <f ca="1"/>
        <v>#N/A</v>
      </c>
      <c r="C501" t="e">
        <f ca="1"/>
        <v>#N/A</v>
      </c>
      <c r="D501" t="e">
        <f ca="1"/>
        <v>#N/A</v>
      </c>
      <c r="E501" t="e">
        <f ca="1"/>
        <v>#N/A</v>
      </c>
      <c r="F501" t="e">
        <f ca="1"/>
        <v>#N/A</v>
      </c>
      <c r="G501" t="e">
        <f ca="1"/>
        <v>#N/A</v>
      </c>
      <c r="H501" t="e">
        <f ca="1"/>
        <v>#N/A</v>
      </c>
      <c r="I501" t="e">
        <f ca="1"/>
        <v>#N/A</v>
      </c>
      <c r="J501" t="e">
        <f ca="1"/>
        <v>#N/A</v>
      </c>
      <c r="K501" t="e">
        <f ca="1"/>
        <v>#N/A</v>
      </c>
    </row>
    <row r="502" spans="1:11" x14ac:dyDescent="0.25">
      <c r="A502" s="2" t="e">
        <f ca="1"/>
        <v>#N/A</v>
      </c>
      <c r="C502" t="e">
        <f ca="1"/>
        <v>#N/A</v>
      </c>
      <c r="D502" t="e">
        <f ca="1"/>
        <v>#N/A</v>
      </c>
      <c r="E502" t="e">
        <f ca="1"/>
        <v>#N/A</v>
      </c>
      <c r="F502" t="e">
        <f ca="1"/>
        <v>#N/A</v>
      </c>
      <c r="G502" t="e">
        <f ca="1"/>
        <v>#N/A</v>
      </c>
      <c r="H502" t="e">
        <f ca="1"/>
        <v>#N/A</v>
      </c>
      <c r="I502" t="e">
        <f ca="1"/>
        <v>#N/A</v>
      </c>
      <c r="J502" t="e">
        <f ca="1"/>
        <v>#N/A</v>
      </c>
      <c r="K502" t="e">
        <f ca="1"/>
        <v>#N/A</v>
      </c>
    </row>
    <row r="503" spans="1:11" x14ac:dyDescent="0.25">
      <c r="A503" s="2" t="e">
        <f ca="1"/>
        <v>#N/A</v>
      </c>
      <c r="C503" t="e">
        <f ca="1"/>
        <v>#N/A</v>
      </c>
      <c r="D503" t="e">
        <f ca="1"/>
        <v>#N/A</v>
      </c>
      <c r="E503" t="e">
        <f ca="1"/>
        <v>#N/A</v>
      </c>
      <c r="F503" t="e">
        <f ca="1"/>
        <v>#N/A</v>
      </c>
      <c r="G503" t="e">
        <f ca="1"/>
        <v>#N/A</v>
      </c>
      <c r="H503" t="e">
        <f ca="1"/>
        <v>#N/A</v>
      </c>
      <c r="I503" t="e">
        <f ca="1"/>
        <v>#N/A</v>
      </c>
      <c r="J503" t="e">
        <f ca="1"/>
        <v>#N/A</v>
      </c>
      <c r="K503" t="e">
        <f ca="1"/>
        <v>#N/A</v>
      </c>
    </row>
    <row r="504" spans="1:11" x14ac:dyDescent="0.25">
      <c r="A504" s="2" t="e">
        <f ca="1"/>
        <v>#N/A</v>
      </c>
      <c r="C504" t="e">
        <f ca="1"/>
        <v>#N/A</v>
      </c>
      <c r="D504" t="e">
        <f ca="1"/>
        <v>#N/A</v>
      </c>
      <c r="E504" t="e">
        <f ca="1"/>
        <v>#N/A</v>
      </c>
      <c r="F504" t="e">
        <f ca="1"/>
        <v>#N/A</v>
      </c>
      <c r="G504" t="e">
        <f ca="1"/>
        <v>#N/A</v>
      </c>
      <c r="H504" t="e">
        <f ca="1"/>
        <v>#N/A</v>
      </c>
      <c r="I504" t="e">
        <f ca="1"/>
        <v>#N/A</v>
      </c>
      <c r="J504" t="e">
        <f ca="1"/>
        <v>#N/A</v>
      </c>
      <c r="K504" t="e">
        <f ca="1"/>
        <v>#N/A</v>
      </c>
    </row>
    <row r="505" spans="1:11" x14ac:dyDescent="0.25">
      <c r="A505" s="2" t="e">
        <f ca="1"/>
        <v>#N/A</v>
      </c>
      <c r="C505" t="e">
        <f ca="1"/>
        <v>#N/A</v>
      </c>
      <c r="D505" t="e">
        <f ca="1"/>
        <v>#N/A</v>
      </c>
      <c r="E505" t="e">
        <f ca="1"/>
        <v>#N/A</v>
      </c>
      <c r="F505" t="e">
        <f ca="1"/>
        <v>#N/A</v>
      </c>
      <c r="G505" t="e">
        <f ca="1"/>
        <v>#N/A</v>
      </c>
      <c r="H505" t="e">
        <f ca="1"/>
        <v>#N/A</v>
      </c>
      <c r="I505" t="e">
        <f ca="1"/>
        <v>#N/A</v>
      </c>
      <c r="J505" t="e">
        <f ca="1"/>
        <v>#N/A</v>
      </c>
      <c r="K505" t="e">
        <f ca="1"/>
        <v>#N/A</v>
      </c>
    </row>
    <row r="506" spans="1:11" x14ac:dyDescent="0.25">
      <c r="A506" s="2" t="e">
        <f ca="1"/>
        <v>#N/A</v>
      </c>
      <c r="C506" t="e">
        <f ca="1"/>
        <v>#N/A</v>
      </c>
      <c r="D506" t="e">
        <f ca="1"/>
        <v>#N/A</v>
      </c>
      <c r="E506" t="e">
        <f ca="1"/>
        <v>#N/A</v>
      </c>
      <c r="F506" t="e">
        <f ca="1"/>
        <v>#N/A</v>
      </c>
      <c r="G506" t="e">
        <f ca="1"/>
        <v>#N/A</v>
      </c>
      <c r="H506" t="e">
        <f ca="1"/>
        <v>#N/A</v>
      </c>
      <c r="I506" t="e">
        <f ca="1"/>
        <v>#N/A</v>
      </c>
      <c r="J506" t="e">
        <f ca="1"/>
        <v>#N/A</v>
      </c>
      <c r="K506" t="e">
        <f ca="1"/>
        <v>#N/A</v>
      </c>
    </row>
    <row r="507" spans="1:11" x14ac:dyDescent="0.25">
      <c r="A507" s="2" t="e">
        <f ca="1"/>
        <v>#N/A</v>
      </c>
      <c r="C507" t="e">
        <f ca="1"/>
        <v>#N/A</v>
      </c>
      <c r="D507" t="e">
        <f ca="1"/>
        <v>#N/A</v>
      </c>
      <c r="E507" t="e">
        <f ca="1"/>
        <v>#N/A</v>
      </c>
      <c r="F507" t="e">
        <f ca="1"/>
        <v>#N/A</v>
      </c>
      <c r="G507" t="e">
        <f ca="1"/>
        <v>#N/A</v>
      </c>
      <c r="H507" t="e">
        <f ca="1"/>
        <v>#N/A</v>
      </c>
      <c r="I507" t="e">
        <f ca="1"/>
        <v>#N/A</v>
      </c>
      <c r="J507" t="e">
        <f ca="1"/>
        <v>#N/A</v>
      </c>
      <c r="K507" t="e">
        <f ca="1"/>
        <v>#N/A</v>
      </c>
    </row>
    <row r="508" spans="1:11" x14ac:dyDescent="0.25">
      <c r="A508" s="2" t="e">
        <f ca="1"/>
        <v>#N/A</v>
      </c>
      <c r="C508" t="e">
        <f ca="1"/>
        <v>#N/A</v>
      </c>
      <c r="D508" t="e">
        <f ca="1"/>
        <v>#N/A</v>
      </c>
      <c r="E508" t="e">
        <f ca="1"/>
        <v>#N/A</v>
      </c>
      <c r="F508" t="e">
        <f ca="1"/>
        <v>#N/A</v>
      </c>
      <c r="G508" t="e">
        <f ca="1"/>
        <v>#N/A</v>
      </c>
      <c r="H508" t="e">
        <f ca="1"/>
        <v>#N/A</v>
      </c>
      <c r="I508" t="e">
        <f ca="1"/>
        <v>#N/A</v>
      </c>
      <c r="J508" t="e">
        <f ca="1"/>
        <v>#N/A</v>
      </c>
      <c r="K508" t="e">
        <f ca="1"/>
        <v>#N/A</v>
      </c>
    </row>
    <row r="509" spans="1:11" x14ac:dyDescent="0.25">
      <c r="A509" s="2" t="e">
        <f ca="1"/>
        <v>#N/A</v>
      </c>
      <c r="C509" t="e">
        <f ca="1"/>
        <v>#N/A</v>
      </c>
      <c r="D509" t="e">
        <f ca="1"/>
        <v>#N/A</v>
      </c>
      <c r="E509" t="e">
        <f ca="1"/>
        <v>#N/A</v>
      </c>
      <c r="F509" t="e">
        <f ca="1"/>
        <v>#N/A</v>
      </c>
      <c r="G509" t="e">
        <f ca="1"/>
        <v>#N/A</v>
      </c>
      <c r="H509" t="e">
        <f ca="1"/>
        <v>#N/A</v>
      </c>
      <c r="I509" t="e">
        <f ca="1"/>
        <v>#N/A</v>
      </c>
      <c r="J509" t="e">
        <f ca="1"/>
        <v>#N/A</v>
      </c>
      <c r="K509" t="e">
        <f ca="1"/>
        <v>#N/A</v>
      </c>
    </row>
    <row r="510" spans="1:11" x14ac:dyDescent="0.25">
      <c r="A510" s="2" t="e">
        <f ca="1"/>
        <v>#N/A</v>
      </c>
      <c r="C510" t="e">
        <f ca="1"/>
        <v>#N/A</v>
      </c>
      <c r="D510" t="e">
        <f ca="1"/>
        <v>#N/A</v>
      </c>
      <c r="E510" t="e">
        <f ca="1"/>
        <v>#N/A</v>
      </c>
      <c r="F510" t="e">
        <f ca="1"/>
        <v>#N/A</v>
      </c>
      <c r="G510" t="e">
        <f ca="1"/>
        <v>#N/A</v>
      </c>
      <c r="H510" t="e">
        <f ca="1"/>
        <v>#N/A</v>
      </c>
      <c r="I510" t="e">
        <f ca="1"/>
        <v>#N/A</v>
      </c>
      <c r="J510" t="e">
        <f ca="1"/>
        <v>#N/A</v>
      </c>
      <c r="K510" t="e">
        <f ca="1"/>
        <v>#N/A</v>
      </c>
    </row>
    <row r="511" spans="1:11" x14ac:dyDescent="0.25">
      <c r="A511" s="2" t="e">
        <f ca="1"/>
        <v>#N/A</v>
      </c>
      <c r="C511" t="e">
        <f ca="1"/>
        <v>#N/A</v>
      </c>
      <c r="D511" t="e">
        <f ca="1"/>
        <v>#N/A</v>
      </c>
      <c r="E511" t="e">
        <f ca="1"/>
        <v>#N/A</v>
      </c>
      <c r="F511" t="e">
        <f ca="1"/>
        <v>#N/A</v>
      </c>
      <c r="G511" t="e">
        <f ca="1"/>
        <v>#N/A</v>
      </c>
      <c r="H511" t="e">
        <f ca="1"/>
        <v>#N/A</v>
      </c>
      <c r="I511" t="e">
        <f ca="1"/>
        <v>#N/A</v>
      </c>
      <c r="J511" t="e">
        <f ca="1"/>
        <v>#N/A</v>
      </c>
      <c r="K511" t="e">
        <f ca="1"/>
        <v>#N/A</v>
      </c>
    </row>
    <row r="512" spans="1:11" x14ac:dyDescent="0.25">
      <c r="A512" s="2" t="e">
        <f ca="1"/>
        <v>#N/A</v>
      </c>
      <c r="C512" t="e">
        <f ca="1"/>
        <v>#N/A</v>
      </c>
      <c r="D512" t="e">
        <f ca="1"/>
        <v>#N/A</v>
      </c>
      <c r="E512" t="e">
        <f ca="1"/>
        <v>#N/A</v>
      </c>
      <c r="F512" t="e">
        <f ca="1"/>
        <v>#N/A</v>
      </c>
      <c r="G512" t="e">
        <f ca="1"/>
        <v>#N/A</v>
      </c>
      <c r="H512" t="e">
        <f ca="1"/>
        <v>#N/A</v>
      </c>
      <c r="I512" t="e">
        <f ca="1"/>
        <v>#N/A</v>
      </c>
      <c r="J512" t="e">
        <f ca="1"/>
        <v>#N/A</v>
      </c>
      <c r="K512" t="e">
        <f ca="1"/>
        <v>#N/A</v>
      </c>
    </row>
    <row r="513" spans="1:11" x14ac:dyDescent="0.25">
      <c r="A513" s="2" t="e">
        <f ca="1"/>
        <v>#N/A</v>
      </c>
      <c r="C513" t="e">
        <f ca="1"/>
        <v>#N/A</v>
      </c>
      <c r="D513" t="e">
        <f ca="1"/>
        <v>#N/A</v>
      </c>
      <c r="E513" t="e">
        <f ca="1"/>
        <v>#N/A</v>
      </c>
      <c r="F513" t="e">
        <f ca="1"/>
        <v>#N/A</v>
      </c>
      <c r="G513" t="e">
        <f ca="1"/>
        <v>#N/A</v>
      </c>
      <c r="H513" t="e">
        <f ca="1"/>
        <v>#N/A</v>
      </c>
      <c r="I513" t="e">
        <f ca="1"/>
        <v>#N/A</v>
      </c>
      <c r="J513" t="e">
        <f ca="1"/>
        <v>#N/A</v>
      </c>
      <c r="K513" t="e">
        <f ca="1"/>
        <v>#N/A</v>
      </c>
    </row>
    <row r="514" spans="1:11" x14ac:dyDescent="0.25">
      <c r="A514" s="2" t="e">
        <f ca="1"/>
        <v>#N/A</v>
      </c>
      <c r="C514" t="e">
        <f ca="1"/>
        <v>#N/A</v>
      </c>
      <c r="D514" t="e">
        <f ca="1"/>
        <v>#N/A</v>
      </c>
      <c r="E514" t="e">
        <f ca="1"/>
        <v>#N/A</v>
      </c>
      <c r="F514" t="e">
        <f ca="1"/>
        <v>#N/A</v>
      </c>
      <c r="G514" t="e">
        <f ca="1"/>
        <v>#N/A</v>
      </c>
      <c r="H514" t="e">
        <f ca="1"/>
        <v>#N/A</v>
      </c>
      <c r="I514" t="e">
        <f ca="1"/>
        <v>#N/A</v>
      </c>
      <c r="J514" t="e">
        <f ca="1"/>
        <v>#N/A</v>
      </c>
      <c r="K514" t="e">
        <f ca="1"/>
        <v>#N/A</v>
      </c>
    </row>
    <row r="515" spans="1:11" x14ac:dyDescent="0.25">
      <c r="A515" s="2" t="e">
        <f ca="1"/>
        <v>#N/A</v>
      </c>
      <c r="C515" t="e">
        <f ca="1"/>
        <v>#N/A</v>
      </c>
      <c r="D515" t="e">
        <f ca="1"/>
        <v>#N/A</v>
      </c>
      <c r="E515" t="e">
        <f ca="1"/>
        <v>#N/A</v>
      </c>
      <c r="F515" t="e">
        <f ca="1"/>
        <v>#N/A</v>
      </c>
      <c r="G515" t="e">
        <f ca="1"/>
        <v>#N/A</v>
      </c>
      <c r="H515" t="e">
        <f ca="1"/>
        <v>#N/A</v>
      </c>
      <c r="I515" t="e">
        <f ca="1"/>
        <v>#N/A</v>
      </c>
      <c r="J515" t="e">
        <f ca="1"/>
        <v>#N/A</v>
      </c>
      <c r="K515" t="e">
        <f ca="1"/>
        <v>#N/A</v>
      </c>
    </row>
    <row r="516" spans="1:11" x14ac:dyDescent="0.25">
      <c r="A516" s="2" t="e">
        <f ca="1"/>
        <v>#N/A</v>
      </c>
      <c r="C516" t="e">
        <f ca="1"/>
        <v>#N/A</v>
      </c>
      <c r="D516" t="e">
        <f ca="1"/>
        <v>#N/A</v>
      </c>
      <c r="E516" t="e">
        <f ca="1"/>
        <v>#N/A</v>
      </c>
      <c r="F516" t="e">
        <f ca="1"/>
        <v>#N/A</v>
      </c>
      <c r="G516" t="e">
        <f ca="1"/>
        <v>#N/A</v>
      </c>
      <c r="H516" t="e">
        <f ca="1"/>
        <v>#N/A</v>
      </c>
      <c r="I516" t="e">
        <f ca="1"/>
        <v>#N/A</v>
      </c>
      <c r="J516" t="e">
        <f ca="1"/>
        <v>#N/A</v>
      </c>
      <c r="K516" t="e">
        <f ca="1"/>
        <v>#N/A</v>
      </c>
    </row>
    <row r="517" spans="1:11" x14ac:dyDescent="0.25">
      <c r="A517" s="2" t="e">
        <f ca="1"/>
        <v>#N/A</v>
      </c>
      <c r="C517" t="e">
        <f ca="1"/>
        <v>#N/A</v>
      </c>
      <c r="D517" t="e">
        <f ca="1"/>
        <v>#N/A</v>
      </c>
      <c r="E517" t="e">
        <f ca="1"/>
        <v>#N/A</v>
      </c>
      <c r="F517" t="e">
        <f ca="1"/>
        <v>#N/A</v>
      </c>
      <c r="G517" t="e">
        <f ca="1"/>
        <v>#N/A</v>
      </c>
      <c r="H517" t="e">
        <f ca="1"/>
        <v>#N/A</v>
      </c>
      <c r="I517" t="e">
        <f ca="1"/>
        <v>#N/A</v>
      </c>
      <c r="J517" t="e">
        <f ca="1"/>
        <v>#N/A</v>
      </c>
      <c r="K517" t="e">
        <f ca="1"/>
        <v>#N/A</v>
      </c>
    </row>
    <row r="518" spans="1:11" x14ac:dyDescent="0.25">
      <c r="A518" s="2" t="e">
        <f ca="1"/>
        <v>#N/A</v>
      </c>
      <c r="C518" t="e">
        <f ca="1"/>
        <v>#N/A</v>
      </c>
      <c r="D518" t="e">
        <f ca="1"/>
        <v>#N/A</v>
      </c>
      <c r="E518" t="e">
        <f ca="1"/>
        <v>#N/A</v>
      </c>
      <c r="F518" t="e">
        <f ca="1"/>
        <v>#N/A</v>
      </c>
      <c r="G518" t="e">
        <f ca="1"/>
        <v>#N/A</v>
      </c>
      <c r="H518" t="e">
        <f ca="1"/>
        <v>#N/A</v>
      </c>
      <c r="I518" t="e">
        <f ca="1"/>
        <v>#N/A</v>
      </c>
      <c r="J518" t="e">
        <f ca="1"/>
        <v>#N/A</v>
      </c>
      <c r="K518" t="e">
        <f ca="1"/>
        <v>#N/A</v>
      </c>
    </row>
    <row r="519" spans="1:11" x14ac:dyDescent="0.25">
      <c r="A519" s="2" t="e">
        <f ca="1"/>
        <v>#N/A</v>
      </c>
      <c r="C519" t="e">
        <f ca="1"/>
        <v>#N/A</v>
      </c>
      <c r="D519" t="e">
        <f ca="1"/>
        <v>#N/A</v>
      </c>
      <c r="E519" t="e">
        <f ca="1"/>
        <v>#N/A</v>
      </c>
      <c r="F519" t="e">
        <f ca="1"/>
        <v>#N/A</v>
      </c>
      <c r="G519" t="e">
        <f ca="1"/>
        <v>#N/A</v>
      </c>
      <c r="H519" t="e">
        <f ca="1"/>
        <v>#N/A</v>
      </c>
      <c r="I519" t="e">
        <f ca="1"/>
        <v>#N/A</v>
      </c>
      <c r="J519" t="e">
        <f ca="1"/>
        <v>#N/A</v>
      </c>
      <c r="K519" t="e">
        <f ca="1"/>
        <v>#N/A</v>
      </c>
    </row>
    <row r="520" spans="1:11" x14ac:dyDescent="0.25">
      <c r="A520" s="2" t="e">
        <f ca="1"/>
        <v>#N/A</v>
      </c>
      <c r="C520" t="e">
        <f ca="1"/>
        <v>#N/A</v>
      </c>
      <c r="D520" t="e">
        <f ca="1"/>
        <v>#N/A</v>
      </c>
      <c r="E520" t="e">
        <f ca="1"/>
        <v>#N/A</v>
      </c>
      <c r="F520" t="e">
        <f ca="1"/>
        <v>#N/A</v>
      </c>
      <c r="G520" t="e">
        <f ca="1"/>
        <v>#N/A</v>
      </c>
      <c r="H520" t="e">
        <f ca="1"/>
        <v>#N/A</v>
      </c>
      <c r="I520" t="e">
        <f ca="1"/>
        <v>#N/A</v>
      </c>
      <c r="J520" t="e">
        <f ca="1"/>
        <v>#N/A</v>
      </c>
      <c r="K520" t="e">
        <f ca="1"/>
        <v>#N/A</v>
      </c>
    </row>
    <row r="521" spans="1:11" x14ac:dyDescent="0.25">
      <c r="A521" s="2" t="e">
        <f ca="1"/>
        <v>#N/A</v>
      </c>
      <c r="C521" t="e">
        <f ca="1"/>
        <v>#N/A</v>
      </c>
      <c r="D521" t="e">
        <f ca="1"/>
        <v>#N/A</v>
      </c>
      <c r="E521" t="e">
        <f ca="1"/>
        <v>#N/A</v>
      </c>
      <c r="F521" t="e">
        <f ca="1"/>
        <v>#N/A</v>
      </c>
      <c r="G521" t="e">
        <f ca="1"/>
        <v>#N/A</v>
      </c>
      <c r="H521" t="e">
        <f ca="1"/>
        <v>#N/A</v>
      </c>
      <c r="I521" t="e">
        <f ca="1"/>
        <v>#N/A</v>
      </c>
      <c r="J521" t="e">
        <f ca="1"/>
        <v>#N/A</v>
      </c>
      <c r="K521" t="e">
        <f ca="1"/>
        <v>#N/A</v>
      </c>
    </row>
    <row r="522" spans="1:11" x14ac:dyDescent="0.25">
      <c r="A522" s="2" t="e">
        <f ca="1"/>
        <v>#N/A</v>
      </c>
      <c r="C522" t="e">
        <f ca="1"/>
        <v>#N/A</v>
      </c>
      <c r="D522" t="e">
        <f ca="1"/>
        <v>#N/A</v>
      </c>
      <c r="E522" t="e">
        <f ca="1"/>
        <v>#N/A</v>
      </c>
      <c r="F522" t="e">
        <f ca="1"/>
        <v>#N/A</v>
      </c>
      <c r="G522" t="e">
        <f ca="1"/>
        <v>#N/A</v>
      </c>
      <c r="H522" t="e">
        <f ca="1"/>
        <v>#N/A</v>
      </c>
      <c r="I522" t="e">
        <f ca="1"/>
        <v>#N/A</v>
      </c>
      <c r="J522" t="e">
        <f ca="1"/>
        <v>#N/A</v>
      </c>
      <c r="K522" t="e">
        <f ca="1"/>
        <v>#N/A</v>
      </c>
    </row>
    <row r="523" spans="1:11" x14ac:dyDescent="0.25">
      <c r="A523" s="2" t="e">
        <f ca="1"/>
        <v>#N/A</v>
      </c>
      <c r="C523" t="e">
        <f ca="1"/>
        <v>#N/A</v>
      </c>
      <c r="D523" t="e">
        <f ca="1"/>
        <v>#N/A</v>
      </c>
      <c r="E523" t="e">
        <f ca="1"/>
        <v>#N/A</v>
      </c>
      <c r="F523" t="e">
        <f ca="1"/>
        <v>#N/A</v>
      </c>
      <c r="G523" t="e">
        <f ca="1"/>
        <v>#N/A</v>
      </c>
      <c r="H523" t="e">
        <f ca="1"/>
        <v>#N/A</v>
      </c>
      <c r="I523" t="e">
        <f ca="1"/>
        <v>#N/A</v>
      </c>
      <c r="J523" t="e">
        <f ca="1"/>
        <v>#N/A</v>
      </c>
      <c r="K523" t="e">
        <f ca="1"/>
        <v>#N/A</v>
      </c>
    </row>
    <row r="524" spans="1:11" x14ac:dyDescent="0.25">
      <c r="A524" s="2" t="e">
        <f ca="1"/>
        <v>#N/A</v>
      </c>
      <c r="C524" t="e">
        <f ca="1"/>
        <v>#N/A</v>
      </c>
      <c r="D524" t="e">
        <f ca="1"/>
        <v>#N/A</v>
      </c>
      <c r="E524" t="e">
        <f ca="1"/>
        <v>#N/A</v>
      </c>
      <c r="F524" t="e">
        <f ca="1"/>
        <v>#N/A</v>
      </c>
      <c r="G524" t="e">
        <f ca="1"/>
        <v>#N/A</v>
      </c>
      <c r="H524" t="e">
        <f ca="1"/>
        <v>#N/A</v>
      </c>
      <c r="I524" t="e">
        <f ca="1"/>
        <v>#N/A</v>
      </c>
      <c r="J524" t="e">
        <f ca="1"/>
        <v>#N/A</v>
      </c>
      <c r="K524" t="e">
        <f ca="1"/>
        <v>#N/A</v>
      </c>
    </row>
    <row r="525" spans="1:11" x14ac:dyDescent="0.25">
      <c r="A525" s="2" t="e">
        <f ca="1"/>
        <v>#N/A</v>
      </c>
      <c r="C525" t="e">
        <f ca="1"/>
        <v>#N/A</v>
      </c>
      <c r="D525" t="e">
        <f ca="1"/>
        <v>#N/A</v>
      </c>
      <c r="E525" t="e">
        <f ca="1"/>
        <v>#N/A</v>
      </c>
      <c r="F525" t="e">
        <f ca="1"/>
        <v>#N/A</v>
      </c>
      <c r="G525" t="e">
        <f ca="1"/>
        <v>#N/A</v>
      </c>
      <c r="H525" t="e">
        <f ca="1"/>
        <v>#N/A</v>
      </c>
      <c r="I525" t="e">
        <f ca="1"/>
        <v>#N/A</v>
      </c>
      <c r="J525" t="e">
        <f ca="1"/>
        <v>#N/A</v>
      </c>
      <c r="K525" t="e">
        <f ca="1"/>
        <v>#N/A</v>
      </c>
    </row>
    <row r="526" spans="1:11" x14ac:dyDescent="0.25">
      <c r="A526" s="2" t="e">
        <f ca="1"/>
        <v>#N/A</v>
      </c>
      <c r="C526" t="e">
        <f ca="1"/>
        <v>#N/A</v>
      </c>
      <c r="D526" t="e">
        <f ca="1"/>
        <v>#N/A</v>
      </c>
      <c r="E526" t="e">
        <f ca="1"/>
        <v>#N/A</v>
      </c>
      <c r="F526" t="e">
        <f ca="1"/>
        <v>#N/A</v>
      </c>
      <c r="G526" t="e">
        <f ca="1"/>
        <v>#N/A</v>
      </c>
      <c r="H526" t="e">
        <f ca="1"/>
        <v>#N/A</v>
      </c>
      <c r="I526" t="e">
        <f ca="1"/>
        <v>#N/A</v>
      </c>
      <c r="J526" t="e">
        <f ca="1"/>
        <v>#N/A</v>
      </c>
      <c r="K526" t="e">
        <f ca="1"/>
        <v>#N/A</v>
      </c>
    </row>
    <row r="527" spans="1:11" x14ac:dyDescent="0.25">
      <c r="A527" s="2" t="e">
        <f ca="1"/>
        <v>#N/A</v>
      </c>
      <c r="C527" t="e">
        <f ca="1"/>
        <v>#N/A</v>
      </c>
      <c r="D527" t="e">
        <f ca="1"/>
        <v>#N/A</v>
      </c>
      <c r="E527" t="e">
        <f ca="1"/>
        <v>#N/A</v>
      </c>
      <c r="F527" t="e">
        <f ca="1"/>
        <v>#N/A</v>
      </c>
      <c r="G527" t="e">
        <f ca="1"/>
        <v>#N/A</v>
      </c>
      <c r="H527" t="e">
        <f ca="1"/>
        <v>#N/A</v>
      </c>
      <c r="I527" t="e">
        <f ca="1"/>
        <v>#N/A</v>
      </c>
      <c r="J527" t="e">
        <f ca="1"/>
        <v>#N/A</v>
      </c>
      <c r="K527" t="e">
        <f ca="1"/>
        <v>#N/A</v>
      </c>
    </row>
    <row r="528" spans="1:11" x14ac:dyDescent="0.25">
      <c r="A528" s="2" t="e">
        <f ca="1"/>
        <v>#N/A</v>
      </c>
      <c r="C528" t="e">
        <f ca="1"/>
        <v>#N/A</v>
      </c>
      <c r="D528" t="e">
        <f ca="1"/>
        <v>#N/A</v>
      </c>
      <c r="E528" t="e">
        <f ca="1"/>
        <v>#N/A</v>
      </c>
      <c r="F528" t="e">
        <f ca="1"/>
        <v>#N/A</v>
      </c>
      <c r="G528" t="e">
        <f ca="1"/>
        <v>#N/A</v>
      </c>
      <c r="H528" t="e">
        <f ca="1"/>
        <v>#N/A</v>
      </c>
      <c r="I528" t="e">
        <f ca="1"/>
        <v>#N/A</v>
      </c>
      <c r="J528" t="e">
        <f ca="1"/>
        <v>#N/A</v>
      </c>
      <c r="K528" t="e">
        <f ca="1"/>
        <v>#N/A</v>
      </c>
    </row>
    <row r="529" spans="1:11" x14ac:dyDescent="0.25">
      <c r="A529" s="2" t="e">
        <f ca="1"/>
        <v>#N/A</v>
      </c>
      <c r="C529" t="e">
        <f ca="1"/>
        <v>#N/A</v>
      </c>
      <c r="D529" t="e">
        <f ca="1"/>
        <v>#N/A</v>
      </c>
      <c r="E529" t="e">
        <f ca="1"/>
        <v>#N/A</v>
      </c>
      <c r="F529" t="e">
        <f ca="1"/>
        <v>#N/A</v>
      </c>
      <c r="G529" t="e">
        <f ca="1"/>
        <v>#N/A</v>
      </c>
      <c r="H529" t="e">
        <f ca="1"/>
        <v>#N/A</v>
      </c>
      <c r="I529" t="e">
        <f ca="1"/>
        <v>#N/A</v>
      </c>
      <c r="J529" t="e">
        <f ca="1"/>
        <v>#N/A</v>
      </c>
      <c r="K529" t="e">
        <f ca="1"/>
        <v>#N/A</v>
      </c>
    </row>
    <row r="530" spans="1:11" x14ac:dyDescent="0.25">
      <c r="A530" s="2" t="e">
        <f ca="1"/>
        <v>#N/A</v>
      </c>
      <c r="C530" t="e">
        <f ca="1"/>
        <v>#N/A</v>
      </c>
      <c r="D530" t="e">
        <f ca="1"/>
        <v>#N/A</v>
      </c>
      <c r="E530" t="e">
        <f ca="1"/>
        <v>#N/A</v>
      </c>
      <c r="F530" t="e">
        <f ca="1"/>
        <v>#N/A</v>
      </c>
      <c r="G530" t="e">
        <f ca="1"/>
        <v>#N/A</v>
      </c>
      <c r="H530" t="e">
        <f ca="1"/>
        <v>#N/A</v>
      </c>
      <c r="I530" t="e">
        <f ca="1"/>
        <v>#N/A</v>
      </c>
      <c r="J530" t="e">
        <f ca="1"/>
        <v>#N/A</v>
      </c>
      <c r="K530" t="e">
        <f ca="1"/>
        <v>#N/A</v>
      </c>
    </row>
    <row r="531" spans="1:11" x14ac:dyDescent="0.25">
      <c r="A531" s="2" t="e">
        <f ca="1"/>
        <v>#N/A</v>
      </c>
      <c r="C531" t="e">
        <f ca="1"/>
        <v>#N/A</v>
      </c>
      <c r="D531" t="e">
        <f ca="1"/>
        <v>#N/A</v>
      </c>
      <c r="E531" t="e">
        <f ca="1"/>
        <v>#N/A</v>
      </c>
      <c r="F531" t="e">
        <f ca="1"/>
        <v>#N/A</v>
      </c>
      <c r="G531" t="e">
        <f ca="1"/>
        <v>#N/A</v>
      </c>
      <c r="H531" t="e">
        <f ca="1"/>
        <v>#N/A</v>
      </c>
      <c r="I531" t="e">
        <f ca="1"/>
        <v>#N/A</v>
      </c>
      <c r="J531" t="e">
        <f ca="1"/>
        <v>#N/A</v>
      </c>
      <c r="K531" t="e">
        <f ca="1"/>
        <v>#N/A</v>
      </c>
    </row>
    <row r="532" spans="1:11" x14ac:dyDescent="0.25">
      <c r="A532" s="2" t="e">
        <f ca="1"/>
        <v>#N/A</v>
      </c>
      <c r="C532" t="e">
        <f ca="1"/>
        <v>#N/A</v>
      </c>
      <c r="D532" t="e">
        <f ca="1"/>
        <v>#N/A</v>
      </c>
      <c r="E532" t="e">
        <f ca="1"/>
        <v>#N/A</v>
      </c>
      <c r="F532" t="e">
        <f ca="1"/>
        <v>#N/A</v>
      </c>
      <c r="G532" t="e">
        <f ca="1"/>
        <v>#N/A</v>
      </c>
      <c r="H532" t="e">
        <f ca="1"/>
        <v>#N/A</v>
      </c>
      <c r="I532" t="e">
        <f ca="1"/>
        <v>#N/A</v>
      </c>
      <c r="J532" t="e">
        <f ca="1"/>
        <v>#N/A</v>
      </c>
      <c r="K532" t="e">
        <f ca="1"/>
        <v>#N/A</v>
      </c>
    </row>
    <row r="533" spans="1:11" x14ac:dyDescent="0.25">
      <c r="A533" s="2" t="e">
        <f ca="1"/>
        <v>#N/A</v>
      </c>
      <c r="C533" t="e">
        <f ca="1"/>
        <v>#N/A</v>
      </c>
      <c r="D533" t="e">
        <f ca="1"/>
        <v>#N/A</v>
      </c>
      <c r="E533" t="e">
        <f ca="1"/>
        <v>#N/A</v>
      </c>
      <c r="F533" t="e">
        <f ca="1"/>
        <v>#N/A</v>
      </c>
      <c r="G533" t="e">
        <f ca="1"/>
        <v>#N/A</v>
      </c>
      <c r="H533" t="e">
        <f ca="1"/>
        <v>#N/A</v>
      </c>
      <c r="I533" t="e">
        <f ca="1"/>
        <v>#N/A</v>
      </c>
      <c r="J533" t="e">
        <f ca="1"/>
        <v>#N/A</v>
      </c>
      <c r="K533" t="e">
        <f ca="1"/>
        <v>#N/A</v>
      </c>
    </row>
    <row r="534" spans="1:11" x14ac:dyDescent="0.25">
      <c r="A534" s="2" t="e">
        <f ca="1"/>
        <v>#N/A</v>
      </c>
      <c r="C534" t="e">
        <f ca="1"/>
        <v>#N/A</v>
      </c>
      <c r="D534" t="e">
        <f ca="1"/>
        <v>#N/A</v>
      </c>
      <c r="E534" t="e">
        <f ca="1"/>
        <v>#N/A</v>
      </c>
      <c r="F534" t="e">
        <f ca="1"/>
        <v>#N/A</v>
      </c>
      <c r="G534" t="e">
        <f ca="1"/>
        <v>#N/A</v>
      </c>
      <c r="H534" t="e">
        <f ca="1"/>
        <v>#N/A</v>
      </c>
      <c r="I534" t="e">
        <f ca="1"/>
        <v>#N/A</v>
      </c>
      <c r="J534" t="e">
        <f ca="1"/>
        <v>#N/A</v>
      </c>
      <c r="K534" t="e">
        <f ca="1"/>
        <v>#N/A</v>
      </c>
    </row>
    <row r="535" spans="1:11" x14ac:dyDescent="0.25">
      <c r="A535" s="2" t="e">
        <f ca="1"/>
        <v>#N/A</v>
      </c>
      <c r="C535" t="e">
        <f ca="1"/>
        <v>#N/A</v>
      </c>
      <c r="D535" t="e">
        <f ca="1"/>
        <v>#N/A</v>
      </c>
      <c r="E535" t="e">
        <f ca="1"/>
        <v>#N/A</v>
      </c>
      <c r="F535" t="e">
        <f ca="1"/>
        <v>#N/A</v>
      </c>
      <c r="G535" t="e">
        <f ca="1"/>
        <v>#N/A</v>
      </c>
      <c r="H535" t="e">
        <f ca="1"/>
        <v>#N/A</v>
      </c>
      <c r="I535" t="e">
        <f ca="1"/>
        <v>#N/A</v>
      </c>
      <c r="J535" t="e">
        <f ca="1"/>
        <v>#N/A</v>
      </c>
      <c r="K535" t="e">
        <f ca="1"/>
        <v>#N/A</v>
      </c>
    </row>
    <row r="536" spans="1:11" x14ac:dyDescent="0.25">
      <c r="A536" s="2" t="e">
        <f ca="1"/>
        <v>#N/A</v>
      </c>
      <c r="C536" t="e">
        <f ca="1"/>
        <v>#N/A</v>
      </c>
      <c r="D536" t="e">
        <f ca="1"/>
        <v>#N/A</v>
      </c>
      <c r="E536" t="e">
        <f ca="1"/>
        <v>#N/A</v>
      </c>
      <c r="F536" t="e">
        <f ca="1"/>
        <v>#N/A</v>
      </c>
      <c r="G536" t="e">
        <f ca="1"/>
        <v>#N/A</v>
      </c>
      <c r="H536" t="e">
        <f ca="1"/>
        <v>#N/A</v>
      </c>
      <c r="I536" t="e">
        <f ca="1"/>
        <v>#N/A</v>
      </c>
      <c r="J536" t="e">
        <f ca="1"/>
        <v>#N/A</v>
      </c>
      <c r="K536" t="e">
        <f ca="1"/>
        <v>#N/A</v>
      </c>
    </row>
    <row r="537" spans="1:11" x14ac:dyDescent="0.25">
      <c r="A537" s="2" t="e">
        <f ca="1"/>
        <v>#N/A</v>
      </c>
      <c r="C537" t="e">
        <f ca="1"/>
        <v>#N/A</v>
      </c>
      <c r="D537" t="e">
        <f ca="1"/>
        <v>#N/A</v>
      </c>
      <c r="E537" t="e">
        <f ca="1"/>
        <v>#N/A</v>
      </c>
      <c r="F537" t="e">
        <f ca="1"/>
        <v>#N/A</v>
      </c>
      <c r="G537" t="e">
        <f ca="1"/>
        <v>#N/A</v>
      </c>
      <c r="H537" t="e">
        <f ca="1"/>
        <v>#N/A</v>
      </c>
      <c r="I537" t="e">
        <f ca="1"/>
        <v>#N/A</v>
      </c>
      <c r="J537" t="e">
        <f ca="1"/>
        <v>#N/A</v>
      </c>
      <c r="K537" t="e">
        <f ca="1"/>
        <v>#N/A</v>
      </c>
    </row>
    <row r="538" spans="1:11" x14ac:dyDescent="0.25">
      <c r="A538" s="2" t="e">
        <f ca="1"/>
        <v>#N/A</v>
      </c>
      <c r="C538" t="e">
        <f ca="1"/>
        <v>#N/A</v>
      </c>
      <c r="D538" t="e">
        <f ca="1"/>
        <v>#N/A</v>
      </c>
      <c r="E538" t="e">
        <f ca="1"/>
        <v>#N/A</v>
      </c>
      <c r="F538" t="e">
        <f ca="1"/>
        <v>#N/A</v>
      </c>
      <c r="G538" t="e">
        <f ca="1"/>
        <v>#N/A</v>
      </c>
      <c r="H538" t="e">
        <f ca="1"/>
        <v>#N/A</v>
      </c>
      <c r="I538" t="e">
        <f ca="1"/>
        <v>#N/A</v>
      </c>
      <c r="J538" t="e">
        <f ca="1"/>
        <v>#N/A</v>
      </c>
      <c r="K538" t="e">
        <f ca="1"/>
        <v>#N/A</v>
      </c>
    </row>
    <row r="539" spans="1:11" x14ac:dyDescent="0.25">
      <c r="A539" s="2" t="e">
        <f ca="1"/>
        <v>#N/A</v>
      </c>
      <c r="C539" t="e">
        <f ca="1"/>
        <v>#N/A</v>
      </c>
      <c r="D539" t="e">
        <f ca="1"/>
        <v>#N/A</v>
      </c>
      <c r="E539" t="e">
        <f ca="1"/>
        <v>#N/A</v>
      </c>
      <c r="F539" t="e">
        <f ca="1"/>
        <v>#N/A</v>
      </c>
      <c r="G539" t="e">
        <f ca="1"/>
        <v>#N/A</v>
      </c>
      <c r="H539" t="e">
        <f ca="1"/>
        <v>#N/A</v>
      </c>
      <c r="I539" t="e">
        <f ca="1"/>
        <v>#N/A</v>
      </c>
      <c r="J539" t="e">
        <f ca="1"/>
        <v>#N/A</v>
      </c>
      <c r="K539" t="e">
        <f ca="1"/>
        <v>#N/A</v>
      </c>
    </row>
    <row r="540" spans="1:11" x14ac:dyDescent="0.25">
      <c r="A540" s="2" t="e">
        <f ca="1"/>
        <v>#N/A</v>
      </c>
      <c r="C540" t="e">
        <f ca="1"/>
        <v>#N/A</v>
      </c>
      <c r="D540" t="e">
        <f ca="1"/>
        <v>#N/A</v>
      </c>
      <c r="E540" t="e">
        <f ca="1"/>
        <v>#N/A</v>
      </c>
      <c r="F540" t="e">
        <f ca="1"/>
        <v>#N/A</v>
      </c>
      <c r="G540" t="e">
        <f ca="1"/>
        <v>#N/A</v>
      </c>
      <c r="H540" t="e">
        <f ca="1"/>
        <v>#N/A</v>
      </c>
      <c r="I540" t="e">
        <f ca="1"/>
        <v>#N/A</v>
      </c>
      <c r="J540" t="e">
        <f ca="1"/>
        <v>#N/A</v>
      </c>
      <c r="K540" t="e">
        <f ca="1"/>
        <v>#N/A</v>
      </c>
    </row>
    <row r="541" spans="1:11" x14ac:dyDescent="0.25">
      <c r="A541" s="2" t="e">
        <f ca="1"/>
        <v>#N/A</v>
      </c>
      <c r="C541" t="e">
        <f ca="1"/>
        <v>#N/A</v>
      </c>
      <c r="D541" t="e">
        <f ca="1"/>
        <v>#N/A</v>
      </c>
      <c r="E541" t="e">
        <f ca="1"/>
        <v>#N/A</v>
      </c>
      <c r="F541" t="e">
        <f ca="1"/>
        <v>#N/A</v>
      </c>
      <c r="G541" t="e">
        <f ca="1"/>
        <v>#N/A</v>
      </c>
      <c r="H541" t="e">
        <f ca="1"/>
        <v>#N/A</v>
      </c>
      <c r="I541" t="e">
        <f ca="1"/>
        <v>#N/A</v>
      </c>
      <c r="J541" t="e">
        <f ca="1"/>
        <v>#N/A</v>
      </c>
      <c r="K541" t="e">
        <f ca="1"/>
        <v>#N/A</v>
      </c>
    </row>
    <row r="542" spans="1:11" x14ac:dyDescent="0.25">
      <c r="A542" s="2" t="e">
        <f ca="1"/>
        <v>#N/A</v>
      </c>
      <c r="C542" t="e">
        <f ca="1"/>
        <v>#N/A</v>
      </c>
      <c r="D542" t="e">
        <f ca="1"/>
        <v>#N/A</v>
      </c>
      <c r="E542" t="e">
        <f ca="1"/>
        <v>#N/A</v>
      </c>
      <c r="F542" t="e">
        <f ca="1"/>
        <v>#N/A</v>
      </c>
      <c r="G542" t="e">
        <f ca="1"/>
        <v>#N/A</v>
      </c>
      <c r="H542" t="e">
        <f ca="1"/>
        <v>#N/A</v>
      </c>
      <c r="I542" t="e">
        <f ca="1"/>
        <v>#N/A</v>
      </c>
      <c r="J542" t="e">
        <f ca="1"/>
        <v>#N/A</v>
      </c>
      <c r="K542" t="e">
        <f ca="1"/>
        <v>#N/A</v>
      </c>
    </row>
    <row r="543" spans="1:11" x14ac:dyDescent="0.25">
      <c r="A543" s="2" t="e">
        <f ca="1"/>
        <v>#N/A</v>
      </c>
      <c r="C543" t="e">
        <f ca="1"/>
        <v>#N/A</v>
      </c>
      <c r="D543" t="e">
        <f ca="1"/>
        <v>#N/A</v>
      </c>
      <c r="E543" t="e">
        <f ca="1"/>
        <v>#N/A</v>
      </c>
      <c r="F543" t="e">
        <f ca="1"/>
        <v>#N/A</v>
      </c>
      <c r="G543" t="e">
        <f ca="1"/>
        <v>#N/A</v>
      </c>
      <c r="H543" t="e">
        <f ca="1"/>
        <v>#N/A</v>
      </c>
      <c r="I543" t="e">
        <f ca="1"/>
        <v>#N/A</v>
      </c>
      <c r="J543" t="e">
        <f ca="1"/>
        <v>#N/A</v>
      </c>
      <c r="K543" t="e">
        <f ca="1"/>
        <v>#N/A</v>
      </c>
    </row>
    <row r="544" spans="1:11" x14ac:dyDescent="0.25">
      <c r="A544" s="2" t="e">
        <f ca="1"/>
        <v>#N/A</v>
      </c>
      <c r="C544" t="e">
        <f ca="1"/>
        <v>#N/A</v>
      </c>
      <c r="D544" t="e">
        <f ca="1"/>
        <v>#N/A</v>
      </c>
      <c r="E544" t="e">
        <f ca="1"/>
        <v>#N/A</v>
      </c>
      <c r="F544" t="e">
        <f ca="1"/>
        <v>#N/A</v>
      </c>
      <c r="G544" t="e">
        <f ca="1"/>
        <v>#N/A</v>
      </c>
      <c r="H544" t="e">
        <f ca="1"/>
        <v>#N/A</v>
      </c>
      <c r="I544" t="e">
        <f ca="1"/>
        <v>#N/A</v>
      </c>
      <c r="J544" t="e">
        <f ca="1"/>
        <v>#N/A</v>
      </c>
      <c r="K544" t="e">
        <f ca="1"/>
        <v>#N/A</v>
      </c>
    </row>
    <row r="545" spans="1:11" x14ac:dyDescent="0.25">
      <c r="A545" s="2" t="e">
        <f ca="1"/>
        <v>#N/A</v>
      </c>
      <c r="C545" t="e">
        <f ca="1"/>
        <v>#N/A</v>
      </c>
      <c r="D545" t="e">
        <f ca="1"/>
        <v>#N/A</v>
      </c>
      <c r="E545" t="e">
        <f ca="1"/>
        <v>#N/A</v>
      </c>
      <c r="F545" t="e">
        <f ca="1"/>
        <v>#N/A</v>
      </c>
      <c r="G545" t="e">
        <f ca="1"/>
        <v>#N/A</v>
      </c>
      <c r="H545" t="e">
        <f ca="1"/>
        <v>#N/A</v>
      </c>
      <c r="I545" t="e">
        <f ca="1"/>
        <v>#N/A</v>
      </c>
      <c r="J545" t="e">
        <f ca="1"/>
        <v>#N/A</v>
      </c>
      <c r="K545" t="e">
        <f ca="1"/>
        <v>#N/A</v>
      </c>
    </row>
    <row r="546" spans="1:11" x14ac:dyDescent="0.25">
      <c r="A546" s="2" t="e">
        <f ca="1"/>
        <v>#N/A</v>
      </c>
      <c r="C546" t="e">
        <f ca="1"/>
        <v>#N/A</v>
      </c>
      <c r="D546" t="e">
        <f ca="1"/>
        <v>#N/A</v>
      </c>
      <c r="E546" t="e">
        <f ca="1"/>
        <v>#N/A</v>
      </c>
      <c r="F546" t="e">
        <f ca="1"/>
        <v>#N/A</v>
      </c>
      <c r="G546" t="e">
        <f ca="1"/>
        <v>#N/A</v>
      </c>
      <c r="H546" t="e">
        <f ca="1"/>
        <v>#N/A</v>
      </c>
      <c r="I546" t="e">
        <f ca="1"/>
        <v>#N/A</v>
      </c>
      <c r="J546" t="e">
        <f ca="1"/>
        <v>#N/A</v>
      </c>
      <c r="K546" t="e">
        <f ca="1"/>
        <v>#N/A</v>
      </c>
    </row>
    <row r="547" spans="1:11" x14ac:dyDescent="0.25">
      <c r="A547" s="2" t="e">
        <f ca="1"/>
        <v>#N/A</v>
      </c>
      <c r="C547" t="e">
        <f ca="1"/>
        <v>#N/A</v>
      </c>
      <c r="D547" t="e">
        <f ca="1"/>
        <v>#N/A</v>
      </c>
      <c r="E547" t="e">
        <f ca="1"/>
        <v>#N/A</v>
      </c>
      <c r="F547" t="e">
        <f ca="1"/>
        <v>#N/A</v>
      </c>
      <c r="G547" t="e">
        <f ca="1"/>
        <v>#N/A</v>
      </c>
      <c r="H547" t="e">
        <f ca="1"/>
        <v>#N/A</v>
      </c>
      <c r="I547" t="e">
        <f ca="1"/>
        <v>#N/A</v>
      </c>
      <c r="J547" t="e">
        <f ca="1"/>
        <v>#N/A</v>
      </c>
      <c r="K547" t="e">
        <f ca="1"/>
        <v>#N/A</v>
      </c>
    </row>
    <row r="548" spans="1:11" x14ac:dyDescent="0.25">
      <c r="A548" s="2" t="e">
        <f ca="1"/>
        <v>#N/A</v>
      </c>
      <c r="C548" t="e">
        <f ca="1"/>
        <v>#N/A</v>
      </c>
      <c r="D548" t="e">
        <f ca="1"/>
        <v>#N/A</v>
      </c>
      <c r="E548" t="e">
        <f ca="1"/>
        <v>#N/A</v>
      </c>
      <c r="F548" t="e">
        <f ca="1"/>
        <v>#N/A</v>
      </c>
      <c r="G548" t="e">
        <f ca="1"/>
        <v>#N/A</v>
      </c>
      <c r="H548" t="e">
        <f ca="1"/>
        <v>#N/A</v>
      </c>
      <c r="I548" t="e">
        <f ca="1"/>
        <v>#N/A</v>
      </c>
      <c r="J548" t="e">
        <f ca="1"/>
        <v>#N/A</v>
      </c>
      <c r="K548" t="e">
        <f ca="1"/>
        <v>#N/A</v>
      </c>
    </row>
    <row r="549" spans="1:11" x14ac:dyDescent="0.25">
      <c r="A549" s="2" t="e">
        <f ca="1"/>
        <v>#N/A</v>
      </c>
      <c r="C549" t="e">
        <f ca="1"/>
        <v>#N/A</v>
      </c>
      <c r="D549" t="e">
        <f ca="1"/>
        <v>#N/A</v>
      </c>
      <c r="E549" t="e">
        <f ca="1"/>
        <v>#N/A</v>
      </c>
      <c r="F549" t="e">
        <f ca="1"/>
        <v>#N/A</v>
      </c>
      <c r="G549" t="e">
        <f ca="1"/>
        <v>#N/A</v>
      </c>
      <c r="H549" t="e">
        <f ca="1"/>
        <v>#N/A</v>
      </c>
      <c r="I549" t="e">
        <f ca="1"/>
        <v>#N/A</v>
      </c>
      <c r="J549" t="e">
        <f ca="1"/>
        <v>#N/A</v>
      </c>
      <c r="K549" t="e">
        <f ca="1"/>
        <v>#N/A</v>
      </c>
    </row>
    <row r="550" spans="1:11" x14ac:dyDescent="0.25">
      <c r="A550" s="2" t="e">
        <f ca="1"/>
        <v>#N/A</v>
      </c>
      <c r="C550" t="e">
        <f ca="1"/>
        <v>#N/A</v>
      </c>
      <c r="D550" t="e">
        <f ca="1"/>
        <v>#N/A</v>
      </c>
      <c r="E550" t="e">
        <f ca="1"/>
        <v>#N/A</v>
      </c>
      <c r="F550" t="e">
        <f ca="1"/>
        <v>#N/A</v>
      </c>
      <c r="G550" t="e">
        <f ca="1"/>
        <v>#N/A</v>
      </c>
      <c r="H550" t="e">
        <f ca="1"/>
        <v>#N/A</v>
      </c>
      <c r="I550" t="e">
        <f ca="1"/>
        <v>#N/A</v>
      </c>
      <c r="J550" t="e">
        <f ca="1"/>
        <v>#N/A</v>
      </c>
      <c r="K550" t="e">
        <f ca="1"/>
        <v>#N/A</v>
      </c>
    </row>
    <row r="551" spans="1:11" x14ac:dyDescent="0.25">
      <c r="A551" s="2" t="e">
        <f ca="1"/>
        <v>#N/A</v>
      </c>
      <c r="C551" t="e">
        <f ca="1"/>
        <v>#N/A</v>
      </c>
      <c r="D551" t="e">
        <f ca="1"/>
        <v>#N/A</v>
      </c>
      <c r="E551" t="e">
        <f ca="1"/>
        <v>#N/A</v>
      </c>
      <c r="F551" t="e">
        <f ca="1"/>
        <v>#N/A</v>
      </c>
      <c r="G551" t="e">
        <f ca="1"/>
        <v>#N/A</v>
      </c>
      <c r="H551" t="e">
        <f ca="1"/>
        <v>#N/A</v>
      </c>
      <c r="I551" t="e">
        <f ca="1"/>
        <v>#N/A</v>
      </c>
      <c r="J551" t="e">
        <f ca="1"/>
        <v>#N/A</v>
      </c>
      <c r="K551" t="e">
        <f ca="1"/>
        <v>#N/A</v>
      </c>
    </row>
    <row r="552" spans="1:11" x14ac:dyDescent="0.25">
      <c r="A552" s="2" t="e">
        <f ca="1"/>
        <v>#N/A</v>
      </c>
      <c r="C552" t="e">
        <f ca="1"/>
        <v>#N/A</v>
      </c>
      <c r="D552" t="e">
        <f ca="1"/>
        <v>#N/A</v>
      </c>
      <c r="E552" t="e">
        <f ca="1"/>
        <v>#N/A</v>
      </c>
      <c r="F552" t="e">
        <f ca="1"/>
        <v>#N/A</v>
      </c>
      <c r="G552" t="e">
        <f ca="1"/>
        <v>#N/A</v>
      </c>
      <c r="H552" t="e">
        <f ca="1"/>
        <v>#N/A</v>
      </c>
      <c r="I552" t="e">
        <f ca="1"/>
        <v>#N/A</v>
      </c>
      <c r="J552" t="e">
        <f ca="1"/>
        <v>#N/A</v>
      </c>
      <c r="K552" t="e">
        <f ca="1"/>
        <v>#N/A</v>
      </c>
    </row>
    <row r="553" spans="1:11" x14ac:dyDescent="0.25">
      <c r="A553" s="2" t="e">
        <f ca="1"/>
        <v>#N/A</v>
      </c>
      <c r="C553" t="e">
        <f ca="1"/>
        <v>#N/A</v>
      </c>
      <c r="D553" t="e">
        <f ca="1"/>
        <v>#N/A</v>
      </c>
      <c r="E553" t="e">
        <f ca="1"/>
        <v>#N/A</v>
      </c>
      <c r="F553" t="e">
        <f ca="1"/>
        <v>#N/A</v>
      </c>
      <c r="G553" t="e">
        <f ca="1"/>
        <v>#N/A</v>
      </c>
      <c r="H553" t="e">
        <f ca="1"/>
        <v>#N/A</v>
      </c>
      <c r="I553" t="e">
        <f ca="1"/>
        <v>#N/A</v>
      </c>
      <c r="J553" t="e">
        <f ca="1"/>
        <v>#N/A</v>
      </c>
      <c r="K553" t="e">
        <f ca="1"/>
        <v>#N/A</v>
      </c>
    </row>
    <row r="554" spans="1:11" x14ac:dyDescent="0.25">
      <c r="A554" s="2" t="e">
        <f ca="1"/>
        <v>#N/A</v>
      </c>
      <c r="C554" t="e">
        <f ca="1"/>
        <v>#N/A</v>
      </c>
      <c r="D554" t="e">
        <f ca="1"/>
        <v>#N/A</v>
      </c>
      <c r="E554" t="e">
        <f ca="1"/>
        <v>#N/A</v>
      </c>
      <c r="F554" t="e">
        <f ca="1"/>
        <v>#N/A</v>
      </c>
      <c r="G554" t="e">
        <f ca="1"/>
        <v>#N/A</v>
      </c>
      <c r="H554" t="e">
        <f ca="1"/>
        <v>#N/A</v>
      </c>
      <c r="I554" t="e">
        <f ca="1"/>
        <v>#N/A</v>
      </c>
      <c r="J554" t="e">
        <f ca="1"/>
        <v>#N/A</v>
      </c>
      <c r="K554" t="e">
        <f ca="1"/>
        <v>#N/A</v>
      </c>
    </row>
    <row r="555" spans="1:11" x14ac:dyDescent="0.25">
      <c r="A555" s="2" t="e">
        <f ca="1"/>
        <v>#N/A</v>
      </c>
      <c r="C555" t="e">
        <f ca="1"/>
        <v>#N/A</v>
      </c>
      <c r="D555" t="e">
        <f ca="1"/>
        <v>#N/A</v>
      </c>
      <c r="E555" t="e">
        <f ca="1"/>
        <v>#N/A</v>
      </c>
      <c r="F555" t="e">
        <f ca="1"/>
        <v>#N/A</v>
      </c>
      <c r="G555" t="e">
        <f ca="1"/>
        <v>#N/A</v>
      </c>
      <c r="H555" t="e">
        <f ca="1"/>
        <v>#N/A</v>
      </c>
      <c r="I555" t="e">
        <f ca="1"/>
        <v>#N/A</v>
      </c>
      <c r="J555" t="e">
        <f ca="1"/>
        <v>#N/A</v>
      </c>
      <c r="K555" t="e">
        <f ca="1"/>
        <v>#N/A</v>
      </c>
    </row>
    <row r="556" spans="1:11" x14ac:dyDescent="0.25">
      <c r="A556" s="2" t="e">
        <f ca="1"/>
        <v>#N/A</v>
      </c>
      <c r="C556" t="e">
        <f ca="1"/>
        <v>#N/A</v>
      </c>
      <c r="D556" t="e">
        <f ca="1"/>
        <v>#N/A</v>
      </c>
      <c r="E556" t="e">
        <f ca="1"/>
        <v>#N/A</v>
      </c>
      <c r="F556" t="e">
        <f ca="1"/>
        <v>#N/A</v>
      </c>
      <c r="G556" t="e">
        <f ca="1"/>
        <v>#N/A</v>
      </c>
      <c r="H556" t="e">
        <f ca="1"/>
        <v>#N/A</v>
      </c>
      <c r="I556" t="e">
        <f ca="1"/>
        <v>#N/A</v>
      </c>
      <c r="J556" t="e">
        <f ca="1"/>
        <v>#N/A</v>
      </c>
      <c r="K556" t="e">
        <f ca="1"/>
        <v>#N/A</v>
      </c>
    </row>
    <row r="557" spans="1:11" x14ac:dyDescent="0.25">
      <c r="A557" s="2" t="e">
        <f ca="1"/>
        <v>#N/A</v>
      </c>
      <c r="C557" t="e">
        <f ca="1"/>
        <v>#N/A</v>
      </c>
      <c r="D557" t="e">
        <f ca="1"/>
        <v>#N/A</v>
      </c>
      <c r="E557" t="e">
        <f ca="1"/>
        <v>#N/A</v>
      </c>
      <c r="F557" t="e">
        <f ca="1"/>
        <v>#N/A</v>
      </c>
      <c r="G557" t="e">
        <f ca="1"/>
        <v>#N/A</v>
      </c>
      <c r="H557" t="e">
        <f ca="1"/>
        <v>#N/A</v>
      </c>
      <c r="I557" t="e">
        <f ca="1"/>
        <v>#N/A</v>
      </c>
      <c r="J557" t="e">
        <f ca="1"/>
        <v>#N/A</v>
      </c>
      <c r="K557" t="e">
        <f ca="1"/>
        <v>#N/A</v>
      </c>
    </row>
    <row r="558" spans="1:11" x14ac:dyDescent="0.25">
      <c r="A558" s="2" t="e">
        <f ca="1"/>
        <v>#N/A</v>
      </c>
      <c r="C558" t="e">
        <f ca="1"/>
        <v>#N/A</v>
      </c>
      <c r="D558" t="e">
        <f ca="1"/>
        <v>#N/A</v>
      </c>
      <c r="E558" t="e">
        <f ca="1"/>
        <v>#N/A</v>
      </c>
      <c r="F558" t="e">
        <f ca="1"/>
        <v>#N/A</v>
      </c>
      <c r="G558" t="e">
        <f ca="1"/>
        <v>#N/A</v>
      </c>
      <c r="H558" t="e">
        <f ca="1"/>
        <v>#N/A</v>
      </c>
      <c r="I558" t="e">
        <f ca="1"/>
        <v>#N/A</v>
      </c>
      <c r="J558" t="e">
        <f ca="1"/>
        <v>#N/A</v>
      </c>
      <c r="K558" t="e">
        <f ca="1"/>
        <v>#N/A</v>
      </c>
    </row>
    <row r="559" spans="1:11" x14ac:dyDescent="0.25">
      <c r="A559" s="2" t="e">
        <f ca="1"/>
        <v>#N/A</v>
      </c>
      <c r="C559" t="e">
        <f ca="1"/>
        <v>#N/A</v>
      </c>
      <c r="D559" t="e">
        <f ca="1"/>
        <v>#N/A</v>
      </c>
      <c r="E559" t="e">
        <f ca="1"/>
        <v>#N/A</v>
      </c>
      <c r="F559" t="e">
        <f ca="1"/>
        <v>#N/A</v>
      </c>
      <c r="G559" t="e">
        <f ca="1"/>
        <v>#N/A</v>
      </c>
      <c r="H559" t="e">
        <f ca="1"/>
        <v>#N/A</v>
      </c>
      <c r="I559" t="e">
        <f ca="1"/>
        <v>#N/A</v>
      </c>
      <c r="J559" t="e">
        <f ca="1"/>
        <v>#N/A</v>
      </c>
      <c r="K559" t="e">
        <f ca="1"/>
        <v>#N/A</v>
      </c>
    </row>
    <row r="560" spans="1:11" x14ac:dyDescent="0.25">
      <c r="A560" s="2" t="e">
        <f ca="1"/>
        <v>#N/A</v>
      </c>
      <c r="C560" t="e">
        <f ca="1"/>
        <v>#N/A</v>
      </c>
      <c r="D560" t="e">
        <f ca="1"/>
        <v>#N/A</v>
      </c>
      <c r="E560" t="e">
        <f ca="1"/>
        <v>#N/A</v>
      </c>
      <c r="F560" t="e">
        <f ca="1"/>
        <v>#N/A</v>
      </c>
      <c r="G560" t="e">
        <f ca="1"/>
        <v>#N/A</v>
      </c>
      <c r="H560" t="e">
        <f ca="1"/>
        <v>#N/A</v>
      </c>
      <c r="I560" t="e">
        <f ca="1"/>
        <v>#N/A</v>
      </c>
      <c r="J560" t="e">
        <f ca="1"/>
        <v>#N/A</v>
      </c>
      <c r="K560" t="e">
        <f ca="1"/>
        <v>#N/A</v>
      </c>
    </row>
    <row r="561" spans="1:11" x14ac:dyDescent="0.25">
      <c r="A561" s="2" t="e">
        <f ca="1"/>
        <v>#N/A</v>
      </c>
      <c r="C561" t="e">
        <f ca="1"/>
        <v>#N/A</v>
      </c>
      <c r="D561" t="e">
        <f ca="1"/>
        <v>#N/A</v>
      </c>
      <c r="E561" t="e">
        <f ca="1"/>
        <v>#N/A</v>
      </c>
      <c r="F561" t="e">
        <f ca="1"/>
        <v>#N/A</v>
      </c>
      <c r="G561" t="e">
        <f ca="1"/>
        <v>#N/A</v>
      </c>
      <c r="H561" t="e">
        <f ca="1"/>
        <v>#N/A</v>
      </c>
      <c r="I561" t="e">
        <f ca="1"/>
        <v>#N/A</v>
      </c>
      <c r="J561" t="e">
        <f ca="1"/>
        <v>#N/A</v>
      </c>
      <c r="K561" t="e">
        <f ca="1"/>
        <v>#N/A</v>
      </c>
    </row>
    <row r="562" spans="1:11" x14ac:dyDescent="0.25">
      <c r="A562" s="2" t="e">
        <f ca="1"/>
        <v>#N/A</v>
      </c>
      <c r="C562" t="e">
        <f ca="1"/>
        <v>#N/A</v>
      </c>
      <c r="D562" t="e">
        <f ca="1"/>
        <v>#N/A</v>
      </c>
      <c r="E562" t="e">
        <f ca="1"/>
        <v>#N/A</v>
      </c>
      <c r="F562" t="e">
        <f ca="1"/>
        <v>#N/A</v>
      </c>
      <c r="G562" t="e">
        <f ca="1"/>
        <v>#N/A</v>
      </c>
      <c r="H562" t="e">
        <f ca="1"/>
        <v>#N/A</v>
      </c>
      <c r="I562" t="e">
        <f ca="1"/>
        <v>#N/A</v>
      </c>
      <c r="J562" t="e">
        <f ca="1"/>
        <v>#N/A</v>
      </c>
      <c r="K562" t="e">
        <f ca="1"/>
        <v>#N/A</v>
      </c>
    </row>
    <row r="563" spans="1:11" x14ac:dyDescent="0.25">
      <c r="A563" s="2" t="e">
        <f ca="1"/>
        <v>#N/A</v>
      </c>
      <c r="C563" t="e">
        <f ca="1"/>
        <v>#N/A</v>
      </c>
      <c r="D563" t="e">
        <f ca="1"/>
        <v>#N/A</v>
      </c>
      <c r="E563" t="e">
        <f ca="1"/>
        <v>#N/A</v>
      </c>
      <c r="F563" t="e">
        <f ca="1"/>
        <v>#N/A</v>
      </c>
      <c r="G563" t="e">
        <f ca="1"/>
        <v>#N/A</v>
      </c>
      <c r="H563" t="e">
        <f ca="1"/>
        <v>#N/A</v>
      </c>
      <c r="I563" t="e">
        <f ca="1"/>
        <v>#N/A</v>
      </c>
      <c r="J563" t="e">
        <f ca="1"/>
        <v>#N/A</v>
      </c>
      <c r="K563" t="e">
        <f ca="1"/>
        <v>#N/A</v>
      </c>
    </row>
    <row r="564" spans="1:11" x14ac:dyDescent="0.25">
      <c r="A564" s="2" t="e">
        <f ca="1"/>
        <v>#N/A</v>
      </c>
      <c r="C564" t="e">
        <f ca="1"/>
        <v>#N/A</v>
      </c>
      <c r="D564" t="e">
        <f ca="1"/>
        <v>#N/A</v>
      </c>
      <c r="E564" t="e">
        <f ca="1"/>
        <v>#N/A</v>
      </c>
      <c r="F564" t="e">
        <f ca="1"/>
        <v>#N/A</v>
      </c>
      <c r="G564" t="e">
        <f ca="1"/>
        <v>#N/A</v>
      </c>
      <c r="H564" t="e">
        <f ca="1"/>
        <v>#N/A</v>
      </c>
      <c r="I564" t="e">
        <f ca="1"/>
        <v>#N/A</v>
      </c>
      <c r="J564" t="e">
        <f ca="1"/>
        <v>#N/A</v>
      </c>
      <c r="K564" t="e">
        <f ca="1"/>
        <v>#N/A</v>
      </c>
    </row>
    <row r="565" spans="1:11" x14ac:dyDescent="0.25">
      <c r="A565" s="2" t="e">
        <f ca="1"/>
        <v>#N/A</v>
      </c>
      <c r="C565" t="e">
        <f ca="1"/>
        <v>#N/A</v>
      </c>
      <c r="D565" t="e">
        <f ca="1"/>
        <v>#N/A</v>
      </c>
      <c r="E565" t="e">
        <f ca="1"/>
        <v>#N/A</v>
      </c>
      <c r="F565" t="e">
        <f ca="1"/>
        <v>#N/A</v>
      </c>
      <c r="G565" t="e">
        <f ca="1"/>
        <v>#N/A</v>
      </c>
      <c r="H565" t="e">
        <f ca="1"/>
        <v>#N/A</v>
      </c>
      <c r="I565" t="e">
        <f ca="1"/>
        <v>#N/A</v>
      </c>
      <c r="J565" t="e">
        <f ca="1"/>
        <v>#N/A</v>
      </c>
      <c r="K565" t="e">
        <f ca="1"/>
        <v>#N/A</v>
      </c>
    </row>
    <row r="566" spans="1:11" x14ac:dyDescent="0.25">
      <c r="A566" s="2" t="e">
        <f ca="1"/>
        <v>#N/A</v>
      </c>
      <c r="C566" t="e">
        <f ca="1"/>
        <v>#N/A</v>
      </c>
      <c r="D566" t="e">
        <f ca="1"/>
        <v>#N/A</v>
      </c>
      <c r="E566" t="e">
        <f ca="1"/>
        <v>#N/A</v>
      </c>
      <c r="F566" t="e">
        <f ca="1"/>
        <v>#N/A</v>
      </c>
      <c r="G566" t="e">
        <f ca="1"/>
        <v>#N/A</v>
      </c>
      <c r="H566" t="e">
        <f ca="1"/>
        <v>#N/A</v>
      </c>
      <c r="I566" t="e">
        <f ca="1"/>
        <v>#N/A</v>
      </c>
      <c r="J566" t="e">
        <f ca="1"/>
        <v>#N/A</v>
      </c>
      <c r="K566" t="e">
        <f ca="1"/>
        <v>#N/A</v>
      </c>
    </row>
    <row r="567" spans="1:11" x14ac:dyDescent="0.25">
      <c r="A567" s="2" t="e">
        <f ca="1"/>
        <v>#N/A</v>
      </c>
      <c r="C567" t="e">
        <f ca="1"/>
        <v>#N/A</v>
      </c>
      <c r="D567" t="e">
        <f ca="1"/>
        <v>#N/A</v>
      </c>
      <c r="E567" t="e">
        <f ca="1"/>
        <v>#N/A</v>
      </c>
      <c r="F567" t="e">
        <f ca="1"/>
        <v>#N/A</v>
      </c>
      <c r="G567" t="e">
        <f ca="1"/>
        <v>#N/A</v>
      </c>
      <c r="H567" t="e">
        <f ca="1"/>
        <v>#N/A</v>
      </c>
      <c r="I567" t="e">
        <f ca="1"/>
        <v>#N/A</v>
      </c>
      <c r="J567" t="e">
        <f ca="1"/>
        <v>#N/A</v>
      </c>
      <c r="K567" t="e">
        <f ca="1"/>
        <v>#N/A</v>
      </c>
    </row>
    <row r="568" spans="1:11" x14ac:dyDescent="0.25">
      <c r="A568" s="2" t="e">
        <f ca="1"/>
        <v>#N/A</v>
      </c>
      <c r="C568" t="e">
        <f ca="1"/>
        <v>#N/A</v>
      </c>
      <c r="D568" t="e">
        <f ca="1"/>
        <v>#N/A</v>
      </c>
      <c r="E568" t="e">
        <f ca="1"/>
        <v>#N/A</v>
      </c>
      <c r="F568" t="e">
        <f ca="1"/>
        <v>#N/A</v>
      </c>
      <c r="G568" t="e">
        <f ca="1"/>
        <v>#N/A</v>
      </c>
      <c r="H568" t="e">
        <f ca="1"/>
        <v>#N/A</v>
      </c>
      <c r="I568" t="e">
        <f ca="1"/>
        <v>#N/A</v>
      </c>
      <c r="J568" t="e">
        <f ca="1"/>
        <v>#N/A</v>
      </c>
      <c r="K568" t="e">
        <f ca="1"/>
        <v>#N/A</v>
      </c>
    </row>
    <row r="569" spans="1:11" x14ac:dyDescent="0.25">
      <c r="A569" s="2" t="e">
        <f ca="1"/>
        <v>#N/A</v>
      </c>
      <c r="C569" t="e">
        <f ca="1"/>
        <v>#N/A</v>
      </c>
      <c r="D569" t="e">
        <f ca="1"/>
        <v>#N/A</v>
      </c>
      <c r="E569" t="e">
        <f ca="1"/>
        <v>#N/A</v>
      </c>
      <c r="F569" t="e">
        <f ca="1"/>
        <v>#N/A</v>
      </c>
      <c r="G569" t="e">
        <f ca="1"/>
        <v>#N/A</v>
      </c>
      <c r="H569" t="e">
        <f ca="1"/>
        <v>#N/A</v>
      </c>
      <c r="I569" t="e">
        <f ca="1"/>
        <v>#N/A</v>
      </c>
      <c r="J569" t="e">
        <f ca="1"/>
        <v>#N/A</v>
      </c>
      <c r="K569" t="e">
        <f ca="1"/>
        <v>#N/A</v>
      </c>
    </row>
    <row r="570" spans="1:11" x14ac:dyDescent="0.25">
      <c r="A570" s="2" t="e">
        <f ca="1"/>
        <v>#N/A</v>
      </c>
      <c r="C570" t="e">
        <f ca="1"/>
        <v>#N/A</v>
      </c>
      <c r="D570" t="e">
        <f ca="1"/>
        <v>#N/A</v>
      </c>
      <c r="E570" t="e">
        <f ca="1"/>
        <v>#N/A</v>
      </c>
      <c r="F570" t="e">
        <f ca="1"/>
        <v>#N/A</v>
      </c>
      <c r="G570" t="e">
        <f ca="1"/>
        <v>#N/A</v>
      </c>
      <c r="H570" t="e">
        <f ca="1"/>
        <v>#N/A</v>
      </c>
      <c r="I570" t="e">
        <f ca="1"/>
        <v>#N/A</v>
      </c>
      <c r="J570" t="e">
        <f ca="1"/>
        <v>#N/A</v>
      </c>
      <c r="K570" t="e">
        <f ca="1"/>
        <v>#N/A</v>
      </c>
    </row>
    <row r="571" spans="1:11" x14ac:dyDescent="0.25">
      <c r="A571" s="2" t="e">
        <f ca="1"/>
        <v>#N/A</v>
      </c>
      <c r="C571" t="e">
        <f ca="1"/>
        <v>#N/A</v>
      </c>
      <c r="D571" t="e">
        <f ca="1"/>
        <v>#N/A</v>
      </c>
      <c r="E571" t="e">
        <f ca="1"/>
        <v>#N/A</v>
      </c>
      <c r="F571" t="e">
        <f ca="1"/>
        <v>#N/A</v>
      </c>
      <c r="G571" t="e">
        <f ca="1"/>
        <v>#N/A</v>
      </c>
      <c r="H571" t="e">
        <f ca="1"/>
        <v>#N/A</v>
      </c>
      <c r="I571" t="e">
        <f ca="1"/>
        <v>#N/A</v>
      </c>
      <c r="J571" t="e">
        <f ca="1"/>
        <v>#N/A</v>
      </c>
      <c r="K571" t="e">
        <f ca="1"/>
        <v>#N/A</v>
      </c>
    </row>
    <row r="572" spans="1:11" x14ac:dyDescent="0.25">
      <c r="A572" s="2" t="e">
        <f ca="1"/>
        <v>#N/A</v>
      </c>
      <c r="C572" t="e">
        <f ca="1"/>
        <v>#N/A</v>
      </c>
      <c r="D572" t="e">
        <f ca="1"/>
        <v>#N/A</v>
      </c>
      <c r="E572" t="e">
        <f ca="1"/>
        <v>#N/A</v>
      </c>
      <c r="F572" t="e">
        <f ca="1"/>
        <v>#N/A</v>
      </c>
      <c r="G572" t="e">
        <f ca="1"/>
        <v>#N/A</v>
      </c>
      <c r="H572" t="e">
        <f ca="1"/>
        <v>#N/A</v>
      </c>
      <c r="I572" t="e">
        <f ca="1"/>
        <v>#N/A</v>
      </c>
      <c r="J572" t="e">
        <f ca="1"/>
        <v>#N/A</v>
      </c>
      <c r="K572" t="e">
        <f ca="1"/>
        <v>#N/A</v>
      </c>
    </row>
    <row r="573" spans="1:11" x14ac:dyDescent="0.25">
      <c r="A573" s="2" t="e">
        <f ca="1"/>
        <v>#N/A</v>
      </c>
      <c r="C573" t="e">
        <f ca="1"/>
        <v>#N/A</v>
      </c>
      <c r="D573" t="e">
        <f ca="1"/>
        <v>#N/A</v>
      </c>
      <c r="E573" t="e">
        <f ca="1"/>
        <v>#N/A</v>
      </c>
      <c r="F573" t="e">
        <f ca="1"/>
        <v>#N/A</v>
      </c>
      <c r="G573" t="e">
        <f ca="1"/>
        <v>#N/A</v>
      </c>
      <c r="H573" t="e">
        <f ca="1"/>
        <v>#N/A</v>
      </c>
      <c r="I573" t="e">
        <f ca="1"/>
        <v>#N/A</v>
      </c>
      <c r="J573" t="e">
        <f ca="1"/>
        <v>#N/A</v>
      </c>
      <c r="K573" t="e">
        <f ca="1"/>
        <v>#N/A</v>
      </c>
    </row>
    <row r="574" spans="1:11" x14ac:dyDescent="0.25">
      <c r="A574" s="2" t="e">
        <f ca="1"/>
        <v>#N/A</v>
      </c>
      <c r="C574" t="e">
        <f ca="1"/>
        <v>#N/A</v>
      </c>
      <c r="D574" t="e">
        <f ca="1"/>
        <v>#N/A</v>
      </c>
      <c r="E574" t="e">
        <f ca="1"/>
        <v>#N/A</v>
      </c>
      <c r="F574" t="e">
        <f ca="1"/>
        <v>#N/A</v>
      </c>
      <c r="G574" t="e">
        <f ca="1"/>
        <v>#N/A</v>
      </c>
      <c r="H574" t="e">
        <f ca="1"/>
        <v>#N/A</v>
      </c>
      <c r="I574" t="e">
        <f ca="1"/>
        <v>#N/A</v>
      </c>
      <c r="J574" t="e">
        <f ca="1"/>
        <v>#N/A</v>
      </c>
      <c r="K574" t="e">
        <f ca="1"/>
        <v>#N/A</v>
      </c>
    </row>
    <row r="575" spans="1:11" x14ac:dyDescent="0.25">
      <c r="A575" s="2" t="e">
        <f ca="1"/>
        <v>#N/A</v>
      </c>
      <c r="C575" t="e">
        <f ca="1"/>
        <v>#N/A</v>
      </c>
      <c r="D575" t="e">
        <f ca="1"/>
        <v>#N/A</v>
      </c>
      <c r="E575" t="e">
        <f ca="1"/>
        <v>#N/A</v>
      </c>
      <c r="F575" t="e">
        <f ca="1"/>
        <v>#N/A</v>
      </c>
      <c r="G575" t="e">
        <f ca="1"/>
        <v>#N/A</v>
      </c>
      <c r="H575" t="e">
        <f ca="1"/>
        <v>#N/A</v>
      </c>
      <c r="I575" t="e">
        <f ca="1"/>
        <v>#N/A</v>
      </c>
      <c r="J575" t="e">
        <f ca="1"/>
        <v>#N/A</v>
      </c>
      <c r="K575" t="e">
        <f ca="1"/>
        <v>#N/A</v>
      </c>
    </row>
    <row r="576" spans="1:11" x14ac:dyDescent="0.25">
      <c r="A576" s="2" t="e">
        <f ca="1"/>
        <v>#N/A</v>
      </c>
      <c r="C576" t="e">
        <f ca="1"/>
        <v>#N/A</v>
      </c>
      <c r="D576" t="e">
        <f ca="1"/>
        <v>#N/A</v>
      </c>
      <c r="E576" t="e">
        <f ca="1"/>
        <v>#N/A</v>
      </c>
      <c r="F576" t="e">
        <f ca="1"/>
        <v>#N/A</v>
      </c>
      <c r="G576" t="e">
        <f ca="1"/>
        <v>#N/A</v>
      </c>
      <c r="H576" t="e">
        <f ca="1"/>
        <v>#N/A</v>
      </c>
      <c r="I576" t="e">
        <f ca="1"/>
        <v>#N/A</v>
      </c>
      <c r="J576" t="e">
        <f ca="1"/>
        <v>#N/A</v>
      </c>
      <c r="K576" t="e">
        <f ca="1"/>
        <v>#N/A</v>
      </c>
    </row>
    <row r="577" spans="1:11" x14ac:dyDescent="0.25">
      <c r="A577" s="2" t="e">
        <f ca="1"/>
        <v>#N/A</v>
      </c>
      <c r="C577" t="e">
        <f ca="1"/>
        <v>#N/A</v>
      </c>
      <c r="D577" t="e">
        <f ca="1"/>
        <v>#N/A</v>
      </c>
      <c r="E577" t="e">
        <f ca="1"/>
        <v>#N/A</v>
      </c>
      <c r="F577" t="e">
        <f ca="1"/>
        <v>#N/A</v>
      </c>
      <c r="G577" t="e">
        <f ca="1"/>
        <v>#N/A</v>
      </c>
      <c r="H577" t="e">
        <f ca="1"/>
        <v>#N/A</v>
      </c>
      <c r="I577" t="e">
        <f ca="1"/>
        <v>#N/A</v>
      </c>
      <c r="J577" t="e">
        <f ca="1"/>
        <v>#N/A</v>
      </c>
      <c r="K577" t="e">
        <f ca="1"/>
        <v>#N/A</v>
      </c>
    </row>
    <row r="578" spans="1:11" x14ac:dyDescent="0.25">
      <c r="A578" s="2" t="e">
        <f ca="1"/>
        <v>#N/A</v>
      </c>
      <c r="C578" t="e">
        <f ca="1"/>
        <v>#N/A</v>
      </c>
      <c r="D578" t="e">
        <f ca="1"/>
        <v>#N/A</v>
      </c>
      <c r="E578" t="e">
        <f ca="1"/>
        <v>#N/A</v>
      </c>
      <c r="F578" t="e">
        <f ca="1"/>
        <v>#N/A</v>
      </c>
      <c r="G578" t="e">
        <f ca="1"/>
        <v>#N/A</v>
      </c>
      <c r="H578" t="e">
        <f ca="1"/>
        <v>#N/A</v>
      </c>
      <c r="I578" t="e">
        <f ca="1"/>
        <v>#N/A</v>
      </c>
      <c r="J578" t="e">
        <f ca="1"/>
        <v>#N/A</v>
      </c>
      <c r="K578" t="e">
        <f ca="1"/>
        <v>#N/A</v>
      </c>
    </row>
    <row r="579" spans="1:11" x14ac:dyDescent="0.25">
      <c r="A579" s="2" t="e">
        <f ca="1"/>
        <v>#N/A</v>
      </c>
      <c r="C579" t="e">
        <f ca="1"/>
        <v>#N/A</v>
      </c>
      <c r="D579" t="e">
        <f ca="1"/>
        <v>#N/A</v>
      </c>
      <c r="E579" t="e">
        <f ca="1"/>
        <v>#N/A</v>
      </c>
      <c r="F579" t="e">
        <f ca="1"/>
        <v>#N/A</v>
      </c>
      <c r="G579" t="e">
        <f ca="1"/>
        <v>#N/A</v>
      </c>
      <c r="H579" t="e">
        <f ca="1"/>
        <v>#N/A</v>
      </c>
      <c r="I579" t="e">
        <f ca="1"/>
        <v>#N/A</v>
      </c>
      <c r="J579" t="e">
        <f ca="1"/>
        <v>#N/A</v>
      </c>
      <c r="K579" t="e">
        <f ca="1"/>
        <v>#N/A</v>
      </c>
    </row>
    <row r="580" spans="1:11" x14ac:dyDescent="0.25">
      <c r="A580" s="2" t="e">
        <f ca="1"/>
        <v>#N/A</v>
      </c>
      <c r="C580" t="e">
        <f ca="1"/>
        <v>#N/A</v>
      </c>
      <c r="D580" t="e">
        <f ca="1"/>
        <v>#N/A</v>
      </c>
      <c r="E580" t="e">
        <f ca="1"/>
        <v>#N/A</v>
      </c>
      <c r="F580" t="e">
        <f ca="1"/>
        <v>#N/A</v>
      </c>
      <c r="G580" t="e">
        <f ca="1"/>
        <v>#N/A</v>
      </c>
      <c r="H580" t="e">
        <f ca="1"/>
        <v>#N/A</v>
      </c>
      <c r="I580" t="e">
        <f ca="1"/>
        <v>#N/A</v>
      </c>
      <c r="J580" t="e">
        <f ca="1"/>
        <v>#N/A</v>
      </c>
      <c r="K580" t="e">
        <f ca="1"/>
        <v>#N/A</v>
      </c>
    </row>
    <row r="581" spans="1:11" x14ac:dyDescent="0.25">
      <c r="A581" s="2" t="e">
        <f ca="1"/>
        <v>#N/A</v>
      </c>
      <c r="C581" t="e">
        <f ca="1"/>
        <v>#N/A</v>
      </c>
      <c r="D581" t="e">
        <f ca="1"/>
        <v>#N/A</v>
      </c>
      <c r="E581" t="e">
        <f ca="1"/>
        <v>#N/A</v>
      </c>
      <c r="F581" t="e">
        <f ca="1"/>
        <v>#N/A</v>
      </c>
      <c r="G581" t="e">
        <f ca="1"/>
        <v>#N/A</v>
      </c>
      <c r="H581" t="e">
        <f ca="1"/>
        <v>#N/A</v>
      </c>
      <c r="I581" t="e">
        <f ca="1"/>
        <v>#N/A</v>
      </c>
      <c r="J581" t="e">
        <f ca="1"/>
        <v>#N/A</v>
      </c>
      <c r="K581" t="e">
        <f ca="1"/>
        <v>#N/A</v>
      </c>
    </row>
    <row r="582" spans="1:11" x14ac:dyDescent="0.25">
      <c r="A582" s="2" t="e">
        <f ca="1"/>
        <v>#N/A</v>
      </c>
      <c r="C582" t="e">
        <f ca="1"/>
        <v>#N/A</v>
      </c>
      <c r="D582" t="e">
        <f ca="1"/>
        <v>#N/A</v>
      </c>
      <c r="E582" t="e">
        <f ca="1"/>
        <v>#N/A</v>
      </c>
      <c r="F582" t="e">
        <f ca="1"/>
        <v>#N/A</v>
      </c>
      <c r="G582" t="e">
        <f ca="1"/>
        <v>#N/A</v>
      </c>
      <c r="H582" t="e">
        <f ca="1"/>
        <v>#N/A</v>
      </c>
      <c r="I582" t="e">
        <f ca="1"/>
        <v>#N/A</v>
      </c>
      <c r="J582" t="e">
        <f ca="1"/>
        <v>#N/A</v>
      </c>
      <c r="K582" t="e">
        <f ca="1"/>
        <v>#N/A</v>
      </c>
    </row>
    <row r="583" spans="1:11" x14ac:dyDescent="0.25">
      <c r="A583" s="2" t="e">
        <f ca="1"/>
        <v>#N/A</v>
      </c>
      <c r="C583" t="e">
        <f ca="1"/>
        <v>#N/A</v>
      </c>
      <c r="D583" t="e">
        <f ca="1"/>
        <v>#N/A</v>
      </c>
      <c r="E583" t="e">
        <f ca="1"/>
        <v>#N/A</v>
      </c>
      <c r="F583" t="e">
        <f ca="1"/>
        <v>#N/A</v>
      </c>
      <c r="G583" t="e">
        <f ca="1"/>
        <v>#N/A</v>
      </c>
      <c r="H583" t="e">
        <f ca="1"/>
        <v>#N/A</v>
      </c>
      <c r="I583" t="e">
        <f ca="1"/>
        <v>#N/A</v>
      </c>
      <c r="J583" t="e">
        <f ca="1"/>
        <v>#N/A</v>
      </c>
      <c r="K583" t="e">
        <f ca="1"/>
        <v>#N/A</v>
      </c>
    </row>
    <row r="584" spans="1:11" x14ac:dyDescent="0.25">
      <c r="A584" s="2" t="e">
        <f ca="1"/>
        <v>#N/A</v>
      </c>
      <c r="C584" t="e">
        <f ca="1"/>
        <v>#N/A</v>
      </c>
      <c r="D584" t="e">
        <f ca="1"/>
        <v>#N/A</v>
      </c>
      <c r="E584" t="e">
        <f ca="1"/>
        <v>#N/A</v>
      </c>
      <c r="F584" t="e">
        <f ca="1"/>
        <v>#N/A</v>
      </c>
      <c r="G584" t="e">
        <f ca="1"/>
        <v>#N/A</v>
      </c>
      <c r="H584" t="e">
        <f ca="1"/>
        <v>#N/A</v>
      </c>
      <c r="I584" t="e">
        <f ca="1"/>
        <v>#N/A</v>
      </c>
      <c r="J584" t="e">
        <f ca="1"/>
        <v>#N/A</v>
      </c>
      <c r="K584" t="e">
        <f ca="1"/>
        <v>#N/A</v>
      </c>
    </row>
    <row r="585" spans="1:11" x14ac:dyDescent="0.25">
      <c r="A585" s="2" t="e">
        <f ca="1"/>
        <v>#N/A</v>
      </c>
      <c r="C585" t="e">
        <f ca="1"/>
        <v>#N/A</v>
      </c>
      <c r="D585" t="e">
        <f ca="1"/>
        <v>#N/A</v>
      </c>
      <c r="E585" t="e">
        <f ca="1"/>
        <v>#N/A</v>
      </c>
      <c r="F585" t="e">
        <f ca="1"/>
        <v>#N/A</v>
      </c>
      <c r="G585" t="e">
        <f ca="1"/>
        <v>#N/A</v>
      </c>
      <c r="H585" t="e">
        <f ca="1"/>
        <v>#N/A</v>
      </c>
      <c r="I585" t="e">
        <f ca="1"/>
        <v>#N/A</v>
      </c>
      <c r="J585" t="e">
        <f ca="1"/>
        <v>#N/A</v>
      </c>
      <c r="K585" t="e">
        <f ca="1"/>
        <v>#N/A</v>
      </c>
    </row>
    <row r="586" spans="1:11" x14ac:dyDescent="0.25">
      <c r="A586" s="2" t="e">
        <f ca="1"/>
        <v>#N/A</v>
      </c>
      <c r="C586" t="e">
        <f ca="1"/>
        <v>#N/A</v>
      </c>
      <c r="D586" t="e">
        <f ca="1"/>
        <v>#N/A</v>
      </c>
      <c r="E586" t="e">
        <f ca="1"/>
        <v>#N/A</v>
      </c>
      <c r="F586" t="e">
        <f ca="1"/>
        <v>#N/A</v>
      </c>
      <c r="G586" t="e">
        <f ca="1"/>
        <v>#N/A</v>
      </c>
      <c r="H586" t="e">
        <f ca="1"/>
        <v>#N/A</v>
      </c>
      <c r="I586" t="e">
        <f ca="1"/>
        <v>#N/A</v>
      </c>
      <c r="J586" t="e">
        <f ca="1"/>
        <v>#N/A</v>
      </c>
      <c r="K586" t="e">
        <f ca="1"/>
        <v>#N/A</v>
      </c>
    </row>
    <row r="587" spans="1:11" x14ac:dyDescent="0.25">
      <c r="A587" s="2" t="e">
        <f ca="1"/>
        <v>#N/A</v>
      </c>
      <c r="C587" t="e">
        <f ca="1"/>
        <v>#N/A</v>
      </c>
      <c r="D587" t="e">
        <f ca="1"/>
        <v>#N/A</v>
      </c>
      <c r="E587" t="e">
        <f ca="1"/>
        <v>#N/A</v>
      </c>
      <c r="F587" t="e">
        <f ca="1"/>
        <v>#N/A</v>
      </c>
      <c r="G587" t="e">
        <f ca="1"/>
        <v>#N/A</v>
      </c>
      <c r="H587" t="e">
        <f ca="1"/>
        <v>#N/A</v>
      </c>
      <c r="I587" t="e">
        <f ca="1"/>
        <v>#N/A</v>
      </c>
      <c r="J587" t="e">
        <f ca="1"/>
        <v>#N/A</v>
      </c>
      <c r="K587" t="e">
        <f ca="1"/>
        <v>#N/A</v>
      </c>
    </row>
    <row r="588" spans="1:11" x14ac:dyDescent="0.25">
      <c r="A588" s="2" t="e">
        <f ca="1"/>
        <v>#N/A</v>
      </c>
      <c r="C588" t="e">
        <f ca="1"/>
        <v>#N/A</v>
      </c>
      <c r="D588" t="e">
        <f ca="1"/>
        <v>#N/A</v>
      </c>
      <c r="E588" t="e">
        <f ca="1"/>
        <v>#N/A</v>
      </c>
      <c r="F588" t="e">
        <f ca="1"/>
        <v>#N/A</v>
      </c>
      <c r="G588" t="e">
        <f ca="1"/>
        <v>#N/A</v>
      </c>
      <c r="H588" t="e">
        <f ca="1"/>
        <v>#N/A</v>
      </c>
      <c r="I588" t="e">
        <f ca="1"/>
        <v>#N/A</v>
      </c>
      <c r="J588" t="e">
        <f ca="1"/>
        <v>#N/A</v>
      </c>
      <c r="K588" t="e">
        <f ca="1"/>
        <v>#N/A</v>
      </c>
    </row>
    <row r="589" spans="1:11" x14ac:dyDescent="0.25">
      <c r="A589" s="2" t="e">
        <f ca="1"/>
        <v>#N/A</v>
      </c>
      <c r="C589" t="e">
        <f ca="1"/>
        <v>#N/A</v>
      </c>
      <c r="D589" t="e">
        <f ca="1"/>
        <v>#N/A</v>
      </c>
      <c r="E589" t="e">
        <f ca="1"/>
        <v>#N/A</v>
      </c>
      <c r="F589" t="e">
        <f ca="1"/>
        <v>#N/A</v>
      </c>
      <c r="G589" t="e">
        <f ca="1"/>
        <v>#N/A</v>
      </c>
      <c r="H589" t="e">
        <f ca="1"/>
        <v>#N/A</v>
      </c>
      <c r="I589" t="e">
        <f ca="1"/>
        <v>#N/A</v>
      </c>
      <c r="J589" t="e">
        <f ca="1"/>
        <v>#N/A</v>
      </c>
      <c r="K589" t="e">
        <f ca="1"/>
        <v>#N/A</v>
      </c>
    </row>
    <row r="590" spans="1:11" x14ac:dyDescent="0.25">
      <c r="A590" s="2" t="e">
        <f ca="1"/>
        <v>#N/A</v>
      </c>
      <c r="C590" t="e">
        <f ca="1"/>
        <v>#N/A</v>
      </c>
      <c r="D590" t="e">
        <f ca="1"/>
        <v>#N/A</v>
      </c>
      <c r="E590" t="e">
        <f ca="1"/>
        <v>#N/A</v>
      </c>
      <c r="F590" t="e">
        <f ca="1"/>
        <v>#N/A</v>
      </c>
      <c r="G590" t="e">
        <f ca="1"/>
        <v>#N/A</v>
      </c>
      <c r="H590" t="e">
        <f ca="1"/>
        <v>#N/A</v>
      </c>
      <c r="I590" t="e">
        <f ca="1"/>
        <v>#N/A</v>
      </c>
      <c r="J590" t="e">
        <f ca="1"/>
        <v>#N/A</v>
      </c>
      <c r="K590" t="e">
        <f ca="1"/>
        <v>#N/A</v>
      </c>
    </row>
    <row r="591" spans="1:11" x14ac:dyDescent="0.25">
      <c r="A591" s="2" t="e">
        <f ca="1"/>
        <v>#N/A</v>
      </c>
      <c r="C591" t="e">
        <f ca="1"/>
        <v>#N/A</v>
      </c>
      <c r="D591" t="e">
        <f ca="1"/>
        <v>#N/A</v>
      </c>
      <c r="E591" t="e">
        <f ca="1"/>
        <v>#N/A</v>
      </c>
      <c r="F591" t="e">
        <f ca="1"/>
        <v>#N/A</v>
      </c>
      <c r="G591" t="e">
        <f ca="1"/>
        <v>#N/A</v>
      </c>
      <c r="H591" t="e">
        <f ca="1"/>
        <v>#N/A</v>
      </c>
      <c r="I591" t="e">
        <f ca="1"/>
        <v>#N/A</v>
      </c>
      <c r="J591" t="e">
        <f ca="1"/>
        <v>#N/A</v>
      </c>
      <c r="K591" t="e">
        <f ca="1"/>
        <v>#N/A</v>
      </c>
    </row>
    <row r="592" spans="1:11" x14ac:dyDescent="0.25">
      <c r="A592" s="2" t="e">
        <f ca="1"/>
        <v>#N/A</v>
      </c>
      <c r="C592" t="e">
        <f ca="1"/>
        <v>#N/A</v>
      </c>
      <c r="D592" t="e">
        <f ca="1"/>
        <v>#N/A</v>
      </c>
      <c r="E592" t="e">
        <f ca="1"/>
        <v>#N/A</v>
      </c>
      <c r="F592" t="e">
        <f ca="1"/>
        <v>#N/A</v>
      </c>
      <c r="G592" t="e">
        <f ca="1"/>
        <v>#N/A</v>
      </c>
      <c r="H592" t="e">
        <f ca="1"/>
        <v>#N/A</v>
      </c>
      <c r="I592" t="e">
        <f ca="1"/>
        <v>#N/A</v>
      </c>
      <c r="J592" t="e">
        <f ca="1"/>
        <v>#N/A</v>
      </c>
      <c r="K592" t="e">
        <f ca="1"/>
        <v>#N/A</v>
      </c>
    </row>
    <row r="593" spans="1:11" x14ac:dyDescent="0.25">
      <c r="A593" s="2" t="e">
        <f ca="1"/>
        <v>#N/A</v>
      </c>
      <c r="C593" t="e">
        <f ca="1"/>
        <v>#N/A</v>
      </c>
      <c r="D593" t="e">
        <f ca="1"/>
        <v>#N/A</v>
      </c>
      <c r="E593" t="e">
        <f ca="1"/>
        <v>#N/A</v>
      </c>
      <c r="F593" t="e">
        <f ca="1"/>
        <v>#N/A</v>
      </c>
      <c r="G593" t="e">
        <f ca="1"/>
        <v>#N/A</v>
      </c>
      <c r="H593" t="e">
        <f ca="1"/>
        <v>#N/A</v>
      </c>
      <c r="I593" t="e">
        <f ca="1"/>
        <v>#N/A</v>
      </c>
      <c r="J593" t="e">
        <f ca="1"/>
        <v>#N/A</v>
      </c>
      <c r="K593" t="e">
        <f ca="1"/>
        <v>#N/A</v>
      </c>
    </row>
    <row r="594" spans="1:11" x14ac:dyDescent="0.25">
      <c r="A594" s="2" t="e">
        <f ca="1"/>
        <v>#N/A</v>
      </c>
      <c r="C594" t="e">
        <f ca="1"/>
        <v>#N/A</v>
      </c>
      <c r="D594" t="e">
        <f ca="1"/>
        <v>#N/A</v>
      </c>
      <c r="E594" t="e">
        <f ca="1"/>
        <v>#N/A</v>
      </c>
      <c r="F594" t="e">
        <f ca="1"/>
        <v>#N/A</v>
      </c>
      <c r="G594" t="e">
        <f ca="1"/>
        <v>#N/A</v>
      </c>
      <c r="H594" t="e">
        <f ca="1"/>
        <v>#N/A</v>
      </c>
      <c r="I594" t="e">
        <f ca="1"/>
        <v>#N/A</v>
      </c>
      <c r="J594" t="e">
        <f ca="1"/>
        <v>#N/A</v>
      </c>
      <c r="K594" t="e">
        <f ca="1"/>
        <v>#N/A</v>
      </c>
    </row>
    <row r="595" spans="1:11" x14ac:dyDescent="0.25">
      <c r="A595" s="2" t="e">
        <f ca="1"/>
        <v>#N/A</v>
      </c>
      <c r="C595" t="e">
        <f ca="1"/>
        <v>#N/A</v>
      </c>
      <c r="D595" t="e">
        <f ca="1"/>
        <v>#N/A</v>
      </c>
      <c r="E595" t="e">
        <f ca="1"/>
        <v>#N/A</v>
      </c>
      <c r="F595" t="e">
        <f ca="1"/>
        <v>#N/A</v>
      </c>
      <c r="G595" t="e">
        <f ca="1"/>
        <v>#N/A</v>
      </c>
      <c r="H595" t="e">
        <f ca="1"/>
        <v>#N/A</v>
      </c>
      <c r="I595" t="e">
        <f ca="1"/>
        <v>#N/A</v>
      </c>
      <c r="J595" t="e">
        <f ca="1"/>
        <v>#N/A</v>
      </c>
      <c r="K595" t="e">
        <f ca="1"/>
        <v>#N/A</v>
      </c>
    </row>
    <row r="596" spans="1:11" x14ac:dyDescent="0.25">
      <c r="A596" s="2" t="e">
        <f ca="1"/>
        <v>#N/A</v>
      </c>
      <c r="C596" t="e">
        <f ca="1"/>
        <v>#N/A</v>
      </c>
      <c r="D596" t="e">
        <f ca="1"/>
        <v>#N/A</v>
      </c>
      <c r="E596" t="e">
        <f ca="1"/>
        <v>#N/A</v>
      </c>
      <c r="F596" t="e">
        <f ca="1"/>
        <v>#N/A</v>
      </c>
      <c r="G596" t="e">
        <f ca="1"/>
        <v>#N/A</v>
      </c>
      <c r="H596" t="e">
        <f ca="1"/>
        <v>#N/A</v>
      </c>
      <c r="I596" t="e">
        <f ca="1"/>
        <v>#N/A</v>
      </c>
      <c r="J596" t="e">
        <f ca="1"/>
        <v>#N/A</v>
      </c>
      <c r="K596" t="e">
        <f ca="1"/>
        <v>#N/A</v>
      </c>
    </row>
    <row r="597" spans="1:11" x14ac:dyDescent="0.25">
      <c r="A597" s="2" t="e">
        <f ca="1"/>
        <v>#N/A</v>
      </c>
      <c r="C597" t="e">
        <f ca="1"/>
        <v>#N/A</v>
      </c>
      <c r="D597" t="e">
        <f ca="1"/>
        <v>#N/A</v>
      </c>
      <c r="E597" t="e">
        <f ca="1"/>
        <v>#N/A</v>
      </c>
      <c r="F597" t="e">
        <f ca="1"/>
        <v>#N/A</v>
      </c>
      <c r="G597" t="e">
        <f ca="1"/>
        <v>#N/A</v>
      </c>
      <c r="H597" t="e">
        <f ca="1"/>
        <v>#N/A</v>
      </c>
      <c r="I597" t="e">
        <f ca="1"/>
        <v>#N/A</v>
      </c>
      <c r="J597" t="e">
        <f ca="1"/>
        <v>#N/A</v>
      </c>
      <c r="K597" t="e">
        <f ca="1"/>
        <v>#N/A</v>
      </c>
    </row>
    <row r="598" spans="1:11" x14ac:dyDescent="0.25">
      <c r="A598" s="2" t="e">
        <f ca="1"/>
        <v>#N/A</v>
      </c>
      <c r="C598" t="e">
        <f ca="1"/>
        <v>#N/A</v>
      </c>
      <c r="D598" t="e">
        <f ca="1"/>
        <v>#N/A</v>
      </c>
      <c r="E598" t="e">
        <f ca="1"/>
        <v>#N/A</v>
      </c>
      <c r="F598" t="e">
        <f ca="1"/>
        <v>#N/A</v>
      </c>
      <c r="G598" t="e">
        <f ca="1"/>
        <v>#N/A</v>
      </c>
      <c r="H598" t="e">
        <f ca="1"/>
        <v>#N/A</v>
      </c>
      <c r="I598" t="e">
        <f ca="1"/>
        <v>#N/A</v>
      </c>
      <c r="J598" t="e">
        <f ca="1"/>
        <v>#N/A</v>
      </c>
      <c r="K598" t="e">
        <f ca="1"/>
        <v>#N/A</v>
      </c>
    </row>
    <row r="599" spans="1:11" x14ac:dyDescent="0.25">
      <c r="A599" s="2" t="e">
        <f ca="1"/>
        <v>#N/A</v>
      </c>
      <c r="C599" t="e">
        <f ca="1"/>
        <v>#N/A</v>
      </c>
      <c r="D599" t="e">
        <f ca="1"/>
        <v>#N/A</v>
      </c>
      <c r="E599" t="e">
        <f ca="1"/>
        <v>#N/A</v>
      </c>
      <c r="F599" t="e">
        <f ca="1"/>
        <v>#N/A</v>
      </c>
      <c r="G599" t="e">
        <f ca="1"/>
        <v>#N/A</v>
      </c>
      <c r="H599" t="e">
        <f ca="1"/>
        <v>#N/A</v>
      </c>
      <c r="I599" t="e">
        <f ca="1"/>
        <v>#N/A</v>
      </c>
      <c r="J599" t="e">
        <f ca="1"/>
        <v>#N/A</v>
      </c>
      <c r="K599" t="e">
        <f ca="1"/>
        <v>#N/A</v>
      </c>
    </row>
    <row r="600" spans="1:11" x14ac:dyDescent="0.25">
      <c r="A600" s="2" t="e">
        <f ca="1"/>
        <v>#N/A</v>
      </c>
      <c r="C600" t="e">
        <f ca="1"/>
        <v>#N/A</v>
      </c>
      <c r="D600" t="e">
        <f ca="1"/>
        <v>#N/A</v>
      </c>
      <c r="E600" t="e">
        <f ca="1"/>
        <v>#N/A</v>
      </c>
      <c r="F600" t="e">
        <f ca="1"/>
        <v>#N/A</v>
      </c>
      <c r="G600" t="e">
        <f ca="1"/>
        <v>#N/A</v>
      </c>
      <c r="H600" t="e">
        <f ca="1"/>
        <v>#N/A</v>
      </c>
      <c r="I600" t="e">
        <f ca="1"/>
        <v>#N/A</v>
      </c>
      <c r="J600" t="e">
        <f ca="1"/>
        <v>#N/A</v>
      </c>
      <c r="K600" t="e">
        <f ca="1"/>
        <v>#N/A</v>
      </c>
    </row>
    <row r="601" spans="1:11" x14ac:dyDescent="0.25">
      <c r="A601" s="2" t="e">
        <f ca="1"/>
        <v>#N/A</v>
      </c>
      <c r="C601" t="e">
        <f ca="1"/>
        <v>#N/A</v>
      </c>
      <c r="D601" t="e">
        <f ca="1"/>
        <v>#N/A</v>
      </c>
      <c r="E601" t="e">
        <f ca="1"/>
        <v>#N/A</v>
      </c>
      <c r="F601" t="e">
        <f ca="1"/>
        <v>#N/A</v>
      </c>
      <c r="G601" t="e">
        <f ca="1"/>
        <v>#N/A</v>
      </c>
      <c r="H601" t="e">
        <f ca="1"/>
        <v>#N/A</v>
      </c>
      <c r="I601" t="e">
        <f ca="1"/>
        <v>#N/A</v>
      </c>
      <c r="J601" t="e">
        <f ca="1"/>
        <v>#N/A</v>
      </c>
      <c r="K601" t="e">
        <f ca="1"/>
        <v>#N/A</v>
      </c>
    </row>
    <row r="602" spans="1:11" x14ac:dyDescent="0.25">
      <c r="A602" s="2" t="e">
        <f ca="1"/>
        <v>#N/A</v>
      </c>
      <c r="C602" t="e">
        <f ca="1"/>
        <v>#N/A</v>
      </c>
      <c r="D602" t="e">
        <f ca="1"/>
        <v>#N/A</v>
      </c>
      <c r="E602" t="e">
        <f ca="1"/>
        <v>#N/A</v>
      </c>
      <c r="F602" t="e">
        <f ca="1"/>
        <v>#N/A</v>
      </c>
      <c r="G602" t="e">
        <f ca="1"/>
        <v>#N/A</v>
      </c>
      <c r="H602" t="e">
        <f ca="1"/>
        <v>#N/A</v>
      </c>
      <c r="I602" t="e">
        <f ca="1"/>
        <v>#N/A</v>
      </c>
      <c r="J602" t="e">
        <f ca="1"/>
        <v>#N/A</v>
      </c>
      <c r="K602" t="e">
        <f ca="1"/>
        <v>#N/A</v>
      </c>
    </row>
    <row r="603" spans="1:11" x14ac:dyDescent="0.25">
      <c r="A603" s="2" t="e">
        <f ca="1"/>
        <v>#N/A</v>
      </c>
      <c r="C603" t="e">
        <f ca="1"/>
        <v>#N/A</v>
      </c>
      <c r="D603" t="e">
        <f ca="1"/>
        <v>#N/A</v>
      </c>
      <c r="E603" t="e">
        <f ca="1"/>
        <v>#N/A</v>
      </c>
      <c r="F603" t="e">
        <f ca="1"/>
        <v>#N/A</v>
      </c>
      <c r="G603" t="e">
        <f ca="1"/>
        <v>#N/A</v>
      </c>
      <c r="H603" t="e">
        <f ca="1"/>
        <v>#N/A</v>
      </c>
      <c r="I603" t="e">
        <f ca="1"/>
        <v>#N/A</v>
      </c>
      <c r="J603" t="e">
        <f ca="1"/>
        <v>#N/A</v>
      </c>
      <c r="K603" t="e">
        <f ca="1"/>
        <v>#N/A</v>
      </c>
    </row>
    <row r="604" spans="1:11" x14ac:dyDescent="0.25">
      <c r="A604" s="2" t="e">
        <f ca="1"/>
        <v>#N/A</v>
      </c>
      <c r="C604" t="e">
        <f ca="1"/>
        <v>#N/A</v>
      </c>
      <c r="D604" t="e">
        <f ca="1"/>
        <v>#N/A</v>
      </c>
      <c r="E604" t="e">
        <f ca="1"/>
        <v>#N/A</v>
      </c>
      <c r="F604" t="e">
        <f ca="1"/>
        <v>#N/A</v>
      </c>
      <c r="G604" t="e">
        <f ca="1"/>
        <v>#N/A</v>
      </c>
      <c r="H604" t="e">
        <f ca="1"/>
        <v>#N/A</v>
      </c>
      <c r="I604" t="e">
        <f ca="1"/>
        <v>#N/A</v>
      </c>
      <c r="J604" t="e">
        <f ca="1"/>
        <v>#N/A</v>
      </c>
      <c r="K604" t="e">
        <f ca="1"/>
        <v>#N/A</v>
      </c>
    </row>
    <row r="605" spans="1:11" x14ac:dyDescent="0.25">
      <c r="A605" s="2" t="e">
        <f ca="1"/>
        <v>#N/A</v>
      </c>
      <c r="C605" t="e">
        <f ca="1"/>
        <v>#N/A</v>
      </c>
      <c r="D605" t="e">
        <f ca="1"/>
        <v>#N/A</v>
      </c>
      <c r="E605" t="e">
        <f ca="1"/>
        <v>#N/A</v>
      </c>
      <c r="F605" t="e">
        <f ca="1"/>
        <v>#N/A</v>
      </c>
      <c r="G605" t="e">
        <f ca="1"/>
        <v>#N/A</v>
      </c>
      <c r="H605" t="e">
        <f ca="1"/>
        <v>#N/A</v>
      </c>
      <c r="I605" t="e">
        <f ca="1"/>
        <v>#N/A</v>
      </c>
      <c r="J605" t="e">
        <f ca="1"/>
        <v>#N/A</v>
      </c>
      <c r="K605" t="e">
        <f ca="1"/>
        <v>#N/A</v>
      </c>
    </row>
    <row r="606" spans="1:11" x14ac:dyDescent="0.25">
      <c r="A606" s="2" t="e">
        <f ca="1"/>
        <v>#N/A</v>
      </c>
      <c r="C606" t="e">
        <f ca="1"/>
        <v>#N/A</v>
      </c>
      <c r="D606" t="e">
        <f ca="1"/>
        <v>#N/A</v>
      </c>
      <c r="E606" t="e">
        <f ca="1"/>
        <v>#N/A</v>
      </c>
      <c r="F606" t="e">
        <f ca="1"/>
        <v>#N/A</v>
      </c>
      <c r="G606" t="e">
        <f ca="1"/>
        <v>#N/A</v>
      </c>
      <c r="H606" t="e">
        <f ca="1"/>
        <v>#N/A</v>
      </c>
      <c r="I606" t="e">
        <f ca="1"/>
        <v>#N/A</v>
      </c>
      <c r="J606" t="e">
        <f ca="1"/>
        <v>#N/A</v>
      </c>
      <c r="K606" t="e">
        <f ca="1"/>
        <v>#N/A</v>
      </c>
    </row>
    <row r="607" spans="1:11" x14ac:dyDescent="0.25">
      <c r="A607" s="2" t="e">
        <f ca="1"/>
        <v>#N/A</v>
      </c>
      <c r="C607" t="e">
        <f ca="1"/>
        <v>#N/A</v>
      </c>
      <c r="D607" t="e">
        <f ca="1"/>
        <v>#N/A</v>
      </c>
      <c r="E607" t="e">
        <f ca="1"/>
        <v>#N/A</v>
      </c>
      <c r="F607" t="e">
        <f ca="1"/>
        <v>#N/A</v>
      </c>
      <c r="G607" t="e">
        <f ca="1"/>
        <v>#N/A</v>
      </c>
      <c r="H607" t="e">
        <f ca="1"/>
        <v>#N/A</v>
      </c>
      <c r="I607" t="e">
        <f ca="1"/>
        <v>#N/A</v>
      </c>
      <c r="J607" t="e">
        <f ca="1"/>
        <v>#N/A</v>
      </c>
      <c r="K607" t="e">
        <f ca="1"/>
        <v>#N/A</v>
      </c>
    </row>
    <row r="608" spans="1:11" x14ac:dyDescent="0.25">
      <c r="A608" s="2" t="e">
        <f ca="1"/>
        <v>#N/A</v>
      </c>
      <c r="C608" t="e">
        <f ca="1"/>
        <v>#N/A</v>
      </c>
      <c r="D608" t="e">
        <f ca="1"/>
        <v>#N/A</v>
      </c>
      <c r="E608" t="e">
        <f ca="1"/>
        <v>#N/A</v>
      </c>
      <c r="F608" t="e">
        <f ca="1"/>
        <v>#N/A</v>
      </c>
      <c r="G608" t="e">
        <f ca="1"/>
        <v>#N/A</v>
      </c>
      <c r="H608" t="e">
        <f ca="1"/>
        <v>#N/A</v>
      </c>
      <c r="I608" t="e">
        <f ca="1"/>
        <v>#N/A</v>
      </c>
      <c r="J608" t="e">
        <f ca="1"/>
        <v>#N/A</v>
      </c>
      <c r="K608" t="e">
        <f ca="1"/>
        <v>#N/A</v>
      </c>
    </row>
    <row r="609" spans="1:11" x14ac:dyDescent="0.25">
      <c r="A609" s="2" t="e">
        <f ca="1"/>
        <v>#N/A</v>
      </c>
      <c r="C609" t="e">
        <f ca="1"/>
        <v>#N/A</v>
      </c>
      <c r="D609" t="e">
        <f ca="1"/>
        <v>#N/A</v>
      </c>
      <c r="E609" t="e">
        <f ca="1"/>
        <v>#N/A</v>
      </c>
      <c r="F609" t="e">
        <f ca="1"/>
        <v>#N/A</v>
      </c>
      <c r="G609" t="e">
        <f ca="1"/>
        <v>#N/A</v>
      </c>
      <c r="H609" t="e">
        <f ca="1"/>
        <v>#N/A</v>
      </c>
      <c r="I609" t="e">
        <f ca="1"/>
        <v>#N/A</v>
      </c>
      <c r="J609" t="e">
        <f ca="1"/>
        <v>#N/A</v>
      </c>
      <c r="K609" t="e">
        <f ca="1"/>
        <v>#N/A</v>
      </c>
    </row>
    <row r="610" spans="1:11" x14ac:dyDescent="0.25">
      <c r="A610" s="2" t="e">
        <f ca="1"/>
        <v>#N/A</v>
      </c>
      <c r="C610" t="e">
        <f ca="1"/>
        <v>#N/A</v>
      </c>
      <c r="D610" t="e">
        <f ca="1"/>
        <v>#N/A</v>
      </c>
      <c r="E610" t="e">
        <f ca="1"/>
        <v>#N/A</v>
      </c>
      <c r="F610" t="e">
        <f ca="1"/>
        <v>#N/A</v>
      </c>
      <c r="G610" t="e">
        <f ca="1"/>
        <v>#N/A</v>
      </c>
      <c r="H610" t="e">
        <f ca="1"/>
        <v>#N/A</v>
      </c>
      <c r="I610" t="e">
        <f ca="1"/>
        <v>#N/A</v>
      </c>
      <c r="J610" t="e">
        <f ca="1"/>
        <v>#N/A</v>
      </c>
      <c r="K610" t="e">
        <f ca="1"/>
        <v>#N/A</v>
      </c>
    </row>
    <row r="611" spans="1:11" x14ac:dyDescent="0.25">
      <c r="A611" s="2" t="e">
        <f ca="1"/>
        <v>#N/A</v>
      </c>
      <c r="C611" t="e">
        <f ca="1"/>
        <v>#N/A</v>
      </c>
      <c r="D611" t="e">
        <f ca="1"/>
        <v>#N/A</v>
      </c>
      <c r="E611" t="e">
        <f ca="1"/>
        <v>#N/A</v>
      </c>
      <c r="F611" t="e">
        <f ca="1"/>
        <v>#N/A</v>
      </c>
      <c r="G611" t="e">
        <f ca="1"/>
        <v>#N/A</v>
      </c>
      <c r="H611" t="e">
        <f ca="1"/>
        <v>#N/A</v>
      </c>
      <c r="I611" t="e">
        <f ca="1"/>
        <v>#N/A</v>
      </c>
      <c r="J611" t="e">
        <f ca="1"/>
        <v>#N/A</v>
      </c>
      <c r="K611" t="e">
        <f ca="1"/>
        <v>#N/A</v>
      </c>
    </row>
    <row r="612" spans="1:11" x14ac:dyDescent="0.25">
      <c r="A612" s="2" t="e">
        <f ca="1"/>
        <v>#N/A</v>
      </c>
      <c r="C612" t="e">
        <f ca="1"/>
        <v>#N/A</v>
      </c>
      <c r="D612" t="e">
        <f ca="1"/>
        <v>#N/A</v>
      </c>
      <c r="E612" t="e">
        <f ca="1"/>
        <v>#N/A</v>
      </c>
      <c r="F612" t="e">
        <f ca="1"/>
        <v>#N/A</v>
      </c>
      <c r="G612" t="e">
        <f ca="1"/>
        <v>#N/A</v>
      </c>
      <c r="H612" t="e">
        <f ca="1"/>
        <v>#N/A</v>
      </c>
      <c r="I612" t="e">
        <f ca="1"/>
        <v>#N/A</v>
      </c>
      <c r="J612" t="e">
        <f ca="1"/>
        <v>#N/A</v>
      </c>
      <c r="K612" t="e">
        <f ca="1"/>
        <v>#N/A</v>
      </c>
    </row>
    <row r="613" spans="1:11" x14ac:dyDescent="0.25">
      <c r="A613" s="2" t="e">
        <f ca="1"/>
        <v>#N/A</v>
      </c>
      <c r="C613" t="e">
        <f ca="1"/>
        <v>#N/A</v>
      </c>
      <c r="D613" t="e">
        <f ca="1"/>
        <v>#N/A</v>
      </c>
      <c r="E613" t="e">
        <f ca="1"/>
        <v>#N/A</v>
      </c>
      <c r="F613" t="e">
        <f ca="1"/>
        <v>#N/A</v>
      </c>
      <c r="G613" t="e">
        <f ca="1"/>
        <v>#N/A</v>
      </c>
      <c r="H613" t="e">
        <f ca="1"/>
        <v>#N/A</v>
      </c>
      <c r="I613" t="e">
        <f ca="1"/>
        <v>#N/A</v>
      </c>
      <c r="J613" t="e">
        <f ca="1"/>
        <v>#N/A</v>
      </c>
      <c r="K613" t="e">
        <f ca="1"/>
        <v>#N/A</v>
      </c>
    </row>
    <row r="614" spans="1:11" x14ac:dyDescent="0.25">
      <c r="A614" s="2" t="e">
        <f ca="1"/>
        <v>#N/A</v>
      </c>
      <c r="C614" t="e">
        <f ca="1"/>
        <v>#N/A</v>
      </c>
      <c r="D614" t="e">
        <f ca="1"/>
        <v>#N/A</v>
      </c>
      <c r="E614" t="e">
        <f ca="1"/>
        <v>#N/A</v>
      </c>
      <c r="F614" t="e">
        <f ca="1"/>
        <v>#N/A</v>
      </c>
      <c r="G614" t="e">
        <f ca="1"/>
        <v>#N/A</v>
      </c>
      <c r="H614" t="e">
        <f ca="1"/>
        <v>#N/A</v>
      </c>
      <c r="I614" t="e">
        <f ca="1"/>
        <v>#N/A</v>
      </c>
      <c r="J614" t="e">
        <f ca="1"/>
        <v>#N/A</v>
      </c>
      <c r="K614" t="e">
        <f ca="1"/>
        <v>#N/A</v>
      </c>
    </row>
    <row r="615" spans="1:11" x14ac:dyDescent="0.25">
      <c r="A615" s="2" t="e">
        <f ca="1"/>
        <v>#N/A</v>
      </c>
      <c r="C615" t="e">
        <f ca="1"/>
        <v>#N/A</v>
      </c>
      <c r="D615" t="e">
        <f ca="1"/>
        <v>#N/A</v>
      </c>
      <c r="E615" t="e">
        <f ca="1"/>
        <v>#N/A</v>
      </c>
      <c r="F615" t="e">
        <f ca="1"/>
        <v>#N/A</v>
      </c>
      <c r="G615" t="e">
        <f ca="1"/>
        <v>#N/A</v>
      </c>
      <c r="H615" t="e">
        <f ca="1"/>
        <v>#N/A</v>
      </c>
      <c r="I615" t="e">
        <f ca="1"/>
        <v>#N/A</v>
      </c>
      <c r="J615" t="e">
        <f ca="1"/>
        <v>#N/A</v>
      </c>
      <c r="K615" t="e">
        <f ca="1"/>
        <v>#N/A</v>
      </c>
    </row>
    <row r="616" spans="1:11" x14ac:dyDescent="0.25">
      <c r="A616" s="2" t="e">
        <f ca="1"/>
        <v>#N/A</v>
      </c>
      <c r="C616" t="e">
        <f ca="1"/>
        <v>#N/A</v>
      </c>
      <c r="D616" t="e">
        <f ca="1"/>
        <v>#N/A</v>
      </c>
      <c r="E616" t="e">
        <f ca="1"/>
        <v>#N/A</v>
      </c>
      <c r="F616" t="e">
        <f ca="1"/>
        <v>#N/A</v>
      </c>
      <c r="G616" t="e">
        <f ca="1"/>
        <v>#N/A</v>
      </c>
      <c r="H616" t="e">
        <f ca="1"/>
        <v>#N/A</v>
      </c>
      <c r="I616" t="e">
        <f ca="1"/>
        <v>#N/A</v>
      </c>
      <c r="J616" t="e">
        <f ca="1"/>
        <v>#N/A</v>
      </c>
      <c r="K616" t="e">
        <f ca="1"/>
        <v>#N/A</v>
      </c>
    </row>
    <row r="617" spans="1:11" x14ac:dyDescent="0.25">
      <c r="A617" s="2" t="e">
        <f ca="1"/>
        <v>#N/A</v>
      </c>
      <c r="C617" t="e">
        <f ca="1"/>
        <v>#N/A</v>
      </c>
      <c r="D617" t="e">
        <f ca="1"/>
        <v>#N/A</v>
      </c>
      <c r="E617" t="e">
        <f ca="1"/>
        <v>#N/A</v>
      </c>
      <c r="F617" t="e">
        <f ca="1"/>
        <v>#N/A</v>
      </c>
      <c r="G617" t="e">
        <f ca="1"/>
        <v>#N/A</v>
      </c>
      <c r="H617" t="e">
        <f ca="1"/>
        <v>#N/A</v>
      </c>
      <c r="I617" t="e">
        <f ca="1"/>
        <v>#N/A</v>
      </c>
      <c r="J617" t="e">
        <f ca="1"/>
        <v>#N/A</v>
      </c>
      <c r="K617" t="e">
        <f ca="1"/>
        <v>#N/A</v>
      </c>
    </row>
    <row r="618" spans="1:11" x14ac:dyDescent="0.25">
      <c r="A618" s="2" t="e">
        <f ca="1"/>
        <v>#N/A</v>
      </c>
      <c r="C618" t="e">
        <f ca="1"/>
        <v>#N/A</v>
      </c>
      <c r="D618" t="e">
        <f ca="1"/>
        <v>#N/A</v>
      </c>
      <c r="E618" t="e">
        <f ca="1"/>
        <v>#N/A</v>
      </c>
      <c r="F618" t="e">
        <f ca="1"/>
        <v>#N/A</v>
      </c>
      <c r="G618" t="e">
        <f ca="1"/>
        <v>#N/A</v>
      </c>
      <c r="H618" t="e">
        <f ca="1"/>
        <v>#N/A</v>
      </c>
      <c r="I618" t="e">
        <f ca="1"/>
        <v>#N/A</v>
      </c>
      <c r="J618" t="e">
        <f ca="1"/>
        <v>#N/A</v>
      </c>
      <c r="K618" t="e">
        <f ca="1"/>
        <v>#N/A</v>
      </c>
    </row>
    <row r="619" spans="1:11" x14ac:dyDescent="0.25">
      <c r="A619" s="2" t="e">
        <f ca="1"/>
        <v>#N/A</v>
      </c>
      <c r="C619" t="e">
        <f ca="1"/>
        <v>#N/A</v>
      </c>
      <c r="D619" t="e">
        <f ca="1"/>
        <v>#N/A</v>
      </c>
      <c r="E619" t="e">
        <f ca="1"/>
        <v>#N/A</v>
      </c>
      <c r="F619" t="e">
        <f ca="1"/>
        <v>#N/A</v>
      </c>
      <c r="G619" t="e">
        <f ca="1"/>
        <v>#N/A</v>
      </c>
      <c r="H619" t="e">
        <f ca="1"/>
        <v>#N/A</v>
      </c>
      <c r="I619" t="e">
        <f ca="1"/>
        <v>#N/A</v>
      </c>
      <c r="J619" t="e">
        <f ca="1"/>
        <v>#N/A</v>
      </c>
      <c r="K619" t="e">
        <f ca="1"/>
        <v>#N/A</v>
      </c>
    </row>
    <row r="620" spans="1:11" x14ac:dyDescent="0.25">
      <c r="A620" s="2" t="e">
        <f ca="1"/>
        <v>#N/A</v>
      </c>
      <c r="C620" t="e">
        <f ca="1"/>
        <v>#N/A</v>
      </c>
      <c r="D620" t="e">
        <f ca="1"/>
        <v>#N/A</v>
      </c>
      <c r="E620" t="e">
        <f ca="1"/>
        <v>#N/A</v>
      </c>
      <c r="F620" t="e">
        <f ca="1"/>
        <v>#N/A</v>
      </c>
      <c r="G620" t="e">
        <f ca="1"/>
        <v>#N/A</v>
      </c>
      <c r="H620" t="e">
        <f ca="1"/>
        <v>#N/A</v>
      </c>
      <c r="I620" t="e">
        <f ca="1"/>
        <v>#N/A</v>
      </c>
      <c r="J620" t="e">
        <f ca="1"/>
        <v>#N/A</v>
      </c>
      <c r="K620" t="e">
        <f ca="1"/>
        <v>#N/A</v>
      </c>
    </row>
    <row r="621" spans="1:11" x14ac:dyDescent="0.25">
      <c r="A621" s="2" t="e">
        <f ca="1"/>
        <v>#N/A</v>
      </c>
      <c r="C621" t="e">
        <f ca="1"/>
        <v>#N/A</v>
      </c>
      <c r="D621" t="e">
        <f ca="1"/>
        <v>#N/A</v>
      </c>
      <c r="E621" t="e">
        <f ca="1"/>
        <v>#N/A</v>
      </c>
      <c r="F621" t="e">
        <f ca="1"/>
        <v>#N/A</v>
      </c>
      <c r="G621" t="e">
        <f ca="1"/>
        <v>#N/A</v>
      </c>
      <c r="H621" t="e">
        <f ca="1"/>
        <v>#N/A</v>
      </c>
      <c r="I621" t="e">
        <f ca="1"/>
        <v>#N/A</v>
      </c>
      <c r="J621" t="e">
        <f ca="1"/>
        <v>#N/A</v>
      </c>
      <c r="K621" t="e">
        <f ca="1"/>
        <v>#N/A</v>
      </c>
    </row>
    <row r="622" spans="1:11" x14ac:dyDescent="0.25">
      <c r="A622" s="2" t="e">
        <f ca="1"/>
        <v>#N/A</v>
      </c>
      <c r="C622" t="e">
        <f ca="1"/>
        <v>#N/A</v>
      </c>
      <c r="D622" t="e">
        <f ca="1"/>
        <v>#N/A</v>
      </c>
      <c r="E622" t="e">
        <f ca="1"/>
        <v>#N/A</v>
      </c>
      <c r="F622" t="e">
        <f ca="1"/>
        <v>#N/A</v>
      </c>
      <c r="G622" t="e">
        <f ca="1"/>
        <v>#N/A</v>
      </c>
      <c r="H622" t="e">
        <f ca="1"/>
        <v>#N/A</v>
      </c>
      <c r="I622" t="e">
        <f ca="1"/>
        <v>#N/A</v>
      </c>
      <c r="J622" t="e">
        <f ca="1"/>
        <v>#N/A</v>
      </c>
      <c r="K622" t="e">
        <f ca="1"/>
        <v>#N/A</v>
      </c>
    </row>
    <row r="623" spans="1:11" x14ac:dyDescent="0.25">
      <c r="A623" s="2" t="e">
        <f ca="1"/>
        <v>#N/A</v>
      </c>
      <c r="C623" t="e">
        <f ca="1"/>
        <v>#N/A</v>
      </c>
      <c r="D623" t="e">
        <f ca="1"/>
        <v>#N/A</v>
      </c>
      <c r="E623" t="e">
        <f ca="1"/>
        <v>#N/A</v>
      </c>
      <c r="F623" t="e">
        <f ca="1"/>
        <v>#N/A</v>
      </c>
      <c r="G623" t="e">
        <f ca="1"/>
        <v>#N/A</v>
      </c>
      <c r="H623" t="e">
        <f ca="1"/>
        <v>#N/A</v>
      </c>
      <c r="I623" t="e">
        <f ca="1"/>
        <v>#N/A</v>
      </c>
      <c r="J623" t="e">
        <f ca="1"/>
        <v>#N/A</v>
      </c>
      <c r="K623" t="e">
        <f ca="1"/>
        <v>#N/A</v>
      </c>
    </row>
    <row r="624" spans="1:11" x14ac:dyDescent="0.25">
      <c r="A624" s="2" t="e">
        <f ca="1"/>
        <v>#N/A</v>
      </c>
      <c r="C624" t="e">
        <f ca="1"/>
        <v>#N/A</v>
      </c>
      <c r="D624" t="e">
        <f ca="1"/>
        <v>#N/A</v>
      </c>
      <c r="E624" t="e">
        <f ca="1"/>
        <v>#N/A</v>
      </c>
      <c r="F624" t="e">
        <f ca="1"/>
        <v>#N/A</v>
      </c>
      <c r="G624" t="e">
        <f ca="1"/>
        <v>#N/A</v>
      </c>
      <c r="H624" t="e">
        <f ca="1"/>
        <v>#N/A</v>
      </c>
      <c r="I624" t="e">
        <f ca="1"/>
        <v>#N/A</v>
      </c>
      <c r="J624" t="e">
        <f ca="1"/>
        <v>#N/A</v>
      </c>
      <c r="K624" t="e">
        <f ca="1"/>
        <v>#N/A</v>
      </c>
    </row>
    <row r="625" spans="1:11" x14ac:dyDescent="0.25">
      <c r="A625" s="2" t="e">
        <f ca="1"/>
        <v>#N/A</v>
      </c>
      <c r="C625" t="e">
        <f ca="1"/>
        <v>#N/A</v>
      </c>
      <c r="D625" t="e">
        <f ca="1"/>
        <v>#N/A</v>
      </c>
      <c r="E625" t="e">
        <f ca="1"/>
        <v>#N/A</v>
      </c>
      <c r="F625" t="e">
        <f ca="1"/>
        <v>#N/A</v>
      </c>
      <c r="G625" t="e">
        <f ca="1"/>
        <v>#N/A</v>
      </c>
      <c r="H625" t="e">
        <f ca="1"/>
        <v>#N/A</v>
      </c>
      <c r="I625" t="e">
        <f ca="1"/>
        <v>#N/A</v>
      </c>
      <c r="J625" t="e">
        <f ca="1"/>
        <v>#N/A</v>
      </c>
      <c r="K625" t="e">
        <f ca="1"/>
        <v>#N/A</v>
      </c>
    </row>
    <row r="626" spans="1:11" x14ac:dyDescent="0.25">
      <c r="A626" s="2" t="e">
        <f ca="1"/>
        <v>#N/A</v>
      </c>
      <c r="C626" t="e">
        <f ca="1"/>
        <v>#N/A</v>
      </c>
      <c r="D626" t="e">
        <f ca="1"/>
        <v>#N/A</v>
      </c>
      <c r="E626" t="e">
        <f ca="1"/>
        <v>#N/A</v>
      </c>
      <c r="F626" t="e">
        <f ca="1"/>
        <v>#N/A</v>
      </c>
      <c r="G626" t="e">
        <f ca="1"/>
        <v>#N/A</v>
      </c>
      <c r="H626" t="e">
        <f ca="1"/>
        <v>#N/A</v>
      </c>
      <c r="I626" t="e">
        <f ca="1"/>
        <v>#N/A</v>
      </c>
      <c r="J626" t="e">
        <f ca="1"/>
        <v>#N/A</v>
      </c>
      <c r="K626" t="e">
        <f ca="1"/>
        <v>#N/A</v>
      </c>
    </row>
    <row r="627" spans="1:11" x14ac:dyDescent="0.25">
      <c r="A627" s="2" t="e">
        <f ca="1"/>
        <v>#N/A</v>
      </c>
      <c r="C627" t="e">
        <f ca="1"/>
        <v>#N/A</v>
      </c>
      <c r="D627" t="e">
        <f ca="1"/>
        <v>#N/A</v>
      </c>
      <c r="E627" t="e">
        <f ca="1"/>
        <v>#N/A</v>
      </c>
      <c r="F627" t="e">
        <f ca="1"/>
        <v>#N/A</v>
      </c>
      <c r="G627" t="e">
        <f ca="1"/>
        <v>#N/A</v>
      </c>
      <c r="H627" t="e">
        <f ca="1"/>
        <v>#N/A</v>
      </c>
      <c r="I627" t="e">
        <f ca="1"/>
        <v>#N/A</v>
      </c>
      <c r="J627" t="e">
        <f ca="1"/>
        <v>#N/A</v>
      </c>
      <c r="K627" t="e">
        <f ca="1"/>
        <v>#N/A</v>
      </c>
    </row>
    <row r="628" spans="1:11" x14ac:dyDescent="0.25">
      <c r="A628" s="2" t="e">
        <f ca="1"/>
        <v>#N/A</v>
      </c>
      <c r="C628" t="e">
        <f ca="1"/>
        <v>#N/A</v>
      </c>
      <c r="D628" t="e">
        <f ca="1"/>
        <v>#N/A</v>
      </c>
      <c r="E628" t="e">
        <f ca="1"/>
        <v>#N/A</v>
      </c>
      <c r="F628" t="e">
        <f ca="1"/>
        <v>#N/A</v>
      </c>
      <c r="G628" t="e">
        <f ca="1"/>
        <v>#N/A</v>
      </c>
      <c r="H628" t="e">
        <f ca="1"/>
        <v>#N/A</v>
      </c>
      <c r="I628" t="e">
        <f ca="1"/>
        <v>#N/A</v>
      </c>
      <c r="J628" t="e">
        <f ca="1"/>
        <v>#N/A</v>
      </c>
      <c r="K628" t="e">
        <f ca="1"/>
        <v>#N/A</v>
      </c>
    </row>
    <row r="629" spans="1:11" x14ac:dyDescent="0.25">
      <c r="A629" s="2" t="e">
        <f ca="1"/>
        <v>#N/A</v>
      </c>
      <c r="C629" t="e">
        <f ca="1"/>
        <v>#N/A</v>
      </c>
      <c r="D629" t="e">
        <f ca="1"/>
        <v>#N/A</v>
      </c>
      <c r="E629" t="e">
        <f ca="1"/>
        <v>#N/A</v>
      </c>
      <c r="F629" t="e">
        <f ca="1"/>
        <v>#N/A</v>
      </c>
      <c r="G629" t="e">
        <f ca="1"/>
        <v>#N/A</v>
      </c>
      <c r="H629" t="e">
        <f ca="1"/>
        <v>#N/A</v>
      </c>
      <c r="I629" t="e">
        <f ca="1"/>
        <v>#N/A</v>
      </c>
      <c r="J629" t="e">
        <f ca="1"/>
        <v>#N/A</v>
      </c>
      <c r="K629" t="e">
        <f ca="1"/>
        <v>#N/A</v>
      </c>
    </row>
    <row r="630" spans="1:11" x14ac:dyDescent="0.25">
      <c r="A630" s="2" t="e">
        <f ca="1"/>
        <v>#N/A</v>
      </c>
      <c r="C630" t="e">
        <f ca="1"/>
        <v>#N/A</v>
      </c>
      <c r="D630" t="e">
        <f ca="1"/>
        <v>#N/A</v>
      </c>
      <c r="E630" t="e">
        <f ca="1"/>
        <v>#N/A</v>
      </c>
      <c r="F630" t="e">
        <f ca="1"/>
        <v>#N/A</v>
      </c>
      <c r="G630" t="e">
        <f ca="1"/>
        <v>#N/A</v>
      </c>
      <c r="H630" t="e">
        <f ca="1"/>
        <v>#N/A</v>
      </c>
      <c r="I630" t="e">
        <f ca="1"/>
        <v>#N/A</v>
      </c>
      <c r="J630" t="e">
        <f ca="1"/>
        <v>#N/A</v>
      </c>
      <c r="K630" t="e">
        <f ca="1"/>
        <v>#N/A</v>
      </c>
    </row>
    <row r="631" spans="1:11" x14ac:dyDescent="0.25">
      <c r="A631" s="2" t="e">
        <f ca="1"/>
        <v>#N/A</v>
      </c>
      <c r="C631" t="e">
        <f ca="1"/>
        <v>#N/A</v>
      </c>
      <c r="D631" t="e">
        <f ca="1"/>
        <v>#N/A</v>
      </c>
      <c r="E631" t="e">
        <f ca="1"/>
        <v>#N/A</v>
      </c>
      <c r="F631" t="e">
        <f ca="1"/>
        <v>#N/A</v>
      </c>
      <c r="G631" t="e">
        <f ca="1"/>
        <v>#N/A</v>
      </c>
      <c r="H631" t="e">
        <f ca="1"/>
        <v>#N/A</v>
      </c>
      <c r="I631" t="e">
        <f ca="1"/>
        <v>#N/A</v>
      </c>
      <c r="J631" t="e">
        <f ca="1"/>
        <v>#N/A</v>
      </c>
      <c r="K631" t="e">
        <f ca="1"/>
        <v>#N/A</v>
      </c>
    </row>
    <row r="632" spans="1:11" x14ac:dyDescent="0.25">
      <c r="A632" s="2" t="e">
        <f ca="1"/>
        <v>#N/A</v>
      </c>
      <c r="C632" t="e">
        <f ca="1"/>
        <v>#N/A</v>
      </c>
      <c r="D632" t="e">
        <f ca="1"/>
        <v>#N/A</v>
      </c>
      <c r="E632" t="e">
        <f ca="1"/>
        <v>#N/A</v>
      </c>
      <c r="F632" t="e">
        <f ca="1"/>
        <v>#N/A</v>
      </c>
      <c r="G632" t="e">
        <f ca="1"/>
        <v>#N/A</v>
      </c>
      <c r="H632" t="e">
        <f ca="1"/>
        <v>#N/A</v>
      </c>
      <c r="I632" t="e">
        <f ca="1"/>
        <v>#N/A</v>
      </c>
      <c r="J632" t="e">
        <f ca="1"/>
        <v>#N/A</v>
      </c>
      <c r="K632" t="e">
        <f ca="1"/>
        <v>#N/A</v>
      </c>
    </row>
    <row r="633" spans="1:11" x14ac:dyDescent="0.25">
      <c r="A633" s="2" t="e">
        <f ca="1"/>
        <v>#N/A</v>
      </c>
      <c r="C633" t="e">
        <f ca="1"/>
        <v>#N/A</v>
      </c>
      <c r="D633" t="e">
        <f ca="1"/>
        <v>#N/A</v>
      </c>
      <c r="E633" t="e">
        <f ca="1"/>
        <v>#N/A</v>
      </c>
      <c r="F633" t="e">
        <f ca="1"/>
        <v>#N/A</v>
      </c>
      <c r="G633" t="e">
        <f ca="1"/>
        <v>#N/A</v>
      </c>
      <c r="H633" t="e">
        <f ca="1"/>
        <v>#N/A</v>
      </c>
      <c r="I633" t="e">
        <f ca="1"/>
        <v>#N/A</v>
      </c>
      <c r="J633" t="e">
        <f ca="1"/>
        <v>#N/A</v>
      </c>
      <c r="K633" t="e">
        <f ca="1"/>
        <v>#N/A</v>
      </c>
    </row>
    <row r="634" spans="1:11" x14ac:dyDescent="0.25">
      <c r="A634" s="2" t="e">
        <f ca="1"/>
        <v>#N/A</v>
      </c>
      <c r="C634" t="e">
        <f ca="1"/>
        <v>#N/A</v>
      </c>
      <c r="D634" t="e">
        <f ca="1"/>
        <v>#N/A</v>
      </c>
      <c r="E634" t="e">
        <f ca="1"/>
        <v>#N/A</v>
      </c>
      <c r="F634" t="e">
        <f ca="1"/>
        <v>#N/A</v>
      </c>
      <c r="G634" t="e">
        <f ca="1"/>
        <v>#N/A</v>
      </c>
      <c r="H634" t="e">
        <f ca="1"/>
        <v>#N/A</v>
      </c>
      <c r="I634" t="e">
        <f ca="1"/>
        <v>#N/A</v>
      </c>
      <c r="J634" t="e">
        <f ca="1"/>
        <v>#N/A</v>
      </c>
      <c r="K634" t="e">
        <f ca="1"/>
        <v>#N/A</v>
      </c>
    </row>
    <row r="635" spans="1:11" x14ac:dyDescent="0.25">
      <c r="A635" s="2" t="e">
        <f ca="1"/>
        <v>#N/A</v>
      </c>
      <c r="C635" t="e">
        <f ca="1"/>
        <v>#N/A</v>
      </c>
      <c r="D635" t="e">
        <f ca="1"/>
        <v>#N/A</v>
      </c>
      <c r="E635" t="e">
        <f ca="1"/>
        <v>#N/A</v>
      </c>
      <c r="F635" t="e">
        <f ca="1"/>
        <v>#N/A</v>
      </c>
      <c r="G635" t="e">
        <f ca="1"/>
        <v>#N/A</v>
      </c>
      <c r="H635" t="e">
        <f ca="1"/>
        <v>#N/A</v>
      </c>
      <c r="I635" t="e">
        <f ca="1"/>
        <v>#N/A</v>
      </c>
      <c r="J635" t="e">
        <f ca="1"/>
        <v>#N/A</v>
      </c>
      <c r="K635" t="e">
        <f ca="1"/>
        <v>#N/A</v>
      </c>
    </row>
    <row r="636" spans="1:11" x14ac:dyDescent="0.25">
      <c r="A636" s="2" t="e">
        <f ca="1"/>
        <v>#N/A</v>
      </c>
      <c r="C636" t="e">
        <f ca="1"/>
        <v>#N/A</v>
      </c>
      <c r="D636" t="e">
        <f ca="1"/>
        <v>#N/A</v>
      </c>
      <c r="E636" t="e">
        <f ca="1"/>
        <v>#N/A</v>
      </c>
      <c r="F636" t="e">
        <f ca="1"/>
        <v>#N/A</v>
      </c>
      <c r="G636" t="e">
        <f ca="1"/>
        <v>#N/A</v>
      </c>
      <c r="H636" t="e">
        <f ca="1"/>
        <v>#N/A</v>
      </c>
      <c r="I636" t="e">
        <f ca="1"/>
        <v>#N/A</v>
      </c>
      <c r="J636" t="e">
        <f ca="1"/>
        <v>#N/A</v>
      </c>
      <c r="K636" t="e">
        <f ca="1"/>
        <v>#N/A</v>
      </c>
    </row>
    <row r="637" spans="1:11" x14ac:dyDescent="0.25">
      <c r="A637" s="2" t="e">
        <f ca="1"/>
        <v>#N/A</v>
      </c>
      <c r="C637" t="e">
        <f ca="1"/>
        <v>#N/A</v>
      </c>
      <c r="D637" t="e">
        <f ca="1"/>
        <v>#N/A</v>
      </c>
      <c r="E637" t="e">
        <f ca="1"/>
        <v>#N/A</v>
      </c>
      <c r="F637" t="e">
        <f ca="1"/>
        <v>#N/A</v>
      </c>
      <c r="G637" t="e">
        <f ca="1"/>
        <v>#N/A</v>
      </c>
      <c r="H637" t="e">
        <f ca="1"/>
        <v>#N/A</v>
      </c>
      <c r="I637" t="e">
        <f ca="1"/>
        <v>#N/A</v>
      </c>
      <c r="J637" t="e">
        <f ca="1"/>
        <v>#N/A</v>
      </c>
      <c r="K637" t="e">
        <f ca="1"/>
        <v>#N/A</v>
      </c>
    </row>
    <row r="638" spans="1:11" x14ac:dyDescent="0.25">
      <c r="A638" s="2" t="e">
        <f ca="1"/>
        <v>#N/A</v>
      </c>
      <c r="C638" t="e">
        <f ca="1"/>
        <v>#N/A</v>
      </c>
      <c r="D638" t="e">
        <f ca="1"/>
        <v>#N/A</v>
      </c>
      <c r="E638" t="e">
        <f ca="1"/>
        <v>#N/A</v>
      </c>
      <c r="F638" t="e">
        <f ca="1"/>
        <v>#N/A</v>
      </c>
      <c r="G638" t="e">
        <f ca="1"/>
        <v>#N/A</v>
      </c>
      <c r="H638" t="e">
        <f ca="1"/>
        <v>#N/A</v>
      </c>
      <c r="I638" t="e">
        <f ca="1"/>
        <v>#N/A</v>
      </c>
      <c r="J638" t="e">
        <f ca="1"/>
        <v>#N/A</v>
      </c>
      <c r="K638" t="e">
        <f ca="1"/>
        <v>#N/A</v>
      </c>
    </row>
    <row r="639" spans="1:11" x14ac:dyDescent="0.25">
      <c r="A639" s="2" t="e">
        <f ca="1"/>
        <v>#N/A</v>
      </c>
      <c r="C639" t="e">
        <f ca="1"/>
        <v>#N/A</v>
      </c>
      <c r="D639" t="e">
        <f ca="1"/>
        <v>#N/A</v>
      </c>
      <c r="E639" t="e">
        <f ca="1"/>
        <v>#N/A</v>
      </c>
      <c r="F639" t="e">
        <f ca="1"/>
        <v>#N/A</v>
      </c>
      <c r="G639" t="e">
        <f ca="1"/>
        <v>#N/A</v>
      </c>
      <c r="H639" t="e">
        <f ca="1"/>
        <v>#N/A</v>
      </c>
      <c r="I639" t="e">
        <f ca="1"/>
        <v>#N/A</v>
      </c>
      <c r="J639" t="e">
        <f ca="1"/>
        <v>#N/A</v>
      </c>
      <c r="K639" t="e">
        <f ca="1"/>
        <v>#N/A</v>
      </c>
    </row>
    <row r="640" spans="1:11" x14ac:dyDescent="0.25">
      <c r="A640" s="2" t="e">
        <f ca="1"/>
        <v>#N/A</v>
      </c>
      <c r="C640" t="e">
        <f ca="1"/>
        <v>#N/A</v>
      </c>
      <c r="D640" t="e">
        <f ca="1"/>
        <v>#N/A</v>
      </c>
      <c r="E640" t="e">
        <f ca="1"/>
        <v>#N/A</v>
      </c>
      <c r="F640" t="e">
        <f ca="1"/>
        <v>#N/A</v>
      </c>
      <c r="G640" t="e">
        <f ca="1"/>
        <v>#N/A</v>
      </c>
      <c r="H640" t="e">
        <f ca="1"/>
        <v>#N/A</v>
      </c>
      <c r="I640" t="e">
        <f ca="1"/>
        <v>#N/A</v>
      </c>
      <c r="J640" t="e">
        <f ca="1"/>
        <v>#N/A</v>
      </c>
      <c r="K640" t="e">
        <f ca="1"/>
        <v>#N/A</v>
      </c>
    </row>
    <row r="641" spans="1:11" x14ac:dyDescent="0.25">
      <c r="A641" s="2" t="e">
        <f ca="1"/>
        <v>#N/A</v>
      </c>
      <c r="C641" t="e">
        <f ca="1"/>
        <v>#N/A</v>
      </c>
      <c r="D641" t="e">
        <f ca="1"/>
        <v>#N/A</v>
      </c>
      <c r="E641" t="e">
        <f ca="1"/>
        <v>#N/A</v>
      </c>
      <c r="F641" t="e">
        <f ca="1"/>
        <v>#N/A</v>
      </c>
      <c r="G641" t="e">
        <f ca="1"/>
        <v>#N/A</v>
      </c>
      <c r="H641" t="e">
        <f ca="1"/>
        <v>#N/A</v>
      </c>
      <c r="I641" t="e">
        <f ca="1"/>
        <v>#N/A</v>
      </c>
      <c r="J641" t="e">
        <f ca="1"/>
        <v>#N/A</v>
      </c>
      <c r="K641" t="e">
        <f ca="1"/>
        <v>#N/A</v>
      </c>
    </row>
    <row r="642" spans="1:11" x14ac:dyDescent="0.25">
      <c r="A642" s="2" t="e">
        <f ca="1"/>
        <v>#N/A</v>
      </c>
      <c r="C642" t="e">
        <f ca="1"/>
        <v>#N/A</v>
      </c>
      <c r="D642" t="e">
        <f ca="1"/>
        <v>#N/A</v>
      </c>
      <c r="E642" t="e">
        <f ca="1"/>
        <v>#N/A</v>
      </c>
      <c r="F642" t="e">
        <f ca="1"/>
        <v>#N/A</v>
      </c>
      <c r="G642" t="e">
        <f ca="1"/>
        <v>#N/A</v>
      </c>
      <c r="H642" t="e">
        <f ca="1"/>
        <v>#N/A</v>
      </c>
      <c r="I642" t="e">
        <f ca="1"/>
        <v>#N/A</v>
      </c>
      <c r="J642" t="e">
        <f ca="1"/>
        <v>#N/A</v>
      </c>
      <c r="K642" t="e">
        <f ca="1"/>
        <v>#N/A</v>
      </c>
    </row>
    <row r="643" spans="1:11" x14ac:dyDescent="0.25">
      <c r="A643" s="2" t="e">
        <f ca="1"/>
        <v>#N/A</v>
      </c>
      <c r="C643" t="e">
        <f ca="1"/>
        <v>#N/A</v>
      </c>
      <c r="D643" t="e">
        <f ca="1"/>
        <v>#N/A</v>
      </c>
      <c r="E643" t="e">
        <f ca="1"/>
        <v>#N/A</v>
      </c>
      <c r="F643" t="e">
        <f ca="1"/>
        <v>#N/A</v>
      </c>
      <c r="G643" t="e">
        <f ca="1"/>
        <v>#N/A</v>
      </c>
      <c r="H643" t="e">
        <f ca="1"/>
        <v>#N/A</v>
      </c>
      <c r="I643" t="e">
        <f ca="1"/>
        <v>#N/A</v>
      </c>
      <c r="J643" t="e">
        <f ca="1"/>
        <v>#N/A</v>
      </c>
      <c r="K643" t="e">
        <f ca="1"/>
        <v>#N/A</v>
      </c>
    </row>
    <row r="644" spans="1:11" x14ac:dyDescent="0.25">
      <c r="A644" s="2" t="e">
        <f ca="1"/>
        <v>#N/A</v>
      </c>
      <c r="C644" t="e">
        <f ca="1"/>
        <v>#N/A</v>
      </c>
      <c r="D644" t="e">
        <f ca="1"/>
        <v>#N/A</v>
      </c>
      <c r="E644" t="e">
        <f ca="1"/>
        <v>#N/A</v>
      </c>
      <c r="F644" t="e">
        <f ca="1"/>
        <v>#N/A</v>
      </c>
      <c r="G644" t="e">
        <f ca="1"/>
        <v>#N/A</v>
      </c>
      <c r="H644" t="e">
        <f ca="1"/>
        <v>#N/A</v>
      </c>
      <c r="I644" t="e">
        <f ca="1"/>
        <v>#N/A</v>
      </c>
      <c r="J644" t="e">
        <f ca="1"/>
        <v>#N/A</v>
      </c>
      <c r="K644" t="e">
        <f ca="1"/>
        <v>#N/A</v>
      </c>
    </row>
    <row r="645" spans="1:11" x14ac:dyDescent="0.25">
      <c r="A645" s="2" t="e">
        <f ca="1"/>
        <v>#N/A</v>
      </c>
      <c r="C645" t="e">
        <f ca="1"/>
        <v>#N/A</v>
      </c>
      <c r="D645" t="e">
        <f ca="1"/>
        <v>#N/A</v>
      </c>
      <c r="E645" t="e">
        <f ca="1"/>
        <v>#N/A</v>
      </c>
      <c r="F645" t="e">
        <f ca="1"/>
        <v>#N/A</v>
      </c>
      <c r="G645" t="e">
        <f ca="1"/>
        <v>#N/A</v>
      </c>
      <c r="H645" t="e">
        <f ca="1"/>
        <v>#N/A</v>
      </c>
      <c r="I645" t="e">
        <f ca="1"/>
        <v>#N/A</v>
      </c>
      <c r="J645" t="e">
        <f ca="1"/>
        <v>#N/A</v>
      </c>
      <c r="K645" t="e">
        <f ca="1"/>
        <v>#N/A</v>
      </c>
    </row>
    <row r="646" spans="1:11" x14ac:dyDescent="0.25">
      <c r="A646" s="2" t="e">
        <f ca="1"/>
        <v>#N/A</v>
      </c>
      <c r="C646" t="e">
        <f ca="1"/>
        <v>#N/A</v>
      </c>
      <c r="D646" t="e">
        <f ca="1"/>
        <v>#N/A</v>
      </c>
      <c r="E646" t="e">
        <f ca="1"/>
        <v>#N/A</v>
      </c>
      <c r="F646" t="e">
        <f ca="1"/>
        <v>#N/A</v>
      </c>
      <c r="G646" t="e">
        <f ca="1"/>
        <v>#N/A</v>
      </c>
      <c r="H646" t="e">
        <f ca="1"/>
        <v>#N/A</v>
      </c>
      <c r="I646" t="e">
        <f ca="1"/>
        <v>#N/A</v>
      </c>
      <c r="J646" t="e">
        <f ca="1"/>
        <v>#N/A</v>
      </c>
      <c r="K646" t="e">
        <f ca="1"/>
        <v>#N/A</v>
      </c>
    </row>
    <row r="647" spans="1:11" x14ac:dyDescent="0.25">
      <c r="A647" s="2" t="e">
        <f ca="1"/>
        <v>#N/A</v>
      </c>
      <c r="C647" t="e">
        <f ca="1"/>
        <v>#N/A</v>
      </c>
      <c r="D647" t="e">
        <f ca="1"/>
        <v>#N/A</v>
      </c>
      <c r="E647" t="e">
        <f ca="1"/>
        <v>#N/A</v>
      </c>
      <c r="F647" t="e">
        <f ca="1"/>
        <v>#N/A</v>
      </c>
      <c r="G647" t="e">
        <f ca="1"/>
        <v>#N/A</v>
      </c>
      <c r="H647" t="e">
        <f ca="1"/>
        <v>#N/A</v>
      </c>
      <c r="I647" t="e">
        <f ca="1"/>
        <v>#N/A</v>
      </c>
      <c r="J647" t="e">
        <f ca="1"/>
        <v>#N/A</v>
      </c>
      <c r="K647" t="e">
        <f ca="1"/>
        <v>#N/A</v>
      </c>
    </row>
    <row r="648" spans="1:11" x14ac:dyDescent="0.25">
      <c r="A648" s="2" t="e">
        <f ca="1"/>
        <v>#N/A</v>
      </c>
      <c r="C648" t="e">
        <f ca="1"/>
        <v>#N/A</v>
      </c>
      <c r="D648" t="e">
        <f ca="1"/>
        <v>#N/A</v>
      </c>
      <c r="E648" t="e">
        <f ca="1"/>
        <v>#N/A</v>
      </c>
      <c r="F648" t="e">
        <f ca="1"/>
        <v>#N/A</v>
      </c>
      <c r="G648" t="e">
        <f ca="1"/>
        <v>#N/A</v>
      </c>
      <c r="H648" t="e">
        <f ca="1"/>
        <v>#N/A</v>
      </c>
      <c r="I648" t="e">
        <f ca="1"/>
        <v>#N/A</v>
      </c>
      <c r="J648" t="e">
        <f ca="1"/>
        <v>#N/A</v>
      </c>
      <c r="K648" t="e">
        <f ca="1"/>
        <v>#N/A</v>
      </c>
    </row>
    <row r="649" spans="1:11" x14ac:dyDescent="0.25">
      <c r="A649" s="2" t="e">
        <f ca="1"/>
        <v>#N/A</v>
      </c>
      <c r="C649" t="e">
        <f ca="1"/>
        <v>#N/A</v>
      </c>
      <c r="D649" t="e">
        <f ca="1"/>
        <v>#N/A</v>
      </c>
      <c r="E649" t="e">
        <f ca="1"/>
        <v>#N/A</v>
      </c>
      <c r="F649" t="e">
        <f ca="1"/>
        <v>#N/A</v>
      </c>
      <c r="G649" t="e">
        <f ca="1"/>
        <v>#N/A</v>
      </c>
      <c r="H649" t="e">
        <f ca="1"/>
        <v>#N/A</v>
      </c>
      <c r="I649" t="e">
        <f ca="1"/>
        <v>#N/A</v>
      </c>
      <c r="J649" t="e">
        <f ca="1"/>
        <v>#N/A</v>
      </c>
      <c r="K649" t="e">
        <f ca="1"/>
        <v>#N/A</v>
      </c>
    </row>
    <row r="650" spans="1:11" x14ac:dyDescent="0.25">
      <c r="A650" s="2" t="e">
        <f ca="1"/>
        <v>#N/A</v>
      </c>
      <c r="C650" t="e">
        <f ca="1"/>
        <v>#N/A</v>
      </c>
      <c r="D650" t="e">
        <f ca="1"/>
        <v>#N/A</v>
      </c>
      <c r="E650" t="e">
        <f ca="1"/>
        <v>#N/A</v>
      </c>
      <c r="F650" t="e">
        <f ca="1"/>
        <v>#N/A</v>
      </c>
      <c r="G650" t="e">
        <f ca="1"/>
        <v>#N/A</v>
      </c>
      <c r="H650" t="e">
        <f ca="1"/>
        <v>#N/A</v>
      </c>
      <c r="I650" t="e">
        <f ca="1"/>
        <v>#N/A</v>
      </c>
      <c r="J650" t="e">
        <f ca="1"/>
        <v>#N/A</v>
      </c>
      <c r="K650" t="e">
        <f ca="1"/>
        <v>#N/A</v>
      </c>
    </row>
    <row r="651" spans="1:11" x14ac:dyDescent="0.25">
      <c r="A651" s="2" t="e">
        <f ca="1"/>
        <v>#N/A</v>
      </c>
      <c r="C651" t="e">
        <f ca="1"/>
        <v>#N/A</v>
      </c>
      <c r="D651" t="e">
        <f ca="1"/>
        <v>#N/A</v>
      </c>
      <c r="E651" t="e">
        <f ca="1"/>
        <v>#N/A</v>
      </c>
      <c r="F651" t="e">
        <f ca="1"/>
        <v>#N/A</v>
      </c>
      <c r="G651" t="e">
        <f ca="1"/>
        <v>#N/A</v>
      </c>
      <c r="H651" t="e">
        <f ca="1"/>
        <v>#N/A</v>
      </c>
      <c r="I651" t="e">
        <f ca="1"/>
        <v>#N/A</v>
      </c>
      <c r="J651" t="e">
        <f ca="1"/>
        <v>#N/A</v>
      </c>
      <c r="K651" t="e">
        <f ca="1"/>
        <v>#N/A</v>
      </c>
    </row>
    <row r="652" spans="1:11" x14ac:dyDescent="0.25">
      <c r="A652" s="2" t="e">
        <f ca="1"/>
        <v>#N/A</v>
      </c>
      <c r="C652" t="e">
        <f ca="1"/>
        <v>#N/A</v>
      </c>
      <c r="D652" t="e">
        <f ca="1"/>
        <v>#N/A</v>
      </c>
      <c r="E652" t="e">
        <f ca="1"/>
        <v>#N/A</v>
      </c>
      <c r="F652" t="e">
        <f ca="1"/>
        <v>#N/A</v>
      </c>
      <c r="G652" t="e">
        <f ca="1"/>
        <v>#N/A</v>
      </c>
      <c r="H652" t="e">
        <f ca="1"/>
        <v>#N/A</v>
      </c>
      <c r="I652" t="e">
        <f ca="1"/>
        <v>#N/A</v>
      </c>
      <c r="J652" t="e">
        <f ca="1"/>
        <v>#N/A</v>
      </c>
      <c r="K652" t="e">
        <f ca="1"/>
        <v>#N/A</v>
      </c>
    </row>
    <row r="653" spans="1:11" x14ac:dyDescent="0.25">
      <c r="A653" s="2" t="e">
        <f ca="1"/>
        <v>#N/A</v>
      </c>
      <c r="C653" t="e">
        <f ca="1"/>
        <v>#N/A</v>
      </c>
      <c r="D653" t="e">
        <f ca="1"/>
        <v>#N/A</v>
      </c>
      <c r="E653" t="e">
        <f ca="1"/>
        <v>#N/A</v>
      </c>
      <c r="F653" t="e">
        <f ca="1"/>
        <v>#N/A</v>
      </c>
      <c r="G653" t="e">
        <f ca="1"/>
        <v>#N/A</v>
      </c>
      <c r="H653" t="e">
        <f ca="1"/>
        <v>#N/A</v>
      </c>
      <c r="I653" t="e">
        <f ca="1"/>
        <v>#N/A</v>
      </c>
      <c r="J653" t="e">
        <f ca="1"/>
        <v>#N/A</v>
      </c>
      <c r="K653" t="e">
        <f ca="1"/>
        <v>#N/A</v>
      </c>
    </row>
    <row r="654" spans="1:11" x14ac:dyDescent="0.25">
      <c r="A654" s="2" t="e">
        <f ca="1"/>
        <v>#N/A</v>
      </c>
      <c r="C654" t="e">
        <f ca="1"/>
        <v>#N/A</v>
      </c>
      <c r="D654" t="e">
        <f ca="1"/>
        <v>#N/A</v>
      </c>
      <c r="E654" t="e">
        <f ca="1"/>
        <v>#N/A</v>
      </c>
      <c r="F654" t="e">
        <f ca="1"/>
        <v>#N/A</v>
      </c>
      <c r="G654" t="e">
        <f ca="1"/>
        <v>#N/A</v>
      </c>
      <c r="H654" t="e">
        <f ca="1"/>
        <v>#N/A</v>
      </c>
      <c r="I654" t="e">
        <f ca="1"/>
        <v>#N/A</v>
      </c>
      <c r="J654" t="e">
        <f ca="1"/>
        <v>#N/A</v>
      </c>
      <c r="K654" t="e">
        <f ca="1"/>
        <v>#N/A</v>
      </c>
    </row>
    <row r="655" spans="1:11" x14ac:dyDescent="0.25">
      <c r="A655" s="2" t="e">
        <f ca="1"/>
        <v>#N/A</v>
      </c>
      <c r="C655" t="e">
        <f ca="1"/>
        <v>#N/A</v>
      </c>
      <c r="D655" t="e">
        <f ca="1"/>
        <v>#N/A</v>
      </c>
      <c r="E655" t="e">
        <f ca="1"/>
        <v>#N/A</v>
      </c>
      <c r="F655" t="e">
        <f ca="1"/>
        <v>#N/A</v>
      </c>
      <c r="G655" t="e">
        <f ca="1"/>
        <v>#N/A</v>
      </c>
      <c r="H655" t="e">
        <f ca="1"/>
        <v>#N/A</v>
      </c>
      <c r="I655" t="e">
        <f ca="1"/>
        <v>#N/A</v>
      </c>
      <c r="J655" t="e">
        <f ca="1"/>
        <v>#N/A</v>
      </c>
      <c r="K655" t="e">
        <f ca="1"/>
        <v>#N/A</v>
      </c>
    </row>
    <row r="656" spans="1:11" x14ac:dyDescent="0.25">
      <c r="A656" s="2" t="e">
        <f ca="1"/>
        <v>#N/A</v>
      </c>
      <c r="C656" t="e">
        <f ca="1"/>
        <v>#N/A</v>
      </c>
      <c r="D656" t="e">
        <f ca="1"/>
        <v>#N/A</v>
      </c>
      <c r="E656" t="e">
        <f ca="1"/>
        <v>#N/A</v>
      </c>
      <c r="F656" t="e">
        <f ca="1"/>
        <v>#N/A</v>
      </c>
      <c r="G656" t="e">
        <f ca="1"/>
        <v>#N/A</v>
      </c>
      <c r="H656" t="e">
        <f ca="1"/>
        <v>#N/A</v>
      </c>
      <c r="I656" t="e">
        <f ca="1"/>
        <v>#N/A</v>
      </c>
      <c r="J656" t="e">
        <f ca="1"/>
        <v>#N/A</v>
      </c>
      <c r="K656" t="e">
        <f ca="1"/>
        <v>#N/A</v>
      </c>
    </row>
    <row r="657" spans="1:11" x14ac:dyDescent="0.25">
      <c r="A657" s="2" t="e">
        <f ca="1"/>
        <v>#N/A</v>
      </c>
      <c r="C657" t="e">
        <f ca="1"/>
        <v>#N/A</v>
      </c>
      <c r="D657" t="e">
        <f ca="1"/>
        <v>#N/A</v>
      </c>
      <c r="E657" t="e">
        <f ca="1"/>
        <v>#N/A</v>
      </c>
      <c r="F657" t="e">
        <f ca="1"/>
        <v>#N/A</v>
      </c>
      <c r="G657" t="e">
        <f ca="1"/>
        <v>#N/A</v>
      </c>
      <c r="H657" t="e">
        <f ca="1"/>
        <v>#N/A</v>
      </c>
      <c r="I657" t="e">
        <f ca="1"/>
        <v>#N/A</v>
      </c>
      <c r="J657" t="e">
        <f ca="1"/>
        <v>#N/A</v>
      </c>
      <c r="K657" t="e">
        <f ca="1"/>
        <v>#N/A</v>
      </c>
    </row>
    <row r="658" spans="1:11" x14ac:dyDescent="0.25">
      <c r="A658" s="2" t="e">
        <f ca="1"/>
        <v>#N/A</v>
      </c>
      <c r="C658" t="e">
        <f ca="1"/>
        <v>#N/A</v>
      </c>
      <c r="D658" t="e">
        <f ca="1"/>
        <v>#N/A</v>
      </c>
      <c r="E658" t="e">
        <f ca="1"/>
        <v>#N/A</v>
      </c>
      <c r="F658" t="e">
        <f ca="1"/>
        <v>#N/A</v>
      </c>
      <c r="G658" t="e">
        <f ca="1"/>
        <v>#N/A</v>
      </c>
      <c r="H658" t="e">
        <f ca="1"/>
        <v>#N/A</v>
      </c>
      <c r="I658" t="e">
        <f ca="1"/>
        <v>#N/A</v>
      </c>
      <c r="J658" t="e">
        <f ca="1"/>
        <v>#N/A</v>
      </c>
      <c r="K658" t="e">
        <f ca="1"/>
        <v>#N/A</v>
      </c>
    </row>
    <row r="659" spans="1:11" x14ac:dyDescent="0.25">
      <c r="A659" s="2" t="e">
        <f ca="1"/>
        <v>#N/A</v>
      </c>
      <c r="C659" t="e">
        <f ca="1"/>
        <v>#N/A</v>
      </c>
      <c r="D659" t="e">
        <f ca="1"/>
        <v>#N/A</v>
      </c>
      <c r="E659" t="e">
        <f ca="1"/>
        <v>#N/A</v>
      </c>
      <c r="F659" t="e">
        <f ca="1"/>
        <v>#N/A</v>
      </c>
      <c r="G659" t="e">
        <f ca="1"/>
        <v>#N/A</v>
      </c>
      <c r="H659" t="e">
        <f ca="1"/>
        <v>#N/A</v>
      </c>
      <c r="I659" t="e">
        <f ca="1"/>
        <v>#N/A</v>
      </c>
      <c r="J659" t="e">
        <f ca="1"/>
        <v>#N/A</v>
      </c>
      <c r="K659" t="e">
        <f ca="1"/>
        <v>#N/A</v>
      </c>
    </row>
    <row r="660" spans="1:11" x14ac:dyDescent="0.25">
      <c r="A660" s="2" t="e">
        <f ca="1"/>
        <v>#N/A</v>
      </c>
      <c r="C660" t="e">
        <f ca="1"/>
        <v>#N/A</v>
      </c>
      <c r="D660" t="e">
        <f ca="1"/>
        <v>#N/A</v>
      </c>
      <c r="E660" t="e">
        <f ca="1"/>
        <v>#N/A</v>
      </c>
      <c r="F660" t="e">
        <f ca="1"/>
        <v>#N/A</v>
      </c>
      <c r="G660" t="e">
        <f ca="1"/>
        <v>#N/A</v>
      </c>
      <c r="H660" t="e">
        <f ca="1"/>
        <v>#N/A</v>
      </c>
      <c r="I660" t="e">
        <f ca="1"/>
        <v>#N/A</v>
      </c>
      <c r="J660" t="e">
        <f ca="1"/>
        <v>#N/A</v>
      </c>
      <c r="K660" t="e">
        <f ca="1"/>
        <v>#N/A</v>
      </c>
    </row>
    <row r="661" spans="1:11" x14ac:dyDescent="0.25">
      <c r="A661" s="2" t="e">
        <f ca="1"/>
        <v>#N/A</v>
      </c>
      <c r="C661" t="e">
        <f ca="1"/>
        <v>#N/A</v>
      </c>
      <c r="D661" t="e">
        <f ca="1"/>
        <v>#N/A</v>
      </c>
      <c r="E661" t="e">
        <f ca="1"/>
        <v>#N/A</v>
      </c>
      <c r="F661" t="e">
        <f ca="1"/>
        <v>#N/A</v>
      </c>
      <c r="G661" t="e">
        <f ca="1"/>
        <v>#N/A</v>
      </c>
      <c r="H661" t="e">
        <f ca="1"/>
        <v>#N/A</v>
      </c>
      <c r="I661" t="e">
        <f ca="1"/>
        <v>#N/A</v>
      </c>
      <c r="J661" t="e">
        <f ca="1"/>
        <v>#N/A</v>
      </c>
      <c r="K661" t="e">
        <f ca="1"/>
        <v>#N/A</v>
      </c>
    </row>
    <row r="662" spans="1:11" x14ac:dyDescent="0.25">
      <c r="A662" s="2" t="e">
        <f ca="1"/>
        <v>#N/A</v>
      </c>
      <c r="C662" t="e">
        <f ca="1"/>
        <v>#N/A</v>
      </c>
      <c r="D662" t="e">
        <f ca="1"/>
        <v>#N/A</v>
      </c>
      <c r="E662" t="e">
        <f ca="1"/>
        <v>#N/A</v>
      </c>
      <c r="F662" t="e">
        <f ca="1"/>
        <v>#N/A</v>
      </c>
      <c r="G662" t="e">
        <f ca="1"/>
        <v>#N/A</v>
      </c>
      <c r="H662" t="e">
        <f ca="1"/>
        <v>#N/A</v>
      </c>
      <c r="I662" t="e">
        <f ca="1"/>
        <v>#N/A</v>
      </c>
      <c r="J662" t="e">
        <f ca="1"/>
        <v>#N/A</v>
      </c>
      <c r="K662" t="e">
        <f ca="1"/>
        <v>#N/A</v>
      </c>
    </row>
    <row r="663" spans="1:11" x14ac:dyDescent="0.25">
      <c r="A663" s="2" t="e">
        <f ca="1"/>
        <v>#N/A</v>
      </c>
      <c r="C663" t="e">
        <f ca="1"/>
        <v>#N/A</v>
      </c>
      <c r="D663" t="e">
        <f ca="1"/>
        <v>#N/A</v>
      </c>
      <c r="E663" t="e">
        <f ca="1"/>
        <v>#N/A</v>
      </c>
      <c r="F663" t="e">
        <f ca="1"/>
        <v>#N/A</v>
      </c>
      <c r="G663" t="e">
        <f ca="1"/>
        <v>#N/A</v>
      </c>
      <c r="H663" t="e">
        <f ca="1"/>
        <v>#N/A</v>
      </c>
      <c r="I663" t="e">
        <f ca="1"/>
        <v>#N/A</v>
      </c>
      <c r="J663" t="e">
        <f ca="1"/>
        <v>#N/A</v>
      </c>
      <c r="K663" t="e">
        <f ca="1"/>
        <v>#N/A</v>
      </c>
    </row>
    <row r="664" spans="1:11" x14ac:dyDescent="0.25">
      <c r="A664" s="2" t="e">
        <f ca="1"/>
        <v>#N/A</v>
      </c>
      <c r="C664" t="e">
        <f ca="1"/>
        <v>#N/A</v>
      </c>
      <c r="D664" t="e">
        <f ca="1"/>
        <v>#N/A</v>
      </c>
      <c r="E664" t="e">
        <f ca="1"/>
        <v>#N/A</v>
      </c>
      <c r="F664" t="e">
        <f ca="1"/>
        <v>#N/A</v>
      </c>
      <c r="G664" t="e">
        <f ca="1"/>
        <v>#N/A</v>
      </c>
      <c r="H664" t="e">
        <f ca="1"/>
        <v>#N/A</v>
      </c>
      <c r="I664" t="e">
        <f ca="1"/>
        <v>#N/A</v>
      </c>
      <c r="J664" t="e">
        <f ca="1"/>
        <v>#N/A</v>
      </c>
      <c r="K664" t="e">
        <f ca="1"/>
        <v>#N/A</v>
      </c>
    </row>
    <row r="665" spans="1:11" x14ac:dyDescent="0.25">
      <c r="A665" s="2" t="e">
        <f ca="1"/>
        <v>#N/A</v>
      </c>
      <c r="C665" t="e">
        <f ca="1"/>
        <v>#N/A</v>
      </c>
      <c r="D665" t="e">
        <f ca="1"/>
        <v>#N/A</v>
      </c>
      <c r="E665" t="e">
        <f ca="1"/>
        <v>#N/A</v>
      </c>
      <c r="F665" t="e">
        <f ca="1"/>
        <v>#N/A</v>
      </c>
      <c r="G665" t="e">
        <f ca="1"/>
        <v>#N/A</v>
      </c>
      <c r="H665" t="e">
        <f ca="1"/>
        <v>#N/A</v>
      </c>
      <c r="I665" t="e">
        <f ca="1"/>
        <v>#N/A</v>
      </c>
      <c r="J665" t="e">
        <f ca="1"/>
        <v>#N/A</v>
      </c>
      <c r="K665" t="e">
        <f ca="1"/>
        <v>#N/A</v>
      </c>
    </row>
    <row r="666" spans="1:11" x14ac:dyDescent="0.25">
      <c r="A666" s="2" t="e">
        <f ca="1"/>
        <v>#N/A</v>
      </c>
      <c r="C666" t="e">
        <f ca="1"/>
        <v>#N/A</v>
      </c>
      <c r="D666" t="e">
        <f ca="1"/>
        <v>#N/A</v>
      </c>
      <c r="E666" t="e">
        <f ca="1"/>
        <v>#N/A</v>
      </c>
      <c r="F666" t="e">
        <f ca="1"/>
        <v>#N/A</v>
      </c>
      <c r="G666" t="e">
        <f ca="1"/>
        <v>#N/A</v>
      </c>
      <c r="H666" t="e">
        <f ca="1"/>
        <v>#N/A</v>
      </c>
      <c r="I666" t="e">
        <f ca="1"/>
        <v>#N/A</v>
      </c>
      <c r="J666" t="e">
        <f ca="1"/>
        <v>#N/A</v>
      </c>
      <c r="K666" t="e">
        <f ca="1"/>
        <v>#N/A</v>
      </c>
    </row>
    <row r="667" spans="1:11" x14ac:dyDescent="0.25">
      <c r="A667" s="2" t="e">
        <f ca="1"/>
        <v>#N/A</v>
      </c>
      <c r="C667" t="e">
        <f ca="1"/>
        <v>#N/A</v>
      </c>
      <c r="D667" t="e">
        <f ca="1"/>
        <v>#N/A</v>
      </c>
      <c r="E667" t="e">
        <f ca="1"/>
        <v>#N/A</v>
      </c>
      <c r="F667" t="e">
        <f ca="1"/>
        <v>#N/A</v>
      </c>
      <c r="G667" t="e">
        <f ca="1"/>
        <v>#N/A</v>
      </c>
      <c r="H667" t="e">
        <f ca="1"/>
        <v>#N/A</v>
      </c>
      <c r="I667" t="e">
        <f ca="1"/>
        <v>#N/A</v>
      </c>
      <c r="J667" t="e">
        <f ca="1"/>
        <v>#N/A</v>
      </c>
      <c r="K667" t="e">
        <f ca="1"/>
        <v>#N/A</v>
      </c>
    </row>
    <row r="668" spans="1:11" x14ac:dyDescent="0.25">
      <c r="A668" s="2" t="e">
        <f ca="1"/>
        <v>#N/A</v>
      </c>
      <c r="C668" t="e">
        <f ca="1"/>
        <v>#N/A</v>
      </c>
      <c r="D668" t="e">
        <f ca="1"/>
        <v>#N/A</v>
      </c>
      <c r="E668" t="e">
        <f ca="1"/>
        <v>#N/A</v>
      </c>
      <c r="F668" t="e">
        <f ca="1"/>
        <v>#N/A</v>
      </c>
      <c r="G668" t="e">
        <f ca="1"/>
        <v>#N/A</v>
      </c>
      <c r="H668" t="e">
        <f ca="1"/>
        <v>#N/A</v>
      </c>
      <c r="I668" t="e">
        <f ca="1"/>
        <v>#N/A</v>
      </c>
      <c r="J668" t="e">
        <f ca="1"/>
        <v>#N/A</v>
      </c>
      <c r="K668" t="e">
        <f ca="1"/>
        <v>#N/A</v>
      </c>
    </row>
    <row r="669" spans="1:11" x14ac:dyDescent="0.25">
      <c r="A669" s="2" t="e">
        <f ca="1"/>
        <v>#N/A</v>
      </c>
      <c r="C669" t="e">
        <f ca="1"/>
        <v>#N/A</v>
      </c>
      <c r="D669" t="e">
        <f ca="1"/>
        <v>#N/A</v>
      </c>
      <c r="E669" t="e">
        <f ca="1"/>
        <v>#N/A</v>
      </c>
      <c r="F669" t="e">
        <f ca="1"/>
        <v>#N/A</v>
      </c>
      <c r="G669" t="e">
        <f ca="1"/>
        <v>#N/A</v>
      </c>
      <c r="H669" t="e">
        <f ca="1"/>
        <v>#N/A</v>
      </c>
      <c r="I669" t="e">
        <f ca="1"/>
        <v>#N/A</v>
      </c>
      <c r="J669" t="e">
        <f ca="1"/>
        <v>#N/A</v>
      </c>
      <c r="K669" t="e">
        <f ca="1"/>
        <v>#N/A</v>
      </c>
    </row>
    <row r="670" spans="1:11" x14ac:dyDescent="0.25">
      <c r="A670" s="2" t="e">
        <f ca="1"/>
        <v>#N/A</v>
      </c>
      <c r="C670" t="e">
        <f ca="1"/>
        <v>#N/A</v>
      </c>
      <c r="D670" t="e">
        <f ca="1"/>
        <v>#N/A</v>
      </c>
      <c r="E670" t="e">
        <f ca="1"/>
        <v>#N/A</v>
      </c>
      <c r="F670" t="e">
        <f ca="1"/>
        <v>#N/A</v>
      </c>
      <c r="G670" t="e">
        <f ca="1"/>
        <v>#N/A</v>
      </c>
      <c r="H670" t="e">
        <f ca="1"/>
        <v>#N/A</v>
      </c>
      <c r="I670" t="e">
        <f ca="1"/>
        <v>#N/A</v>
      </c>
      <c r="J670" t="e">
        <f ca="1"/>
        <v>#N/A</v>
      </c>
      <c r="K670" t="e">
        <f ca="1"/>
        <v>#N/A</v>
      </c>
    </row>
    <row r="671" spans="1:11" x14ac:dyDescent="0.25">
      <c r="A671" s="2" t="e">
        <f ca="1"/>
        <v>#N/A</v>
      </c>
      <c r="C671" t="e">
        <f ca="1"/>
        <v>#N/A</v>
      </c>
      <c r="D671" t="e">
        <f ca="1"/>
        <v>#N/A</v>
      </c>
      <c r="E671" t="e">
        <f ca="1"/>
        <v>#N/A</v>
      </c>
      <c r="F671" t="e">
        <f ca="1"/>
        <v>#N/A</v>
      </c>
      <c r="G671" t="e">
        <f ca="1"/>
        <v>#N/A</v>
      </c>
      <c r="H671" t="e">
        <f ca="1"/>
        <v>#N/A</v>
      </c>
      <c r="I671" t="e">
        <f ca="1"/>
        <v>#N/A</v>
      </c>
      <c r="J671" t="e">
        <f ca="1"/>
        <v>#N/A</v>
      </c>
      <c r="K671" t="e">
        <f ca="1"/>
        <v>#N/A</v>
      </c>
    </row>
    <row r="672" spans="1:11" x14ac:dyDescent="0.25">
      <c r="A672" s="2" t="e">
        <f ca="1"/>
        <v>#N/A</v>
      </c>
      <c r="C672" t="e">
        <f ca="1"/>
        <v>#N/A</v>
      </c>
      <c r="D672" t="e">
        <f ca="1"/>
        <v>#N/A</v>
      </c>
      <c r="E672" t="e">
        <f ca="1"/>
        <v>#N/A</v>
      </c>
      <c r="F672" t="e">
        <f ca="1"/>
        <v>#N/A</v>
      </c>
      <c r="G672" t="e">
        <f ca="1"/>
        <v>#N/A</v>
      </c>
      <c r="H672" t="e">
        <f ca="1"/>
        <v>#N/A</v>
      </c>
      <c r="I672" t="e">
        <f ca="1"/>
        <v>#N/A</v>
      </c>
      <c r="J672" t="e">
        <f ca="1"/>
        <v>#N/A</v>
      </c>
      <c r="K672" t="e">
        <f ca="1"/>
        <v>#N/A</v>
      </c>
    </row>
    <row r="673" spans="1:11" x14ac:dyDescent="0.25">
      <c r="A673" s="2" t="e">
        <f ca="1"/>
        <v>#N/A</v>
      </c>
      <c r="C673" t="e">
        <f ca="1"/>
        <v>#N/A</v>
      </c>
      <c r="D673" t="e">
        <f ca="1"/>
        <v>#N/A</v>
      </c>
      <c r="E673" t="e">
        <f ca="1"/>
        <v>#N/A</v>
      </c>
      <c r="F673" t="e">
        <f ca="1"/>
        <v>#N/A</v>
      </c>
      <c r="G673" t="e">
        <f ca="1"/>
        <v>#N/A</v>
      </c>
      <c r="H673" t="e">
        <f ca="1"/>
        <v>#N/A</v>
      </c>
      <c r="I673" t="e">
        <f ca="1"/>
        <v>#N/A</v>
      </c>
      <c r="J673" t="e">
        <f ca="1"/>
        <v>#N/A</v>
      </c>
      <c r="K673" t="e">
        <f ca="1"/>
        <v>#N/A</v>
      </c>
    </row>
    <row r="674" spans="1:11" x14ac:dyDescent="0.25">
      <c r="A674" s="2" t="e">
        <f ca="1"/>
        <v>#N/A</v>
      </c>
      <c r="C674" t="e">
        <f ca="1"/>
        <v>#N/A</v>
      </c>
      <c r="D674" t="e">
        <f ca="1"/>
        <v>#N/A</v>
      </c>
      <c r="E674" t="e">
        <f ca="1"/>
        <v>#N/A</v>
      </c>
      <c r="F674" t="e">
        <f ca="1"/>
        <v>#N/A</v>
      </c>
      <c r="G674" t="e">
        <f ca="1"/>
        <v>#N/A</v>
      </c>
      <c r="H674" t="e">
        <f ca="1"/>
        <v>#N/A</v>
      </c>
      <c r="I674" t="e">
        <f ca="1"/>
        <v>#N/A</v>
      </c>
      <c r="J674" t="e">
        <f ca="1"/>
        <v>#N/A</v>
      </c>
      <c r="K674" t="e">
        <f ca="1"/>
        <v>#N/A</v>
      </c>
    </row>
    <row r="675" spans="1:11" x14ac:dyDescent="0.25">
      <c r="A675" s="2" t="e">
        <f ca="1"/>
        <v>#N/A</v>
      </c>
      <c r="C675" t="e">
        <f ca="1"/>
        <v>#N/A</v>
      </c>
      <c r="D675" t="e">
        <f ca="1"/>
        <v>#N/A</v>
      </c>
      <c r="E675" t="e">
        <f ca="1"/>
        <v>#N/A</v>
      </c>
      <c r="F675" t="e">
        <f ca="1"/>
        <v>#N/A</v>
      </c>
      <c r="G675" t="e">
        <f ca="1"/>
        <v>#N/A</v>
      </c>
      <c r="H675" t="e">
        <f ca="1"/>
        <v>#N/A</v>
      </c>
      <c r="I675" t="e">
        <f ca="1"/>
        <v>#N/A</v>
      </c>
      <c r="J675" t="e">
        <f ca="1"/>
        <v>#N/A</v>
      </c>
      <c r="K675" t="e">
        <f ca="1"/>
        <v>#N/A</v>
      </c>
    </row>
    <row r="676" spans="1:11" x14ac:dyDescent="0.25">
      <c r="A676" s="2" t="e">
        <f ca="1"/>
        <v>#N/A</v>
      </c>
      <c r="C676" t="e">
        <f ca="1"/>
        <v>#N/A</v>
      </c>
      <c r="D676" t="e">
        <f ca="1"/>
        <v>#N/A</v>
      </c>
      <c r="E676" t="e">
        <f ca="1"/>
        <v>#N/A</v>
      </c>
      <c r="F676" t="e">
        <f ca="1"/>
        <v>#N/A</v>
      </c>
      <c r="G676" t="e">
        <f ca="1"/>
        <v>#N/A</v>
      </c>
      <c r="H676" t="e">
        <f ca="1"/>
        <v>#N/A</v>
      </c>
      <c r="I676" t="e">
        <f ca="1"/>
        <v>#N/A</v>
      </c>
      <c r="J676" t="e">
        <f ca="1"/>
        <v>#N/A</v>
      </c>
      <c r="K676" t="e">
        <f ca="1"/>
        <v>#N/A</v>
      </c>
    </row>
    <row r="677" spans="1:11" x14ac:dyDescent="0.25">
      <c r="A677" s="2" t="e">
        <f ca="1"/>
        <v>#N/A</v>
      </c>
      <c r="C677" t="e">
        <f ca="1"/>
        <v>#N/A</v>
      </c>
      <c r="D677" t="e">
        <f ca="1"/>
        <v>#N/A</v>
      </c>
      <c r="E677" t="e">
        <f ca="1"/>
        <v>#N/A</v>
      </c>
      <c r="F677" t="e">
        <f ca="1"/>
        <v>#N/A</v>
      </c>
      <c r="G677" t="e">
        <f ca="1"/>
        <v>#N/A</v>
      </c>
      <c r="H677" t="e">
        <f ca="1"/>
        <v>#N/A</v>
      </c>
      <c r="I677" t="e">
        <f ca="1"/>
        <v>#N/A</v>
      </c>
      <c r="J677" t="e">
        <f ca="1"/>
        <v>#N/A</v>
      </c>
      <c r="K677" t="e">
        <f ca="1"/>
        <v>#N/A</v>
      </c>
    </row>
    <row r="678" spans="1:11" x14ac:dyDescent="0.25">
      <c r="A678" s="2" t="e">
        <f ca="1"/>
        <v>#N/A</v>
      </c>
      <c r="C678" t="e">
        <f ca="1"/>
        <v>#N/A</v>
      </c>
      <c r="D678" t="e">
        <f ca="1"/>
        <v>#N/A</v>
      </c>
      <c r="E678" t="e">
        <f ca="1"/>
        <v>#N/A</v>
      </c>
      <c r="F678" t="e">
        <f ca="1"/>
        <v>#N/A</v>
      </c>
      <c r="G678" t="e">
        <f ca="1"/>
        <v>#N/A</v>
      </c>
      <c r="H678" t="e">
        <f ca="1"/>
        <v>#N/A</v>
      </c>
      <c r="I678" t="e">
        <f ca="1"/>
        <v>#N/A</v>
      </c>
      <c r="J678" t="e">
        <f ca="1"/>
        <v>#N/A</v>
      </c>
      <c r="K678" t="e">
        <f ca="1"/>
        <v>#N/A</v>
      </c>
    </row>
    <row r="679" spans="1:11" x14ac:dyDescent="0.25">
      <c r="A679" s="2" t="e">
        <f ca="1"/>
        <v>#N/A</v>
      </c>
      <c r="C679" t="e">
        <f ca="1"/>
        <v>#N/A</v>
      </c>
      <c r="D679" t="e">
        <f ca="1"/>
        <v>#N/A</v>
      </c>
      <c r="E679" t="e">
        <f ca="1"/>
        <v>#N/A</v>
      </c>
      <c r="F679" t="e">
        <f ca="1"/>
        <v>#N/A</v>
      </c>
      <c r="G679" t="e">
        <f ca="1"/>
        <v>#N/A</v>
      </c>
      <c r="H679" t="e">
        <f ca="1"/>
        <v>#N/A</v>
      </c>
      <c r="I679" t="e">
        <f ca="1"/>
        <v>#N/A</v>
      </c>
      <c r="J679" t="e">
        <f ca="1"/>
        <v>#N/A</v>
      </c>
      <c r="K679" t="e">
        <f ca="1"/>
        <v>#N/A</v>
      </c>
    </row>
    <row r="680" spans="1:11" x14ac:dyDescent="0.25">
      <c r="A680" s="2" t="e">
        <f ca="1"/>
        <v>#N/A</v>
      </c>
      <c r="C680" t="e">
        <f ca="1"/>
        <v>#N/A</v>
      </c>
      <c r="D680" t="e">
        <f ca="1"/>
        <v>#N/A</v>
      </c>
      <c r="E680" t="e">
        <f ca="1"/>
        <v>#N/A</v>
      </c>
      <c r="F680" t="e">
        <f ca="1"/>
        <v>#N/A</v>
      </c>
      <c r="G680" t="e">
        <f ca="1"/>
        <v>#N/A</v>
      </c>
      <c r="H680" t="e">
        <f ca="1"/>
        <v>#N/A</v>
      </c>
      <c r="I680" t="e">
        <f ca="1"/>
        <v>#N/A</v>
      </c>
      <c r="J680" t="e">
        <f ca="1"/>
        <v>#N/A</v>
      </c>
      <c r="K680" t="e">
        <f ca="1"/>
        <v>#N/A</v>
      </c>
    </row>
    <row r="681" spans="1:11" x14ac:dyDescent="0.25">
      <c r="A681" s="2" t="e">
        <f ca="1"/>
        <v>#N/A</v>
      </c>
      <c r="C681" t="e">
        <f ca="1"/>
        <v>#N/A</v>
      </c>
      <c r="D681" t="e">
        <f ca="1"/>
        <v>#N/A</v>
      </c>
      <c r="E681" t="e">
        <f ca="1"/>
        <v>#N/A</v>
      </c>
      <c r="F681" t="e">
        <f ca="1"/>
        <v>#N/A</v>
      </c>
      <c r="G681" t="e">
        <f ca="1"/>
        <v>#N/A</v>
      </c>
      <c r="H681" t="e">
        <f ca="1"/>
        <v>#N/A</v>
      </c>
      <c r="I681" t="e">
        <f ca="1"/>
        <v>#N/A</v>
      </c>
      <c r="J681" t="e">
        <f ca="1"/>
        <v>#N/A</v>
      </c>
      <c r="K681" t="e">
        <f ca="1"/>
        <v>#N/A</v>
      </c>
    </row>
    <row r="682" spans="1:11" x14ac:dyDescent="0.25">
      <c r="A682" s="2" t="e">
        <f ca="1"/>
        <v>#N/A</v>
      </c>
      <c r="C682" t="e">
        <f ca="1"/>
        <v>#N/A</v>
      </c>
      <c r="D682" t="e">
        <f ca="1"/>
        <v>#N/A</v>
      </c>
      <c r="E682" t="e">
        <f ca="1"/>
        <v>#N/A</v>
      </c>
      <c r="F682" t="e">
        <f ca="1"/>
        <v>#N/A</v>
      </c>
      <c r="G682" t="e">
        <f ca="1"/>
        <v>#N/A</v>
      </c>
      <c r="H682" t="e">
        <f ca="1"/>
        <v>#N/A</v>
      </c>
      <c r="I682" t="e">
        <f ca="1"/>
        <v>#N/A</v>
      </c>
      <c r="J682" t="e">
        <f ca="1"/>
        <v>#N/A</v>
      </c>
      <c r="K682" t="e">
        <f ca="1"/>
        <v>#N/A</v>
      </c>
    </row>
    <row r="683" spans="1:11" x14ac:dyDescent="0.25">
      <c r="A683" s="2" t="e">
        <f ca="1"/>
        <v>#N/A</v>
      </c>
      <c r="C683" t="e">
        <f ca="1"/>
        <v>#N/A</v>
      </c>
      <c r="D683" t="e">
        <f ca="1"/>
        <v>#N/A</v>
      </c>
      <c r="E683" t="e">
        <f ca="1"/>
        <v>#N/A</v>
      </c>
      <c r="F683" t="e">
        <f ca="1"/>
        <v>#N/A</v>
      </c>
      <c r="G683" t="e">
        <f ca="1"/>
        <v>#N/A</v>
      </c>
      <c r="H683" t="e">
        <f ca="1"/>
        <v>#N/A</v>
      </c>
      <c r="I683" t="e">
        <f ca="1"/>
        <v>#N/A</v>
      </c>
      <c r="J683" t="e">
        <f ca="1"/>
        <v>#N/A</v>
      </c>
      <c r="K683" t="e">
        <f ca="1"/>
        <v>#N/A</v>
      </c>
    </row>
    <row r="684" spans="1:11" x14ac:dyDescent="0.25">
      <c r="A684" s="2" t="e">
        <f ca="1"/>
        <v>#N/A</v>
      </c>
      <c r="C684" t="e">
        <f ca="1"/>
        <v>#N/A</v>
      </c>
      <c r="D684" t="e">
        <f ca="1"/>
        <v>#N/A</v>
      </c>
      <c r="E684" t="e">
        <f ca="1"/>
        <v>#N/A</v>
      </c>
      <c r="F684" t="e">
        <f ca="1"/>
        <v>#N/A</v>
      </c>
      <c r="G684" t="e">
        <f ca="1"/>
        <v>#N/A</v>
      </c>
      <c r="H684" t="e">
        <f ca="1"/>
        <v>#N/A</v>
      </c>
      <c r="I684" t="e">
        <f ca="1"/>
        <v>#N/A</v>
      </c>
      <c r="J684" t="e">
        <f ca="1"/>
        <v>#N/A</v>
      </c>
      <c r="K684" t="e">
        <f ca="1"/>
        <v>#N/A</v>
      </c>
    </row>
    <row r="685" spans="1:11" x14ac:dyDescent="0.25">
      <c r="A685" s="2" t="e">
        <f ca="1"/>
        <v>#N/A</v>
      </c>
      <c r="C685" t="e">
        <f ca="1"/>
        <v>#N/A</v>
      </c>
      <c r="D685" t="e">
        <f ca="1"/>
        <v>#N/A</v>
      </c>
      <c r="E685" t="e">
        <f ca="1"/>
        <v>#N/A</v>
      </c>
      <c r="F685" t="e">
        <f ca="1"/>
        <v>#N/A</v>
      </c>
      <c r="G685" t="e">
        <f ca="1"/>
        <v>#N/A</v>
      </c>
      <c r="H685" t="e">
        <f ca="1"/>
        <v>#N/A</v>
      </c>
      <c r="I685" t="e">
        <f ca="1"/>
        <v>#N/A</v>
      </c>
      <c r="J685" t="e">
        <f ca="1"/>
        <v>#N/A</v>
      </c>
      <c r="K685" t="e">
        <f ca="1"/>
        <v>#N/A</v>
      </c>
    </row>
    <row r="686" spans="1:11" x14ac:dyDescent="0.25">
      <c r="A686" s="2" t="e">
        <f ca="1"/>
        <v>#N/A</v>
      </c>
      <c r="C686" t="e">
        <f ca="1"/>
        <v>#N/A</v>
      </c>
      <c r="D686" t="e">
        <f ca="1"/>
        <v>#N/A</v>
      </c>
      <c r="E686" t="e">
        <f ca="1"/>
        <v>#N/A</v>
      </c>
      <c r="F686" t="e">
        <f ca="1"/>
        <v>#N/A</v>
      </c>
      <c r="G686" t="e">
        <f ca="1"/>
        <v>#N/A</v>
      </c>
      <c r="H686" t="e">
        <f ca="1"/>
        <v>#N/A</v>
      </c>
      <c r="I686" t="e">
        <f ca="1"/>
        <v>#N/A</v>
      </c>
      <c r="J686" t="e">
        <f ca="1"/>
        <v>#N/A</v>
      </c>
      <c r="K686" t="e">
        <f ca="1"/>
        <v>#N/A</v>
      </c>
    </row>
    <row r="687" spans="1:11" x14ac:dyDescent="0.25">
      <c r="A687" s="2" t="e">
        <f ca="1"/>
        <v>#N/A</v>
      </c>
      <c r="C687" t="e">
        <f ca="1"/>
        <v>#N/A</v>
      </c>
      <c r="D687" t="e">
        <f ca="1"/>
        <v>#N/A</v>
      </c>
      <c r="E687" t="e">
        <f ca="1"/>
        <v>#N/A</v>
      </c>
      <c r="F687" t="e">
        <f ca="1"/>
        <v>#N/A</v>
      </c>
      <c r="G687" t="e">
        <f ca="1"/>
        <v>#N/A</v>
      </c>
      <c r="H687" t="e">
        <f ca="1"/>
        <v>#N/A</v>
      </c>
      <c r="I687" t="e">
        <f ca="1"/>
        <v>#N/A</v>
      </c>
      <c r="J687" t="e">
        <f ca="1"/>
        <v>#N/A</v>
      </c>
      <c r="K687" t="e">
        <f ca="1"/>
        <v>#N/A</v>
      </c>
    </row>
    <row r="688" spans="1:11" x14ac:dyDescent="0.25">
      <c r="A688" s="2" t="e">
        <f ca="1"/>
        <v>#N/A</v>
      </c>
      <c r="C688" t="e">
        <f ca="1"/>
        <v>#N/A</v>
      </c>
      <c r="D688" t="e">
        <f ca="1"/>
        <v>#N/A</v>
      </c>
      <c r="E688" t="e">
        <f ca="1"/>
        <v>#N/A</v>
      </c>
      <c r="F688" t="e">
        <f ca="1"/>
        <v>#N/A</v>
      </c>
      <c r="G688" t="e">
        <f ca="1"/>
        <v>#N/A</v>
      </c>
      <c r="H688" t="e">
        <f ca="1"/>
        <v>#N/A</v>
      </c>
      <c r="I688" t="e">
        <f ca="1"/>
        <v>#N/A</v>
      </c>
      <c r="J688" t="e">
        <f ca="1"/>
        <v>#N/A</v>
      </c>
      <c r="K688" t="e">
        <f ca="1"/>
        <v>#N/A</v>
      </c>
    </row>
    <row r="689" spans="1:11" x14ac:dyDescent="0.25">
      <c r="A689" s="2" t="e">
        <f ca="1"/>
        <v>#N/A</v>
      </c>
      <c r="C689" t="e">
        <f ca="1"/>
        <v>#N/A</v>
      </c>
      <c r="D689" t="e">
        <f ca="1"/>
        <v>#N/A</v>
      </c>
      <c r="E689" t="e">
        <f ca="1"/>
        <v>#N/A</v>
      </c>
      <c r="F689" t="e">
        <f ca="1"/>
        <v>#N/A</v>
      </c>
      <c r="G689" t="e">
        <f ca="1"/>
        <v>#N/A</v>
      </c>
      <c r="H689" t="e">
        <f ca="1"/>
        <v>#N/A</v>
      </c>
      <c r="I689" t="e">
        <f ca="1"/>
        <v>#N/A</v>
      </c>
      <c r="J689" t="e">
        <f ca="1"/>
        <v>#N/A</v>
      </c>
      <c r="K689" t="e">
        <f ca="1"/>
        <v>#N/A</v>
      </c>
    </row>
    <row r="690" spans="1:11" x14ac:dyDescent="0.25">
      <c r="A690" s="2" t="e">
        <f ca="1"/>
        <v>#N/A</v>
      </c>
      <c r="C690" t="e">
        <f ca="1"/>
        <v>#N/A</v>
      </c>
      <c r="D690" t="e">
        <f ca="1"/>
        <v>#N/A</v>
      </c>
      <c r="E690" t="e">
        <f ca="1"/>
        <v>#N/A</v>
      </c>
      <c r="F690" t="e">
        <f ca="1"/>
        <v>#N/A</v>
      </c>
      <c r="G690" t="e">
        <f ca="1"/>
        <v>#N/A</v>
      </c>
      <c r="H690" t="e">
        <f ca="1"/>
        <v>#N/A</v>
      </c>
      <c r="I690" t="e">
        <f ca="1"/>
        <v>#N/A</v>
      </c>
      <c r="J690" t="e">
        <f ca="1"/>
        <v>#N/A</v>
      </c>
      <c r="K690" t="e">
        <f ca="1"/>
        <v>#N/A</v>
      </c>
    </row>
    <row r="691" spans="1:11" x14ac:dyDescent="0.25">
      <c r="A691" s="2" t="e">
        <f ca="1"/>
        <v>#N/A</v>
      </c>
      <c r="C691" t="e">
        <f ca="1"/>
        <v>#N/A</v>
      </c>
      <c r="D691" t="e">
        <f ca="1"/>
        <v>#N/A</v>
      </c>
      <c r="E691" t="e">
        <f ca="1"/>
        <v>#N/A</v>
      </c>
      <c r="F691" t="e">
        <f ca="1"/>
        <v>#N/A</v>
      </c>
      <c r="G691" t="e">
        <f ca="1"/>
        <v>#N/A</v>
      </c>
      <c r="H691" t="e">
        <f ca="1"/>
        <v>#N/A</v>
      </c>
      <c r="I691" t="e">
        <f ca="1"/>
        <v>#N/A</v>
      </c>
      <c r="J691" t="e">
        <f ca="1"/>
        <v>#N/A</v>
      </c>
      <c r="K691" t="e">
        <f ca="1"/>
        <v>#N/A</v>
      </c>
    </row>
    <row r="692" spans="1:11" x14ac:dyDescent="0.25">
      <c r="A692" s="2" t="e">
        <f ca="1"/>
        <v>#N/A</v>
      </c>
      <c r="C692" t="e">
        <f ca="1"/>
        <v>#N/A</v>
      </c>
      <c r="D692" t="e">
        <f ca="1"/>
        <v>#N/A</v>
      </c>
      <c r="E692" t="e">
        <f ca="1"/>
        <v>#N/A</v>
      </c>
      <c r="F692" t="e">
        <f ca="1"/>
        <v>#N/A</v>
      </c>
      <c r="G692" t="e">
        <f ca="1"/>
        <v>#N/A</v>
      </c>
      <c r="H692" t="e">
        <f ca="1"/>
        <v>#N/A</v>
      </c>
      <c r="I692" t="e">
        <f ca="1"/>
        <v>#N/A</v>
      </c>
      <c r="J692" t="e">
        <f ca="1"/>
        <v>#N/A</v>
      </c>
      <c r="K692" t="e">
        <f ca="1"/>
        <v>#N/A</v>
      </c>
    </row>
    <row r="693" spans="1:11" x14ac:dyDescent="0.25">
      <c r="A693" s="2" t="e">
        <f ca="1"/>
        <v>#N/A</v>
      </c>
      <c r="C693" t="e">
        <f ca="1"/>
        <v>#N/A</v>
      </c>
      <c r="D693" t="e">
        <f ca="1"/>
        <v>#N/A</v>
      </c>
      <c r="E693" t="e">
        <f ca="1"/>
        <v>#N/A</v>
      </c>
      <c r="F693" t="e">
        <f ca="1"/>
        <v>#N/A</v>
      </c>
      <c r="G693" t="e">
        <f ca="1"/>
        <v>#N/A</v>
      </c>
      <c r="H693" t="e">
        <f ca="1"/>
        <v>#N/A</v>
      </c>
      <c r="I693" t="e">
        <f ca="1"/>
        <v>#N/A</v>
      </c>
      <c r="J693" t="e">
        <f ca="1"/>
        <v>#N/A</v>
      </c>
      <c r="K693" t="e">
        <f ca="1"/>
        <v>#N/A</v>
      </c>
    </row>
    <row r="694" spans="1:11" x14ac:dyDescent="0.25">
      <c r="A694" s="2" t="e">
        <f ca="1"/>
        <v>#N/A</v>
      </c>
      <c r="C694" t="e">
        <f ca="1"/>
        <v>#N/A</v>
      </c>
      <c r="D694" t="e">
        <f ca="1"/>
        <v>#N/A</v>
      </c>
      <c r="E694" t="e">
        <f ca="1"/>
        <v>#N/A</v>
      </c>
      <c r="F694" t="e">
        <f ca="1"/>
        <v>#N/A</v>
      </c>
      <c r="G694" t="e">
        <f ca="1"/>
        <v>#N/A</v>
      </c>
      <c r="H694" t="e">
        <f ca="1"/>
        <v>#N/A</v>
      </c>
      <c r="I694" t="e">
        <f ca="1"/>
        <v>#N/A</v>
      </c>
      <c r="J694" t="e">
        <f ca="1"/>
        <v>#N/A</v>
      </c>
      <c r="K694" t="e">
        <f ca="1"/>
        <v>#N/A</v>
      </c>
    </row>
    <row r="695" spans="1:11" x14ac:dyDescent="0.25">
      <c r="A695" s="2" t="e">
        <f ca="1"/>
        <v>#N/A</v>
      </c>
      <c r="C695" t="e">
        <f ca="1"/>
        <v>#N/A</v>
      </c>
      <c r="D695" t="e">
        <f ca="1"/>
        <v>#N/A</v>
      </c>
      <c r="E695" t="e">
        <f ca="1"/>
        <v>#N/A</v>
      </c>
      <c r="F695" t="e">
        <f ca="1"/>
        <v>#N/A</v>
      </c>
      <c r="G695" t="e">
        <f ca="1"/>
        <v>#N/A</v>
      </c>
      <c r="H695" t="e">
        <f ca="1"/>
        <v>#N/A</v>
      </c>
      <c r="I695" t="e">
        <f ca="1"/>
        <v>#N/A</v>
      </c>
      <c r="J695" t="e">
        <f ca="1"/>
        <v>#N/A</v>
      </c>
      <c r="K695" t="e">
        <f ca="1"/>
        <v>#N/A</v>
      </c>
    </row>
    <row r="696" spans="1:11" x14ac:dyDescent="0.25">
      <c r="A696" s="2" t="e">
        <f ca="1"/>
        <v>#N/A</v>
      </c>
      <c r="C696" t="e">
        <f ca="1"/>
        <v>#N/A</v>
      </c>
      <c r="D696" t="e">
        <f ca="1"/>
        <v>#N/A</v>
      </c>
      <c r="E696" t="e">
        <f ca="1"/>
        <v>#N/A</v>
      </c>
      <c r="F696" t="e">
        <f ca="1"/>
        <v>#N/A</v>
      </c>
      <c r="G696" t="e">
        <f ca="1"/>
        <v>#N/A</v>
      </c>
      <c r="H696" t="e">
        <f ca="1"/>
        <v>#N/A</v>
      </c>
      <c r="I696" t="e">
        <f ca="1"/>
        <v>#N/A</v>
      </c>
      <c r="J696" t="e">
        <f ca="1"/>
        <v>#N/A</v>
      </c>
      <c r="K696" t="e">
        <f ca="1"/>
        <v>#N/A</v>
      </c>
    </row>
    <row r="697" spans="1:11" x14ac:dyDescent="0.25">
      <c r="A697" s="2" t="e">
        <f ca="1"/>
        <v>#N/A</v>
      </c>
      <c r="C697" t="e">
        <f ca="1"/>
        <v>#N/A</v>
      </c>
      <c r="D697" t="e">
        <f ca="1"/>
        <v>#N/A</v>
      </c>
      <c r="E697" t="e">
        <f ca="1"/>
        <v>#N/A</v>
      </c>
      <c r="F697" t="e">
        <f ca="1"/>
        <v>#N/A</v>
      </c>
      <c r="G697" t="e">
        <f ca="1"/>
        <v>#N/A</v>
      </c>
      <c r="H697" t="e">
        <f ca="1"/>
        <v>#N/A</v>
      </c>
      <c r="I697" t="e">
        <f ca="1"/>
        <v>#N/A</v>
      </c>
      <c r="J697" t="e">
        <f ca="1"/>
        <v>#N/A</v>
      </c>
      <c r="K697" t="e">
        <f ca="1"/>
        <v>#N/A</v>
      </c>
    </row>
    <row r="698" spans="1:11" x14ac:dyDescent="0.25">
      <c r="A698" s="2" t="e">
        <f ca="1"/>
        <v>#N/A</v>
      </c>
      <c r="C698" t="e">
        <f ca="1"/>
        <v>#N/A</v>
      </c>
      <c r="D698" t="e">
        <f ca="1"/>
        <v>#N/A</v>
      </c>
      <c r="E698" t="e">
        <f ca="1"/>
        <v>#N/A</v>
      </c>
      <c r="F698" t="e">
        <f ca="1"/>
        <v>#N/A</v>
      </c>
      <c r="G698" t="e">
        <f ca="1"/>
        <v>#N/A</v>
      </c>
      <c r="H698" t="e">
        <f ca="1"/>
        <v>#N/A</v>
      </c>
      <c r="I698" t="e">
        <f ca="1"/>
        <v>#N/A</v>
      </c>
      <c r="J698" t="e">
        <f ca="1"/>
        <v>#N/A</v>
      </c>
      <c r="K698" t="e">
        <f ca="1"/>
        <v>#N/A</v>
      </c>
    </row>
    <row r="699" spans="1:11" x14ac:dyDescent="0.25">
      <c r="A699" s="2" t="e">
        <f ca="1"/>
        <v>#N/A</v>
      </c>
      <c r="C699" t="e">
        <f ca="1"/>
        <v>#N/A</v>
      </c>
      <c r="D699" t="e">
        <f ca="1"/>
        <v>#N/A</v>
      </c>
      <c r="E699" t="e">
        <f ca="1"/>
        <v>#N/A</v>
      </c>
      <c r="F699" t="e">
        <f ca="1"/>
        <v>#N/A</v>
      </c>
      <c r="G699" t="e">
        <f ca="1"/>
        <v>#N/A</v>
      </c>
      <c r="H699" t="e">
        <f ca="1"/>
        <v>#N/A</v>
      </c>
      <c r="I699" t="e">
        <f ca="1"/>
        <v>#N/A</v>
      </c>
      <c r="J699" t="e">
        <f ca="1"/>
        <v>#N/A</v>
      </c>
      <c r="K699" t="e">
        <f ca="1"/>
        <v>#N/A</v>
      </c>
    </row>
    <row r="700" spans="1:11" x14ac:dyDescent="0.25">
      <c r="A700" s="2" t="e">
        <f ca="1"/>
        <v>#N/A</v>
      </c>
      <c r="C700" t="e">
        <f ca="1"/>
        <v>#N/A</v>
      </c>
      <c r="D700" t="e">
        <f ca="1"/>
        <v>#N/A</v>
      </c>
      <c r="E700" t="e">
        <f ca="1"/>
        <v>#N/A</v>
      </c>
      <c r="F700" t="e">
        <f ca="1"/>
        <v>#N/A</v>
      </c>
      <c r="G700" t="e">
        <f ca="1"/>
        <v>#N/A</v>
      </c>
      <c r="H700" t="e">
        <f ca="1"/>
        <v>#N/A</v>
      </c>
      <c r="I700" t="e">
        <f ca="1"/>
        <v>#N/A</v>
      </c>
      <c r="J700" t="e">
        <f ca="1"/>
        <v>#N/A</v>
      </c>
      <c r="K700" t="e">
        <f ca="1"/>
        <v>#N/A</v>
      </c>
    </row>
    <row r="701" spans="1:11" x14ac:dyDescent="0.25">
      <c r="A701" s="2" t="e">
        <f ca="1"/>
        <v>#N/A</v>
      </c>
      <c r="C701" t="e">
        <f ca="1"/>
        <v>#N/A</v>
      </c>
      <c r="D701" t="e">
        <f ca="1"/>
        <v>#N/A</v>
      </c>
      <c r="E701" t="e">
        <f ca="1"/>
        <v>#N/A</v>
      </c>
      <c r="F701" t="e">
        <f ca="1"/>
        <v>#N/A</v>
      </c>
      <c r="G701" t="e">
        <f ca="1"/>
        <v>#N/A</v>
      </c>
      <c r="H701" t="e">
        <f ca="1"/>
        <v>#N/A</v>
      </c>
      <c r="I701" t="e">
        <f ca="1"/>
        <v>#N/A</v>
      </c>
      <c r="J701" t="e">
        <f ca="1"/>
        <v>#N/A</v>
      </c>
      <c r="K701" t="e">
        <f ca="1"/>
        <v>#N/A</v>
      </c>
    </row>
    <row r="702" spans="1:11" x14ac:dyDescent="0.25">
      <c r="A702" s="2" t="e">
        <f ca="1"/>
        <v>#N/A</v>
      </c>
      <c r="C702" t="e">
        <f ca="1"/>
        <v>#N/A</v>
      </c>
      <c r="D702" t="e">
        <f ca="1"/>
        <v>#N/A</v>
      </c>
      <c r="E702" t="e">
        <f ca="1"/>
        <v>#N/A</v>
      </c>
      <c r="F702" t="e">
        <f ca="1"/>
        <v>#N/A</v>
      </c>
      <c r="G702" t="e">
        <f ca="1"/>
        <v>#N/A</v>
      </c>
      <c r="H702" t="e">
        <f ca="1"/>
        <v>#N/A</v>
      </c>
      <c r="I702" t="e">
        <f ca="1"/>
        <v>#N/A</v>
      </c>
      <c r="J702" t="e">
        <f ca="1"/>
        <v>#N/A</v>
      </c>
      <c r="K702" t="e">
        <f ca="1"/>
        <v>#N/A</v>
      </c>
    </row>
    <row r="703" spans="1:11" x14ac:dyDescent="0.25">
      <c r="A703" s="2" t="e">
        <f ca="1"/>
        <v>#N/A</v>
      </c>
      <c r="C703" t="e">
        <f ca="1"/>
        <v>#N/A</v>
      </c>
      <c r="D703" t="e">
        <f ca="1"/>
        <v>#N/A</v>
      </c>
      <c r="E703" t="e">
        <f ca="1"/>
        <v>#N/A</v>
      </c>
      <c r="F703" t="e">
        <f ca="1"/>
        <v>#N/A</v>
      </c>
      <c r="G703" t="e">
        <f ca="1"/>
        <v>#N/A</v>
      </c>
      <c r="H703" t="e">
        <f ca="1"/>
        <v>#N/A</v>
      </c>
      <c r="I703" t="e">
        <f ca="1"/>
        <v>#N/A</v>
      </c>
      <c r="J703" t="e">
        <f ca="1"/>
        <v>#N/A</v>
      </c>
      <c r="K703" t="e">
        <f ca="1"/>
        <v>#N/A</v>
      </c>
    </row>
    <row r="704" spans="1:11" x14ac:dyDescent="0.25">
      <c r="A704" s="2" t="e">
        <f ca="1"/>
        <v>#N/A</v>
      </c>
      <c r="C704" t="e">
        <f ca="1"/>
        <v>#N/A</v>
      </c>
      <c r="D704" t="e">
        <f ca="1"/>
        <v>#N/A</v>
      </c>
      <c r="E704" t="e">
        <f ca="1"/>
        <v>#N/A</v>
      </c>
      <c r="F704" t="e">
        <f ca="1"/>
        <v>#N/A</v>
      </c>
      <c r="G704" t="e">
        <f ca="1"/>
        <v>#N/A</v>
      </c>
      <c r="H704" t="e">
        <f ca="1"/>
        <v>#N/A</v>
      </c>
      <c r="I704" t="e">
        <f ca="1"/>
        <v>#N/A</v>
      </c>
      <c r="J704" t="e">
        <f ca="1"/>
        <v>#N/A</v>
      </c>
      <c r="K704" t="e">
        <f ca="1"/>
        <v>#N/A</v>
      </c>
    </row>
    <row r="705" spans="1:11" x14ac:dyDescent="0.25">
      <c r="A705" s="2" t="e">
        <f ca="1"/>
        <v>#N/A</v>
      </c>
      <c r="C705" t="e">
        <f ca="1"/>
        <v>#N/A</v>
      </c>
      <c r="D705" t="e">
        <f ca="1"/>
        <v>#N/A</v>
      </c>
      <c r="E705" t="e">
        <f ca="1"/>
        <v>#N/A</v>
      </c>
      <c r="F705" t="e">
        <f ca="1"/>
        <v>#N/A</v>
      </c>
      <c r="G705" t="e">
        <f ca="1"/>
        <v>#N/A</v>
      </c>
      <c r="H705" t="e">
        <f ca="1"/>
        <v>#N/A</v>
      </c>
      <c r="I705" t="e">
        <f ca="1"/>
        <v>#N/A</v>
      </c>
      <c r="J705" t="e">
        <f ca="1"/>
        <v>#N/A</v>
      </c>
      <c r="K705" t="e">
        <f ca="1"/>
        <v>#N/A</v>
      </c>
    </row>
    <row r="706" spans="1:11" x14ac:dyDescent="0.25">
      <c r="A706" s="2" t="e">
        <f ca="1"/>
        <v>#N/A</v>
      </c>
      <c r="C706" t="e">
        <f ca="1"/>
        <v>#N/A</v>
      </c>
      <c r="D706" t="e">
        <f ca="1"/>
        <v>#N/A</v>
      </c>
      <c r="E706" t="e">
        <f ca="1"/>
        <v>#N/A</v>
      </c>
      <c r="F706" t="e">
        <f ca="1"/>
        <v>#N/A</v>
      </c>
      <c r="G706" t="e">
        <f ca="1"/>
        <v>#N/A</v>
      </c>
      <c r="H706" t="e">
        <f ca="1"/>
        <v>#N/A</v>
      </c>
      <c r="I706" t="e">
        <f ca="1"/>
        <v>#N/A</v>
      </c>
      <c r="J706" t="e">
        <f ca="1"/>
        <v>#N/A</v>
      </c>
      <c r="K706" t="e">
        <f ca="1"/>
        <v>#N/A</v>
      </c>
    </row>
    <row r="707" spans="1:11" x14ac:dyDescent="0.25">
      <c r="A707" s="2" t="e">
        <f ca="1"/>
        <v>#N/A</v>
      </c>
      <c r="C707" t="e">
        <f ca="1"/>
        <v>#N/A</v>
      </c>
      <c r="D707" t="e">
        <f ca="1"/>
        <v>#N/A</v>
      </c>
      <c r="E707" t="e">
        <f ca="1"/>
        <v>#N/A</v>
      </c>
      <c r="F707" t="e">
        <f ca="1"/>
        <v>#N/A</v>
      </c>
      <c r="G707" t="e">
        <f ca="1"/>
        <v>#N/A</v>
      </c>
      <c r="H707" t="e">
        <f ca="1"/>
        <v>#N/A</v>
      </c>
      <c r="I707" t="e">
        <f ca="1"/>
        <v>#N/A</v>
      </c>
      <c r="J707" t="e">
        <f ca="1"/>
        <v>#N/A</v>
      </c>
      <c r="K707" t="e">
        <f ca="1"/>
        <v>#N/A</v>
      </c>
    </row>
    <row r="708" spans="1:11" x14ac:dyDescent="0.25">
      <c r="A708" s="2" t="e">
        <f ca="1"/>
        <v>#N/A</v>
      </c>
      <c r="C708" t="e">
        <f ca="1"/>
        <v>#N/A</v>
      </c>
      <c r="D708" t="e">
        <f ca="1"/>
        <v>#N/A</v>
      </c>
      <c r="E708" t="e">
        <f ca="1"/>
        <v>#N/A</v>
      </c>
      <c r="F708" t="e">
        <f ca="1"/>
        <v>#N/A</v>
      </c>
      <c r="G708" t="e">
        <f ca="1"/>
        <v>#N/A</v>
      </c>
      <c r="H708" t="e">
        <f ca="1"/>
        <v>#N/A</v>
      </c>
      <c r="I708" t="e">
        <f ca="1"/>
        <v>#N/A</v>
      </c>
      <c r="J708" t="e">
        <f ca="1"/>
        <v>#N/A</v>
      </c>
      <c r="K708" t="e">
        <f ca="1"/>
        <v>#N/A</v>
      </c>
    </row>
    <row r="709" spans="1:11" x14ac:dyDescent="0.25">
      <c r="A709" s="2" t="e">
        <f ca="1"/>
        <v>#N/A</v>
      </c>
      <c r="C709" t="e">
        <f ca="1"/>
        <v>#N/A</v>
      </c>
      <c r="D709" t="e">
        <f ca="1"/>
        <v>#N/A</v>
      </c>
      <c r="E709" t="e">
        <f ca="1"/>
        <v>#N/A</v>
      </c>
      <c r="F709" t="e">
        <f ca="1"/>
        <v>#N/A</v>
      </c>
      <c r="G709" t="e">
        <f ca="1"/>
        <v>#N/A</v>
      </c>
      <c r="H709" t="e">
        <f ca="1"/>
        <v>#N/A</v>
      </c>
      <c r="I709" t="e">
        <f ca="1"/>
        <v>#N/A</v>
      </c>
      <c r="J709" t="e">
        <f ca="1"/>
        <v>#N/A</v>
      </c>
      <c r="K709" t="e">
        <f ca="1"/>
        <v>#N/A</v>
      </c>
    </row>
    <row r="710" spans="1:11" x14ac:dyDescent="0.25">
      <c r="A710" s="2" t="e">
        <f ca="1"/>
        <v>#N/A</v>
      </c>
      <c r="C710" t="e">
        <f ca="1"/>
        <v>#N/A</v>
      </c>
      <c r="D710" t="e">
        <f ca="1"/>
        <v>#N/A</v>
      </c>
      <c r="E710" t="e">
        <f ca="1"/>
        <v>#N/A</v>
      </c>
      <c r="F710" t="e">
        <f ca="1"/>
        <v>#N/A</v>
      </c>
      <c r="G710" t="e">
        <f ca="1"/>
        <v>#N/A</v>
      </c>
      <c r="H710" t="e">
        <f ca="1"/>
        <v>#N/A</v>
      </c>
      <c r="I710" t="e">
        <f ca="1"/>
        <v>#N/A</v>
      </c>
      <c r="J710" t="e">
        <f ca="1"/>
        <v>#N/A</v>
      </c>
      <c r="K710" t="e">
        <f ca="1"/>
        <v>#N/A</v>
      </c>
    </row>
    <row r="711" spans="1:11" x14ac:dyDescent="0.25">
      <c r="A711" s="2" t="e">
        <f ca="1"/>
        <v>#N/A</v>
      </c>
      <c r="C711" t="e">
        <f ca="1"/>
        <v>#N/A</v>
      </c>
      <c r="D711" t="e">
        <f ca="1"/>
        <v>#N/A</v>
      </c>
      <c r="E711" t="e">
        <f ca="1"/>
        <v>#N/A</v>
      </c>
      <c r="F711" t="e">
        <f ca="1"/>
        <v>#N/A</v>
      </c>
      <c r="G711" t="e">
        <f ca="1"/>
        <v>#N/A</v>
      </c>
      <c r="H711" t="e">
        <f ca="1"/>
        <v>#N/A</v>
      </c>
      <c r="I711" t="e">
        <f ca="1"/>
        <v>#N/A</v>
      </c>
      <c r="J711" t="e">
        <f ca="1"/>
        <v>#N/A</v>
      </c>
      <c r="K711" t="e">
        <f ca="1"/>
        <v>#N/A</v>
      </c>
    </row>
    <row r="712" spans="1:11" x14ac:dyDescent="0.25">
      <c r="A712" s="2" t="e">
        <f ca="1"/>
        <v>#N/A</v>
      </c>
      <c r="C712" t="e">
        <f ca="1"/>
        <v>#N/A</v>
      </c>
      <c r="D712" t="e">
        <f ca="1"/>
        <v>#N/A</v>
      </c>
      <c r="E712" t="e">
        <f ca="1"/>
        <v>#N/A</v>
      </c>
      <c r="F712" t="e">
        <f ca="1"/>
        <v>#N/A</v>
      </c>
      <c r="G712" t="e">
        <f ca="1"/>
        <v>#N/A</v>
      </c>
      <c r="H712" t="e">
        <f ca="1"/>
        <v>#N/A</v>
      </c>
      <c r="I712" t="e">
        <f ca="1"/>
        <v>#N/A</v>
      </c>
      <c r="J712" t="e">
        <f ca="1"/>
        <v>#N/A</v>
      </c>
      <c r="K712" t="e">
        <f ca="1"/>
        <v>#N/A</v>
      </c>
    </row>
    <row r="713" spans="1:11" x14ac:dyDescent="0.25">
      <c r="A713" s="2" t="e">
        <f ca="1"/>
        <v>#N/A</v>
      </c>
      <c r="C713" t="e">
        <f ca="1"/>
        <v>#N/A</v>
      </c>
      <c r="D713" t="e">
        <f ca="1"/>
        <v>#N/A</v>
      </c>
      <c r="E713" t="e">
        <f ca="1"/>
        <v>#N/A</v>
      </c>
      <c r="F713" t="e">
        <f ca="1"/>
        <v>#N/A</v>
      </c>
      <c r="G713" t="e">
        <f ca="1"/>
        <v>#N/A</v>
      </c>
      <c r="H713" t="e">
        <f ca="1"/>
        <v>#N/A</v>
      </c>
      <c r="I713" t="e">
        <f ca="1"/>
        <v>#N/A</v>
      </c>
      <c r="J713" t="e">
        <f ca="1"/>
        <v>#N/A</v>
      </c>
      <c r="K713" t="e">
        <f ca="1"/>
        <v>#N/A</v>
      </c>
    </row>
    <row r="714" spans="1:11" x14ac:dyDescent="0.25">
      <c r="A714" s="2" t="e">
        <f ca="1"/>
        <v>#N/A</v>
      </c>
      <c r="C714" t="e">
        <f ca="1"/>
        <v>#N/A</v>
      </c>
      <c r="D714" t="e">
        <f ca="1"/>
        <v>#N/A</v>
      </c>
      <c r="E714" t="e">
        <f ca="1"/>
        <v>#N/A</v>
      </c>
      <c r="F714" t="e">
        <f ca="1"/>
        <v>#N/A</v>
      </c>
      <c r="G714" t="e">
        <f ca="1"/>
        <v>#N/A</v>
      </c>
      <c r="H714" t="e">
        <f ca="1"/>
        <v>#N/A</v>
      </c>
      <c r="I714" t="e">
        <f ca="1"/>
        <v>#N/A</v>
      </c>
      <c r="J714" t="e">
        <f ca="1"/>
        <v>#N/A</v>
      </c>
      <c r="K714" t="e">
        <f ca="1"/>
        <v>#N/A</v>
      </c>
    </row>
    <row r="715" spans="1:11" x14ac:dyDescent="0.25">
      <c r="A715" s="2" t="e">
        <f ca="1"/>
        <v>#N/A</v>
      </c>
      <c r="C715" t="e">
        <f ca="1"/>
        <v>#N/A</v>
      </c>
      <c r="D715" t="e">
        <f ca="1"/>
        <v>#N/A</v>
      </c>
      <c r="E715" t="e">
        <f ca="1"/>
        <v>#N/A</v>
      </c>
      <c r="F715" t="e">
        <f ca="1"/>
        <v>#N/A</v>
      </c>
      <c r="G715" t="e">
        <f ca="1"/>
        <v>#N/A</v>
      </c>
      <c r="H715" t="e">
        <f ca="1"/>
        <v>#N/A</v>
      </c>
      <c r="I715" t="e">
        <f ca="1"/>
        <v>#N/A</v>
      </c>
      <c r="J715" t="e">
        <f ca="1"/>
        <v>#N/A</v>
      </c>
      <c r="K715" t="e">
        <f ca="1"/>
        <v>#N/A</v>
      </c>
    </row>
    <row r="716" spans="1:11" x14ac:dyDescent="0.25">
      <c r="A716" s="2" t="e">
        <f ca="1"/>
        <v>#N/A</v>
      </c>
      <c r="C716" t="e">
        <f ca="1"/>
        <v>#N/A</v>
      </c>
      <c r="D716" t="e">
        <f ca="1"/>
        <v>#N/A</v>
      </c>
      <c r="E716" t="e">
        <f ca="1"/>
        <v>#N/A</v>
      </c>
      <c r="F716" t="e">
        <f ca="1"/>
        <v>#N/A</v>
      </c>
      <c r="G716" t="e">
        <f ca="1"/>
        <v>#N/A</v>
      </c>
      <c r="H716" t="e">
        <f ca="1"/>
        <v>#N/A</v>
      </c>
      <c r="I716" t="e">
        <f ca="1"/>
        <v>#N/A</v>
      </c>
      <c r="J716" t="e">
        <f ca="1"/>
        <v>#N/A</v>
      </c>
      <c r="K716" t="e">
        <f ca="1"/>
        <v>#N/A</v>
      </c>
    </row>
    <row r="717" spans="1:11" x14ac:dyDescent="0.25">
      <c r="A717" s="2" t="e">
        <f ca="1"/>
        <v>#N/A</v>
      </c>
      <c r="C717" t="e">
        <f ca="1"/>
        <v>#N/A</v>
      </c>
      <c r="D717" t="e">
        <f ca="1"/>
        <v>#N/A</v>
      </c>
      <c r="E717" t="e">
        <f ca="1"/>
        <v>#N/A</v>
      </c>
      <c r="F717" t="e">
        <f ca="1"/>
        <v>#N/A</v>
      </c>
      <c r="G717" t="e">
        <f ca="1"/>
        <v>#N/A</v>
      </c>
      <c r="H717" t="e">
        <f ca="1"/>
        <v>#N/A</v>
      </c>
      <c r="I717" t="e">
        <f ca="1"/>
        <v>#N/A</v>
      </c>
      <c r="J717" t="e">
        <f ca="1"/>
        <v>#N/A</v>
      </c>
      <c r="K717" t="e">
        <f ca="1"/>
        <v>#N/A</v>
      </c>
    </row>
    <row r="718" spans="1:11" x14ac:dyDescent="0.25">
      <c r="A718" s="2" t="e">
        <f ca="1"/>
        <v>#N/A</v>
      </c>
      <c r="C718" t="e">
        <f ca="1"/>
        <v>#N/A</v>
      </c>
      <c r="D718" t="e">
        <f ca="1"/>
        <v>#N/A</v>
      </c>
      <c r="E718" t="e">
        <f ca="1"/>
        <v>#N/A</v>
      </c>
      <c r="F718" t="e">
        <f ca="1"/>
        <v>#N/A</v>
      </c>
      <c r="G718" t="e">
        <f ca="1"/>
        <v>#N/A</v>
      </c>
      <c r="H718" t="e">
        <f ca="1"/>
        <v>#N/A</v>
      </c>
      <c r="I718" t="e">
        <f ca="1"/>
        <v>#N/A</v>
      </c>
      <c r="J718" t="e">
        <f ca="1"/>
        <v>#N/A</v>
      </c>
      <c r="K718" t="e">
        <f ca="1"/>
        <v>#N/A</v>
      </c>
    </row>
    <row r="719" spans="1:11" x14ac:dyDescent="0.25">
      <c r="A719" s="2" t="e">
        <f ca="1"/>
        <v>#N/A</v>
      </c>
      <c r="C719" t="e">
        <f ca="1"/>
        <v>#N/A</v>
      </c>
      <c r="D719" t="e">
        <f ca="1"/>
        <v>#N/A</v>
      </c>
      <c r="E719" t="e">
        <f ca="1"/>
        <v>#N/A</v>
      </c>
      <c r="F719" t="e">
        <f ca="1"/>
        <v>#N/A</v>
      </c>
      <c r="G719" t="e">
        <f ca="1"/>
        <v>#N/A</v>
      </c>
      <c r="H719" t="e">
        <f ca="1"/>
        <v>#N/A</v>
      </c>
      <c r="I719" t="e">
        <f ca="1"/>
        <v>#N/A</v>
      </c>
      <c r="J719" t="e">
        <f ca="1"/>
        <v>#N/A</v>
      </c>
      <c r="K719" t="e">
        <f ca="1"/>
        <v>#N/A</v>
      </c>
    </row>
    <row r="720" spans="1:11" x14ac:dyDescent="0.25">
      <c r="A720" s="2" t="e">
        <f ca="1"/>
        <v>#N/A</v>
      </c>
      <c r="C720" t="e">
        <f ca="1"/>
        <v>#N/A</v>
      </c>
      <c r="D720" t="e">
        <f ca="1"/>
        <v>#N/A</v>
      </c>
      <c r="E720" t="e">
        <f ca="1"/>
        <v>#N/A</v>
      </c>
      <c r="F720" t="e">
        <f ca="1"/>
        <v>#N/A</v>
      </c>
      <c r="G720" t="e">
        <f ca="1"/>
        <v>#N/A</v>
      </c>
      <c r="H720" t="e">
        <f ca="1"/>
        <v>#N/A</v>
      </c>
      <c r="I720" t="e">
        <f ca="1"/>
        <v>#N/A</v>
      </c>
      <c r="J720" t="e">
        <f ca="1"/>
        <v>#N/A</v>
      </c>
      <c r="K720" t="e">
        <f ca="1"/>
        <v>#N/A</v>
      </c>
    </row>
    <row r="721" spans="1:11" x14ac:dyDescent="0.25">
      <c r="A721" s="2" t="e">
        <f ca="1"/>
        <v>#N/A</v>
      </c>
      <c r="C721" t="e">
        <f ca="1"/>
        <v>#N/A</v>
      </c>
      <c r="D721" t="e">
        <f ca="1"/>
        <v>#N/A</v>
      </c>
      <c r="E721" t="e">
        <f ca="1"/>
        <v>#N/A</v>
      </c>
      <c r="F721" t="e">
        <f ca="1"/>
        <v>#N/A</v>
      </c>
      <c r="G721" t="e">
        <f ca="1"/>
        <v>#N/A</v>
      </c>
      <c r="H721" t="e">
        <f ca="1"/>
        <v>#N/A</v>
      </c>
      <c r="I721" t="e">
        <f ca="1"/>
        <v>#N/A</v>
      </c>
      <c r="J721" t="e">
        <f ca="1"/>
        <v>#N/A</v>
      </c>
      <c r="K721" t="e">
        <f ca="1"/>
        <v>#N/A</v>
      </c>
    </row>
    <row r="722" spans="1:11" x14ac:dyDescent="0.25">
      <c r="A722" s="2" t="e">
        <f ca="1"/>
        <v>#N/A</v>
      </c>
      <c r="C722" t="e">
        <f ca="1"/>
        <v>#N/A</v>
      </c>
      <c r="D722" t="e">
        <f ca="1"/>
        <v>#N/A</v>
      </c>
      <c r="E722" t="e">
        <f ca="1"/>
        <v>#N/A</v>
      </c>
      <c r="F722" t="e">
        <f ca="1"/>
        <v>#N/A</v>
      </c>
      <c r="G722" t="e">
        <f ca="1"/>
        <v>#N/A</v>
      </c>
      <c r="H722" t="e">
        <f ca="1"/>
        <v>#N/A</v>
      </c>
      <c r="I722" t="e">
        <f ca="1"/>
        <v>#N/A</v>
      </c>
      <c r="J722" t="e">
        <f ca="1"/>
        <v>#N/A</v>
      </c>
      <c r="K722" t="e">
        <f ca="1"/>
        <v>#N/A</v>
      </c>
    </row>
    <row r="723" spans="1:11" x14ac:dyDescent="0.25">
      <c r="A723" s="2" t="e">
        <f ca="1"/>
        <v>#N/A</v>
      </c>
      <c r="C723" t="e">
        <f ca="1"/>
        <v>#N/A</v>
      </c>
      <c r="D723" t="e">
        <f ca="1"/>
        <v>#N/A</v>
      </c>
      <c r="E723" t="e">
        <f ca="1"/>
        <v>#N/A</v>
      </c>
      <c r="F723" t="e">
        <f ca="1"/>
        <v>#N/A</v>
      </c>
      <c r="G723" t="e">
        <f ca="1"/>
        <v>#N/A</v>
      </c>
      <c r="H723" t="e">
        <f ca="1"/>
        <v>#N/A</v>
      </c>
      <c r="I723" t="e">
        <f ca="1"/>
        <v>#N/A</v>
      </c>
      <c r="J723" t="e">
        <f ca="1"/>
        <v>#N/A</v>
      </c>
      <c r="K723" t="e">
        <f ca="1"/>
        <v>#N/A</v>
      </c>
    </row>
    <row r="724" spans="1:11" x14ac:dyDescent="0.25">
      <c r="A724" s="2" t="e">
        <f ca="1"/>
        <v>#N/A</v>
      </c>
      <c r="C724" t="e">
        <f ca="1"/>
        <v>#N/A</v>
      </c>
      <c r="D724" t="e">
        <f ca="1"/>
        <v>#N/A</v>
      </c>
      <c r="E724" t="e">
        <f ca="1"/>
        <v>#N/A</v>
      </c>
      <c r="F724" t="e">
        <f ca="1"/>
        <v>#N/A</v>
      </c>
      <c r="G724" t="e">
        <f ca="1"/>
        <v>#N/A</v>
      </c>
      <c r="H724" t="e">
        <f ca="1"/>
        <v>#N/A</v>
      </c>
      <c r="I724" t="e">
        <f ca="1"/>
        <v>#N/A</v>
      </c>
      <c r="J724" t="e">
        <f ca="1"/>
        <v>#N/A</v>
      </c>
      <c r="K724" t="e">
        <f ca="1"/>
        <v>#N/A</v>
      </c>
    </row>
    <row r="725" spans="1:11" x14ac:dyDescent="0.25">
      <c r="A725" s="2" t="e">
        <f ca="1"/>
        <v>#N/A</v>
      </c>
      <c r="C725" t="e">
        <f ca="1"/>
        <v>#N/A</v>
      </c>
      <c r="D725" t="e">
        <f ca="1"/>
        <v>#N/A</v>
      </c>
      <c r="E725" t="e">
        <f ca="1"/>
        <v>#N/A</v>
      </c>
      <c r="F725" t="e">
        <f ca="1"/>
        <v>#N/A</v>
      </c>
      <c r="G725" t="e">
        <f ca="1"/>
        <v>#N/A</v>
      </c>
      <c r="H725" t="e">
        <f ca="1"/>
        <v>#N/A</v>
      </c>
      <c r="I725" t="e">
        <f ca="1"/>
        <v>#N/A</v>
      </c>
      <c r="J725" t="e">
        <f ca="1"/>
        <v>#N/A</v>
      </c>
      <c r="K725" t="e">
        <f ca="1"/>
        <v>#N/A</v>
      </c>
    </row>
    <row r="726" spans="1:11" x14ac:dyDescent="0.25">
      <c r="A726" s="2" t="e">
        <f ca="1"/>
        <v>#N/A</v>
      </c>
      <c r="C726" t="e">
        <f ca="1"/>
        <v>#N/A</v>
      </c>
      <c r="D726" t="e">
        <f ca="1"/>
        <v>#N/A</v>
      </c>
      <c r="E726" t="e">
        <f ca="1"/>
        <v>#N/A</v>
      </c>
      <c r="F726" t="e">
        <f ca="1"/>
        <v>#N/A</v>
      </c>
      <c r="G726" t="e">
        <f ca="1"/>
        <v>#N/A</v>
      </c>
      <c r="H726" t="e">
        <f ca="1"/>
        <v>#N/A</v>
      </c>
      <c r="I726" t="e">
        <f ca="1"/>
        <v>#N/A</v>
      </c>
      <c r="J726" t="e">
        <f ca="1"/>
        <v>#N/A</v>
      </c>
      <c r="K726" t="e">
        <f ca="1"/>
        <v>#N/A</v>
      </c>
    </row>
    <row r="727" spans="1:11" x14ac:dyDescent="0.25">
      <c r="A727" s="2" t="e">
        <f ca="1"/>
        <v>#N/A</v>
      </c>
      <c r="C727" t="e">
        <f ca="1"/>
        <v>#N/A</v>
      </c>
      <c r="D727" t="e">
        <f ca="1"/>
        <v>#N/A</v>
      </c>
      <c r="E727" t="e">
        <f ca="1"/>
        <v>#N/A</v>
      </c>
      <c r="F727" t="e">
        <f ca="1"/>
        <v>#N/A</v>
      </c>
      <c r="G727" t="e">
        <f ca="1"/>
        <v>#N/A</v>
      </c>
      <c r="H727" t="e">
        <f ca="1"/>
        <v>#N/A</v>
      </c>
      <c r="I727" t="e">
        <f ca="1"/>
        <v>#N/A</v>
      </c>
      <c r="J727" t="e">
        <f ca="1"/>
        <v>#N/A</v>
      </c>
      <c r="K727" t="e">
        <f ca="1"/>
        <v>#N/A</v>
      </c>
    </row>
    <row r="728" spans="1:11" x14ac:dyDescent="0.25">
      <c r="A728" s="2" t="e">
        <f ca="1"/>
        <v>#N/A</v>
      </c>
      <c r="C728" t="e">
        <f ca="1"/>
        <v>#N/A</v>
      </c>
      <c r="D728" t="e">
        <f ca="1"/>
        <v>#N/A</v>
      </c>
      <c r="E728" t="e">
        <f ca="1"/>
        <v>#N/A</v>
      </c>
      <c r="F728" t="e">
        <f ca="1"/>
        <v>#N/A</v>
      </c>
      <c r="G728" t="e">
        <f ca="1"/>
        <v>#N/A</v>
      </c>
      <c r="H728" t="e">
        <f ca="1"/>
        <v>#N/A</v>
      </c>
      <c r="I728" t="e">
        <f ca="1"/>
        <v>#N/A</v>
      </c>
      <c r="J728" t="e">
        <f ca="1"/>
        <v>#N/A</v>
      </c>
      <c r="K728" t="e">
        <f ca="1"/>
        <v>#N/A</v>
      </c>
    </row>
    <row r="729" spans="1:11" x14ac:dyDescent="0.25">
      <c r="A729" s="2" t="e">
        <f ca="1"/>
        <v>#N/A</v>
      </c>
      <c r="C729" t="e">
        <f ca="1"/>
        <v>#N/A</v>
      </c>
      <c r="D729" t="e">
        <f ca="1"/>
        <v>#N/A</v>
      </c>
      <c r="E729" t="e">
        <f ca="1"/>
        <v>#N/A</v>
      </c>
      <c r="F729" t="e">
        <f ca="1"/>
        <v>#N/A</v>
      </c>
      <c r="G729" t="e">
        <f ca="1"/>
        <v>#N/A</v>
      </c>
      <c r="H729" t="e">
        <f ca="1"/>
        <v>#N/A</v>
      </c>
      <c r="I729" t="e">
        <f ca="1"/>
        <v>#N/A</v>
      </c>
      <c r="J729" t="e">
        <f ca="1"/>
        <v>#N/A</v>
      </c>
      <c r="K729" t="e">
        <f ca="1"/>
        <v>#N/A</v>
      </c>
    </row>
    <row r="730" spans="1:11" x14ac:dyDescent="0.25">
      <c r="A730" s="2" t="e">
        <f ca="1"/>
        <v>#N/A</v>
      </c>
      <c r="C730" t="e">
        <f ca="1"/>
        <v>#N/A</v>
      </c>
      <c r="D730" t="e">
        <f ca="1"/>
        <v>#N/A</v>
      </c>
      <c r="E730" t="e">
        <f ca="1"/>
        <v>#N/A</v>
      </c>
      <c r="F730" t="e">
        <f ca="1"/>
        <v>#N/A</v>
      </c>
      <c r="G730" t="e">
        <f ca="1"/>
        <v>#N/A</v>
      </c>
      <c r="H730" t="e">
        <f ca="1"/>
        <v>#N/A</v>
      </c>
      <c r="I730" t="e">
        <f ca="1"/>
        <v>#N/A</v>
      </c>
      <c r="J730" t="e">
        <f ca="1"/>
        <v>#N/A</v>
      </c>
      <c r="K730" t="e">
        <f ca="1"/>
        <v>#N/A</v>
      </c>
    </row>
    <row r="731" spans="1:11" x14ac:dyDescent="0.25">
      <c r="A731" s="2" t="e">
        <f ca="1"/>
        <v>#N/A</v>
      </c>
      <c r="C731" t="e">
        <f ca="1"/>
        <v>#N/A</v>
      </c>
      <c r="D731" t="e">
        <f ca="1"/>
        <v>#N/A</v>
      </c>
      <c r="E731" t="e">
        <f ca="1"/>
        <v>#N/A</v>
      </c>
      <c r="F731" t="e">
        <f ca="1"/>
        <v>#N/A</v>
      </c>
      <c r="G731" t="e">
        <f ca="1"/>
        <v>#N/A</v>
      </c>
      <c r="H731" t="e">
        <f ca="1"/>
        <v>#N/A</v>
      </c>
      <c r="I731" t="e">
        <f ca="1"/>
        <v>#N/A</v>
      </c>
      <c r="J731" t="e">
        <f ca="1"/>
        <v>#N/A</v>
      </c>
      <c r="K731" t="e">
        <f ca="1"/>
        <v>#N/A</v>
      </c>
    </row>
    <row r="732" spans="1:11" x14ac:dyDescent="0.25">
      <c r="A732" s="2" t="e">
        <f ca="1"/>
        <v>#N/A</v>
      </c>
      <c r="C732" t="e">
        <f ca="1"/>
        <v>#N/A</v>
      </c>
      <c r="D732" t="e">
        <f ca="1"/>
        <v>#N/A</v>
      </c>
      <c r="E732" t="e">
        <f ca="1"/>
        <v>#N/A</v>
      </c>
      <c r="F732" t="e">
        <f ca="1"/>
        <v>#N/A</v>
      </c>
      <c r="G732" t="e">
        <f ca="1"/>
        <v>#N/A</v>
      </c>
      <c r="H732" t="e">
        <f ca="1"/>
        <v>#N/A</v>
      </c>
      <c r="I732" t="e">
        <f ca="1"/>
        <v>#N/A</v>
      </c>
      <c r="J732" t="e">
        <f ca="1"/>
        <v>#N/A</v>
      </c>
      <c r="K732" t="e">
        <f ca="1"/>
        <v>#N/A</v>
      </c>
    </row>
    <row r="733" spans="1:11" x14ac:dyDescent="0.25">
      <c r="A733" s="2" t="e">
        <f ca="1"/>
        <v>#N/A</v>
      </c>
      <c r="C733" t="e">
        <f ca="1"/>
        <v>#N/A</v>
      </c>
      <c r="D733" t="e">
        <f ca="1"/>
        <v>#N/A</v>
      </c>
      <c r="E733" t="e">
        <f ca="1"/>
        <v>#N/A</v>
      </c>
      <c r="F733" t="e">
        <f ca="1"/>
        <v>#N/A</v>
      </c>
      <c r="G733" t="e">
        <f ca="1"/>
        <v>#N/A</v>
      </c>
      <c r="H733" t="e">
        <f ca="1"/>
        <v>#N/A</v>
      </c>
      <c r="I733" t="e">
        <f ca="1"/>
        <v>#N/A</v>
      </c>
      <c r="J733" t="e">
        <f ca="1"/>
        <v>#N/A</v>
      </c>
      <c r="K733" t="e">
        <f ca="1"/>
        <v>#N/A</v>
      </c>
    </row>
    <row r="734" spans="1:11" x14ac:dyDescent="0.25">
      <c r="A734" s="2" t="e">
        <f ca="1"/>
        <v>#N/A</v>
      </c>
      <c r="C734" t="e">
        <f ca="1"/>
        <v>#N/A</v>
      </c>
      <c r="D734" t="e">
        <f ca="1"/>
        <v>#N/A</v>
      </c>
      <c r="E734" t="e">
        <f ca="1"/>
        <v>#N/A</v>
      </c>
      <c r="F734" t="e">
        <f ca="1"/>
        <v>#N/A</v>
      </c>
      <c r="G734" t="e">
        <f ca="1"/>
        <v>#N/A</v>
      </c>
      <c r="H734" t="e">
        <f ca="1"/>
        <v>#N/A</v>
      </c>
      <c r="I734" t="e">
        <f ca="1"/>
        <v>#N/A</v>
      </c>
      <c r="J734" t="e">
        <f ca="1"/>
        <v>#N/A</v>
      </c>
      <c r="K734" t="e">
        <f ca="1"/>
        <v>#N/A</v>
      </c>
    </row>
    <row r="735" spans="1:11" x14ac:dyDescent="0.25">
      <c r="A735" s="2" t="e">
        <f ca="1"/>
        <v>#N/A</v>
      </c>
      <c r="C735" t="e">
        <f ca="1"/>
        <v>#N/A</v>
      </c>
      <c r="D735" t="e">
        <f ca="1"/>
        <v>#N/A</v>
      </c>
      <c r="E735" t="e">
        <f ca="1"/>
        <v>#N/A</v>
      </c>
      <c r="F735" t="e">
        <f ca="1"/>
        <v>#N/A</v>
      </c>
      <c r="G735" t="e">
        <f ca="1"/>
        <v>#N/A</v>
      </c>
      <c r="H735" t="e">
        <f ca="1"/>
        <v>#N/A</v>
      </c>
      <c r="I735" t="e">
        <f ca="1"/>
        <v>#N/A</v>
      </c>
      <c r="J735" t="e">
        <f ca="1"/>
        <v>#N/A</v>
      </c>
      <c r="K735" t="e">
        <f ca="1"/>
        <v>#N/A</v>
      </c>
    </row>
    <row r="736" spans="1:11" x14ac:dyDescent="0.25">
      <c r="A736" s="2" t="e">
        <f ca="1"/>
        <v>#N/A</v>
      </c>
      <c r="C736" t="e">
        <f ca="1"/>
        <v>#N/A</v>
      </c>
      <c r="D736" t="e">
        <f ca="1"/>
        <v>#N/A</v>
      </c>
      <c r="E736" t="e">
        <f ca="1"/>
        <v>#N/A</v>
      </c>
      <c r="F736" t="e">
        <f ca="1"/>
        <v>#N/A</v>
      </c>
      <c r="G736" t="e">
        <f ca="1"/>
        <v>#N/A</v>
      </c>
      <c r="H736" t="e">
        <f ca="1"/>
        <v>#N/A</v>
      </c>
      <c r="I736" t="e">
        <f ca="1"/>
        <v>#N/A</v>
      </c>
      <c r="J736" t="e">
        <f ca="1"/>
        <v>#N/A</v>
      </c>
      <c r="K736" t="e">
        <f ca="1"/>
        <v>#N/A</v>
      </c>
    </row>
    <row r="737" spans="1:11" x14ac:dyDescent="0.25">
      <c r="A737" s="2" t="e">
        <f ca="1"/>
        <v>#N/A</v>
      </c>
      <c r="C737" t="e">
        <f ca="1"/>
        <v>#N/A</v>
      </c>
      <c r="D737" t="e">
        <f ca="1"/>
        <v>#N/A</v>
      </c>
      <c r="E737" t="e">
        <f ca="1"/>
        <v>#N/A</v>
      </c>
      <c r="F737" t="e">
        <f ca="1"/>
        <v>#N/A</v>
      </c>
      <c r="G737" t="e">
        <f ca="1"/>
        <v>#N/A</v>
      </c>
      <c r="H737" t="e">
        <f ca="1"/>
        <v>#N/A</v>
      </c>
      <c r="I737" t="e">
        <f ca="1"/>
        <v>#N/A</v>
      </c>
      <c r="J737" t="e">
        <f ca="1"/>
        <v>#N/A</v>
      </c>
      <c r="K737" t="e">
        <f ca="1"/>
        <v>#N/A</v>
      </c>
    </row>
    <row r="738" spans="1:11" x14ac:dyDescent="0.25">
      <c r="A738" s="2" t="e">
        <f ca="1"/>
        <v>#N/A</v>
      </c>
      <c r="C738" t="e">
        <f ca="1"/>
        <v>#N/A</v>
      </c>
      <c r="D738" t="e">
        <f ca="1"/>
        <v>#N/A</v>
      </c>
      <c r="E738" t="e">
        <f ca="1"/>
        <v>#N/A</v>
      </c>
      <c r="F738" t="e">
        <f ca="1"/>
        <v>#N/A</v>
      </c>
      <c r="G738" t="e">
        <f ca="1"/>
        <v>#N/A</v>
      </c>
      <c r="H738" t="e">
        <f ca="1"/>
        <v>#N/A</v>
      </c>
      <c r="I738" t="e">
        <f ca="1"/>
        <v>#N/A</v>
      </c>
      <c r="J738" t="e">
        <f ca="1"/>
        <v>#N/A</v>
      </c>
      <c r="K738" t="e">
        <f ca="1"/>
        <v>#N/A</v>
      </c>
    </row>
    <row r="739" spans="1:11" x14ac:dyDescent="0.25">
      <c r="A739" s="2" t="e">
        <f ca="1"/>
        <v>#N/A</v>
      </c>
      <c r="C739" t="e">
        <f ca="1"/>
        <v>#N/A</v>
      </c>
      <c r="D739" t="e">
        <f ca="1"/>
        <v>#N/A</v>
      </c>
      <c r="E739" t="e">
        <f ca="1"/>
        <v>#N/A</v>
      </c>
      <c r="F739" t="e">
        <f ca="1"/>
        <v>#N/A</v>
      </c>
      <c r="G739" t="e">
        <f ca="1"/>
        <v>#N/A</v>
      </c>
      <c r="H739" t="e">
        <f ca="1"/>
        <v>#N/A</v>
      </c>
      <c r="I739" t="e">
        <f ca="1"/>
        <v>#N/A</v>
      </c>
      <c r="J739" t="e">
        <f ca="1"/>
        <v>#N/A</v>
      </c>
      <c r="K739" t="e">
        <f ca="1"/>
        <v>#N/A</v>
      </c>
    </row>
    <row r="740" spans="1:11" x14ac:dyDescent="0.25">
      <c r="A740" s="2" t="e">
        <f ca="1"/>
        <v>#N/A</v>
      </c>
      <c r="C740" t="e">
        <f ca="1"/>
        <v>#N/A</v>
      </c>
      <c r="D740" t="e">
        <f ca="1"/>
        <v>#N/A</v>
      </c>
      <c r="E740" t="e">
        <f ca="1"/>
        <v>#N/A</v>
      </c>
      <c r="F740" t="e">
        <f ca="1"/>
        <v>#N/A</v>
      </c>
      <c r="G740" t="e">
        <f ca="1"/>
        <v>#N/A</v>
      </c>
      <c r="H740" t="e">
        <f ca="1"/>
        <v>#N/A</v>
      </c>
      <c r="I740" t="e">
        <f ca="1"/>
        <v>#N/A</v>
      </c>
      <c r="J740" t="e">
        <f ca="1"/>
        <v>#N/A</v>
      </c>
      <c r="K740" t="e">
        <f ca="1"/>
        <v>#N/A</v>
      </c>
    </row>
    <row r="741" spans="1:11" x14ac:dyDescent="0.25">
      <c r="A741" s="2" t="e">
        <f ca="1"/>
        <v>#N/A</v>
      </c>
      <c r="C741" t="e">
        <f ca="1"/>
        <v>#N/A</v>
      </c>
      <c r="D741" t="e">
        <f ca="1"/>
        <v>#N/A</v>
      </c>
      <c r="E741" t="e">
        <f ca="1"/>
        <v>#N/A</v>
      </c>
      <c r="F741" t="e">
        <f ca="1"/>
        <v>#N/A</v>
      </c>
      <c r="G741" t="e">
        <f ca="1"/>
        <v>#N/A</v>
      </c>
      <c r="H741" t="e">
        <f ca="1"/>
        <v>#N/A</v>
      </c>
      <c r="I741" t="e">
        <f ca="1"/>
        <v>#N/A</v>
      </c>
      <c r="J741" t="e">
        <f ca="1"/>
        <v>#N/A</v>
      </c>
      <c r="K741" t="e">
        <f ca="1"/>
        <v>#N/A</v>
      </c>
    </row>
    <row r="742" spans="1:11" x14ac:dyDescent="0.25">
      <c r="A742" s="2" t="e">
        <f ca="1"/>
        <v>#N/A</v>
      </c>
      <c r="C742" t="e">
        <f ca="1"/>
        <v>#N/A</v>
      </c>
      <c r="D742" t="e">
        <f ca="1"/>
        <v>#N/A</v>
      </c>
      <c r="E742" t="e">
        <f ca="1"/>
        <v>#N/A</v>
      </c>
      <c r="F742" t="e">
        <f ca="1"/>
        <v>#N/A</v>
      </c>
      <c r="G742" t="e">
        <f ca="1"/>
        <v>#N/A</v>
      </c>
      <c r="H742" t="e">
        <f ca="1"/>
        <v>#N/A</v>
      </c>
      <c r="I742" t="e">
        <f ca="1"/>
        <v>#N/A</v>
      </c>
      <c r="J742" t="e">
        <f ca="1"/>
        <v>#N/A</v>
      </c>
      <c r="K742" t="e">
        <f ca="1"/>
        <v>#N/A</v>
      </c>
    </row>
    <row r="743" spans="1:11" x14ac:dyDescent="0.25">
      <c r="A743" s="2" t="e">
        <f ca="1"/>
        <v>#N/A</v>
      </c>
      <c r="C743" t="e">
        <f ca="1"/>
        <v>#N/A</v>
      </c>
      <c r="D743" t="e">
        <f ca="1"/>
        <v>#N/A</v>
      </c>
      <c r="E743" t="e">
        <f ca="1"/>
        <v>#N/A</v>
      </c>
      <c r="F743" t="e">
        <f ca="1"/>
        <v>#N/A</v>
      </c>
      <c r="G743" t="e">
        <f ca="1"/>
        <v>#N/A</v>
      </c>
      <c r="H743" t="e">
        <f ca="1"/>
        <v>#N/A</v>
      </c>
      <c r="I743" t="e">
        <f ca="1"/>
        <v>#N/A</v>
      </c>
      <c r="J743" t="e">
        <f ca="1"/>
        <v>#N/A</v>
      </c>
      <c r="K743" t="e">
        <f ca="1"/>
        <v>#N/A</v>
      </c>
    </row>
    <row r="744" spans="1:11" x14ac:dyDescent="0.25">
      <c r="A744" s="2" t="e">
        <f ca="1"/>
        <v>#N/A</v>
      </c>
      <c r="C744" t="e">
        <f ca="1"/>
        <v>#N/A</v>
      </c>
      <c r="D744" t="e">
        <f ca="1"/>
        <v>#N/A</v>
      </c>
      <c r="E744" t="e">
        <f ca="1"/>
        <v>#N/A</v>
      </c>
      <c r="F744" t="e">
        <f ca="1"/>
        <v>#N/A</v>
      </c>
      <c r="G744" t="e">
        <f ca="1"/>
        <v>#N/A</v>
      </c>
      <c r="H744" t="e">
        <f ca="1"/>
        <v>#N/A</v>
      </c>
      <c r="I744" t="e">
        <f ca="1"/>
        <v>#N/A</v>
      </c>
      <c r="J744" t="e">
        <f ca="1"/>
        <v>#N/A</v>
      </c>
      <c r="K744" t="e">
        <f ca="1"/>
        <v>#N/A</v>
      </c>
    </row>
    <row r="745" spans="1:11" x14ac:dyDescent="0.25">
      <c r="A745" s="2" t="e">
        <f ca="1"/>
        <v>#N/A</v>
      </c>
      <c r="C745" t="e">
        <f ca="1"/>
        <v>#N/A</v>
      </c>
      <c r="D745" t="e">
        <f ca="1"/>
        <v>#N/A</v>
      </c>
      <c r="E745" t="e">
        <f ca="1"/>
        <v>#N/A</v>
      </c>
      <c r="F745" t="e">
        <f ca="1"/>
        <v>#N/A</v>
      </c>
      <c r="G745" t="e">
        <f ca="1"/>
        <v>#N/A</v>
      </c>
      <c r="H745" t="e">
        <f ca="1"/>
        <v>#N/A</v>
      </c>
      <c r="I745" t="e">
        <f ca="1"/>
        <v>#N/A</v>
      </c>
      <c r="J745" t="e">
        <f ca="1"/>
        <v>#N/A</v>
      </c>
      <c r="K745" t="e">
        <f ca="1"/>
        <v>#N/A</v>
      </c>
    </row>
    <row r="746" spans="1:11" x14ac:dyDescent="0.25">
      <c r="A746" s="2" t="e">
        <f ca="1"/>
        <v>#N/A</v>
      </c>
      <c r="C746" t="e">
        <f ca="1"/>
        <v>#N/A</v>
      </c>
      <c r="D746" t="e">
        <f ca="1"/>
        <v>#N/A</v>
      </c>
      <c r="E746" t="e">
        <f ca="1"/>
        <v>#N/A</v>
      </c>
      <c r="F746" t="e">
        <f ca="1"/>
        <v>#N/A</v>
      </c>
      <c r="G746" t="e">
        <f ca="1"/>
        <v>#N/A</v>
      </c>
      <c r="H746" t="e">
        <f ca="1"/>
        <v>#N/A</v>
      </c>
      <c r="I746" t="e">
        <f ca="1"/>
        <v>#N/A</v>
      </c>
      <c r="J746" t="e">
        <f ca="1"/>
        <v>#N/A</v>
      </c>
      <c r="K746" t="e">
        <f ca="1"/>
        <v>#N/A</v>
      </c>
    </row>
    <row r="747" spans="1:11" x14ac:dyDescent="0.25">
      <c r="A747" s="2" t="e">
        <f ca="1"/>
        <v>#N/A</v>
      </c>
      <c r="C747" t="e">
        <f ca="1"/>
        <v>#N/A</v>
      </c>
      <c r="D747" t="e">
        <f ca="1"/>
        <v>#N/A</v>
      </c>
      <c r="E747" t="e">
        <f ca="1"/>
        <v>#N/A</v>
      </c>
      <c r="F747" t="e">
        <f ca="1"/>
        <v>#N/A</v>
      </c>
      <c r="G747" t="e">
        <f ca="1"/>
        <v>#N/A</v>
      </c>
      <c r="H747" t="e">
        <f ca="1"/>
        <v>#N/A</v>
      </c>
      <c r="I747" t="e">
        <f ca="1"/>
        <v>#N/A</v>
      </c>
      <c r="J747" t="e">
        <f ca="1"/>
        <v>#N/A</v>
      </c>
      <c r="K747" t="e">
        <f ca="1"/>
        <v>#N/A</v>
      </c>
    </row>
    <row r="748" spans="1:11" x14ac:dyDescent="0.25">
      <c r="A748" s="2" t="e">
        <f ca="1"/>
        <v>#N/A</v>
      </c>
      <c r="C748" t="e">
        <f ca="1"/>
        <v>#N/A</v>
      </c>
      <c r="D748" t="e">
        <f ca="1"/>
        <v>#N/A</v>
      </c>
      <c r="E748" t="e">
        <f ca="1"/>
        <v>#N/A</v>
      </c>
      <c r="F748" t="e">
        <f ca="1"/>
        <v>#N/A</v>
      </c>
      <c r="G748" t="e">
        <f ca="1"/>
        <v>#N/A</v>
      </c>
      <c r="H748" t="e">
        <f ca="1"/>
        <v>#N/A</v>
      </c>
      <c r="I748" t="e">
        <f ca="1"/>
        <v>#N/A</v>
      </c>
      <c r="J748" t="e">
        <f ca="1"/>
        <v>#N/A</v>
      </c>
      <c r="K748" t="e">
        <f ca="1"/>
        <v>#N/A</v>
      </c>
    </row>
    <row r="749" spans="1:11" x14ac:dyDescent="0.25">
      <c r="A749" s="2" t="e">
        <f ca="1"/>
        <v>#N/A</v>
      </c>
      <c r="C749" t="e">
        <f ca="1"/>
        <v>#N/A</v>
      </c>
      <c r="D749" t="e">
        <f ca="1"/>
        <v>#N/A</v>
      </c>
      <c r="E749" t="e">
        <f ca="1"/>
        <v>#N/A</v>
      </c>
      <c r="F749" t="e">
        <f ca="1"/>
        <v>#N/A</v>
      </c>
      <c r="G749" t="e">
        <f ca="1"/>
        <v>#N/A</v>
      </c>
      <c r="H749" t="e">
        <f ca="1"/>
        <v>#N/A</v>
      </c>
      <c r="I749" t="e">
        <f ca="1"/>
        <v>#N/A</v>
      </c>
      <c r="J749" t="e">
        <f ca="1"/>
        <v>#N/A</v>
      </c>
      <c r="K749" t="e">
        <f ca="1"/>
        <v>#N/A</v>
      </c>
    </row>
    <row r="750" spans="1:11" x14ac:dyDescent="0.25">
      <c r="A750" s="2" t="e">
        <f ca="1"/>
        <v>#N/A</v>
      </c>
      <c r="C750" t="e">
        <f ca="1"/>
        <v>#N/A</v>
      </c>
      <c r="D750" t="e">
        <f ca="1"/>
        <v>#N/A</v>
      </c>
      <c r="E750" t="e">
        <f ca="1"/>
        <v>#N/A</v>
      </c>
      <c r="F750" t="e">
        <f ca="1"/>
        <v>#N/A</v>
      </c>
      <c r="G750" t="e">
        <f ca="1"/>
        <v>#N/A</v>
      </c>
      <c r="H750" t="e">
        <f ca="1"/>
        <v>#N/A</v>
      </c>
      <c r="I750" t="e">
        <f ca="1"/>
        <v>#N/A</v>
      </c>
      <c r="J750" t="e">
        <f ca="1"/>
        <v>#N/A</v>
      </c>
      <c r="K750" t="e">
        <f ca="1"/>
        <v>#N/A</v>
      </c>
    </row>
    <row r="751" spans="1:11" x14ac:dyDescent="0.25">
      <c r="A751" s="2" t="e">
        <f ca="1"/>
        <v>#N/A</v>
      </c>
      <c r="C751" t="e">
        <f ca="1"/>
        <v>#N/A</v>
      </c>
      <c r="D751" t="e">
        <f ca="1"/>
        <v>#N/A</v>
      </c>
      <c r="E751" t="e">
        <f ca="1"/>
        <v>#N/A</v>
      </c>
      <c r="F751" t="e">
        <f ca="1"/>
        <v>#N/A</v>
      </c>
      <c r="G751" t="e">
        <f ca="1"/>
        <v>#N/A</v>
      </c>
      <c r="H751" t="e">
        <f ca="1"/>
        <v>#N/A</v>
      </c>
      <c r="I751" t="e">
        <f ca="1"/>
        <v>#N/A</v>
      </c>
      <c r="J751" t="e">
        <f ca="1"/>
        <v>#N/A</v>
      </c>
      <c r="K751" t="e">
        <f ca="1"/>
        <v>#N/A</v>
      </c>
    </row>
    <row r="752" spans="1:11" x14ac:dyDescent="0.25">
      <c r="A752" s="2" t="e">
        <f ca="1"/>
        <v>#N/A</v>
      </c>
      <c r="C752" t="e">
        <f ca="1"/>
        <v>#N/A</v>
      </c>
      <c r="D752" t="e">
        <f ca="1"/>
        <v>#N/A</v>
      </c>
      <c r="E752" t="e">
        <f ca="1"/>
        <v>#N/A</v>
      </c>
      <c r="F752" t="e">
        <f ca="1"/>
        <v>#N/A</v>
      </c>
      <c r="G752" t="e">
        <f ca="1"/>
        <v>#N/A</v>
      </c>
      <c r="H752" t="e">
        <f ca="1"/>
        <v>#N/A</v>
      </c>
      <c r="I752" t="e">
        <f ca="1"/>
        <v>#N/A</v>
      </c>
      <c r="J752" t="e">
        <f ca="1"/>
        <v>#N/A</v>
      </c>
      <c r="K752" t="e">
        <f ca="1"/>
        <v>#N/A</v>
      </c>
    </row>
    <row r="753" spans="1:11" x14ac:dyDescent="0.25">
      <c r="A753" s="2" t="e">
        <f ca="1"/>
        <v>#N/A</v>
      </c>
      <c r="C753" t="e">
        <f ca="1"/>
        <v>#N/A</v>
      </c>
      <c r="D753" t="e">
        <f ca="1"/>
        <v>#N/A</v>
      </c>
      <c r="E753" t="e">
        <f ca="1"/>
        <v>#N/A</v>
      </c>
      <c r="F753" t="e">
        <f ca="1"/>
        <v>#N/A</v>
      </c>
      <c r="G753" t="e">
        <f ca="1"/>
        <v>#N/A</v>
      </c>
      <c r="H753" t="e">
        <f ca="1"/>
        <v>#N/A</v>
      </c>
      <c r="I753" t="e">
        <f ca="1"/>
        <v>#N/A</v>
      </c>
      <c r="J753" t="e">
        <f ca="1"/>
        <v>#N/A</v>
      </c>
      <c r="K753" t="e">
        <f ca="1"/>
        <v>#N/A</v>
      </c>
    </row>
    <row r="754" spans="1:11" x14ac:dyDescent="0.25">
      <c r="A754" s="2" t="e">
        <f ca="1"/>
        <v>#N/A</v>
      </c>
      <c r="C754" t="e">
        <f ca="1"/>
        <v>#N/A</v>
      </c>
      <c r="D754" t="e">
        <f ca="1"/>
        <v>#N/A</v>
      </c>
      <c r="E754" t="e">
        <f ca="1"/>
        <v>#N/A</v>
      </c>
      <c r="F754" t="e">
        <f ca="1"/>
        <v>#N/A</v>
      </c>
      <c r="G754" t="e">
        <f ca="1"/>
        <v>#N/A</v>
      </c>
      <c r="H754" t="e">
        <f ca="1"/>
        <v>#N/A</v>
      </c>
      <c r="I754" t="e">
        <f ca="1"/>
        <v>#N/A</v>
      </c>
      <c r="J754" t="e">
        <f ca="1"/>
        <v>#N/A</v>
      </c>
      <c r="K754" t="e">
        <f ca="1"/>
        <v>#N/A</v>
      </c>
    </row>
    <row r="755" spans="1:11" x14ac:dyDescent="0.25">
      <c r="A755" s="2" t="e">
        <f ca="1"/>
        <v>#N/A</v>
      </c>
      <c r="C755" t="e">
        <f ca="1"/>
        <v>#N/A</v>
      </c>
      <c r="D755" t="e">
        <f ca="1"/>
        <v>#N/A</v>
      </c>
      <c r="E755" t="e">
        <f ca="1"/>
        <v>#N/A</v>
      </c>
      <c r="F755" t="e">
        <f ca="1"/>
        <v>#N/A</v>
      </c>
      <c r="G755" t="e">
        <f ca="1"/>
        <v>#N/A</v>
      </c>
      <c r="H755" t="e">
        <f ca="1"/>
        <v>#N/A</v>
      </c>
      <c r="I755" t="e">
        <f ca="1"/>
        <v>#N/A</v>
      </c>
      <c r="J755" t="e">
        <f ca="1"/>
        <v>#N/A</v>
      </c>
      <c r="K755" t="e">
        <f ca="1"/>
        <v>#N/A</v>
      </c>
    </row>
    <row r="756" spans="1:11" x14ac:dyDescent="0.25">
      <c r="A756" s="2" t="e">
        <f ca="1"/>
        <v>#N/A</v>
      </c>
      <c r="C756" t="e">
        <f ca="1"/>
        <v>#N/A</v>
      </c>
      <c r="D756" t="e">
        <f ca="1"/>
        <v>#N/A</v>
      </c>
      <c r="E756" t="e">
        <f ca="1"/>
        <v>#N/A</v>
      </c>
      <c r="F756" t="e">
        <f ca="1"/>
        <v>#N/A</v>
      </c>
      <c r="G756" t="e">
        <f ca="1"/>
        <v>#N/A</v>
      </c>
      <c r="H756" t="e">
        <f ca="1"/>
        <v>#N/A</v>
      </c>
      <c r="I756" t="e">
        <f ca="1"/>
        <v>#N/A</v>
      </c>
      <c r="J756" t="e">
        <f ca="1"/>
        <v>#N/A</v>
      </c>
      <c r="K756" t="e">
        <f ca="1"/>
        <v>#N/A</v>
      </c>
    </row>
    <row r="757" spans="1:11" x14ac:dyDescent="0.25">
      <c r="A757" s="2" t="e">
        <f ca="1"/>
        <v>#N/A</v>
      </c>
      <c r="C757" t="e">
        <f ca="1"/>
        <v>#N/A</v>
      </c>
      <c r="D757" t="e">
        <f ca="1"/>
        <v>#N/A</v>
      </c>
      <c r="E757" t="e">
        <f ca="1"/>
        <v>#N/A</v>
      </c>
      <c r="F757" t="e">
        <f ca="1"/>
        <v>#N/A</v>
      </c>
      <c r="G757" t="e">
        <f ca="1"/>
        <v>#N/A</v>
      </c>
      <c r="H757" t="e">
        <f ca="1"/>
        <v>#N/A</v>
      </c>
      <c r="I757" t="e">
        <f ca="1"/>
        <v>#N/A</v>
      </c>
      <c r="J757" t="e">
        <f ca="1"/>
        <v>#N/A</v>
      </c>
      <c r="K757" t="e">
        <f ca="1"/>
        <v>#N/A</v>
      </c>
    </row>
    <row r="758" spans="1:11" x14ac:dyDescent="0.25">
      <c r="A758" s="2" t="e">
        <f ca="1"/>
        <v>#N/A</v>
      </c>
      <c r="C758" t="e">
        <f ca="1"/>
        <v>#N/A</v>
      </c>
      <c r="D758" t="e">
        <f ca="1"/>
        <v>#N/A</v>
      </c>
      <c r="E758" t="e">
        <f ca="1"/>
        <v>#N/A</v>
      </c>
      <c r="F758" t="e">
        <f ca="1"/>
        <v>#N/A</v>
      </c>
      <c r="G758" t="e">
        <f ca="1"/>
        <v>#N/A</v>
      </c>
      <c r="H758" t="e">
        <f ca="1"/>
        <v>#N/A</v>
      </c>
      <c r="I758" t="e">
        <f ca="1"/>
        <v>#N/A</v>
      </c>
      <c r="J758" t="e">
        <f ca="1"/>
        <v>#N/A</v>
      </c>
      <c r="K758" t="e">
        <f ca="1"/>
        <v>#N/A</v>
      </c>
    </row>
    <row r="759" spans="1:11" x14ac:dyDescent="0.25">
      <c r="A759" s="2" t="e">
        <f ca="1"/>
        <v>#N/A</v>
      </c>
      <c r="C759" t="e">
        <f ca="1"/>
        <v>#N/A</v>
      </c>
      <c r="D759" t="e">
        <f ca="1"/>
        <v>#N/A</v>
      </c>
      <c r="E759" t="e">
        <f ca="1"/>
        <v>#N/A</v>
      </c>
      <c r="F759" t="e">
        <f ca="1"/>
        <v>#N/A</v>
      </c>
      <c r="G759" t="e">
        <f ca="1"/>
        <v>#N/A</v>
      </c>
      <c r="H759" t="e">
        <f ca="1"/>
        <v>#N/A</v>
      </c>
      <c r="I759" t="e">
        <f ca="1"/>
        <v>#N/A</v>
      </c>
      <c r="J759" t="e">
        <f ca="1"/>
        <v>#N/A</v>
      </c>
      <c r="K759" t="e">
        <f ca="1"/>
        <v>#N/A</v>
      </c>
    </row>
    <row r="760" spans="1:11" x14ac:dyDescent="0.25">
      <c r="A760" s="2" t="e">
        <f ca="1"/>
        <v>#N/A</v>
      </c>
      <c r="C760" t="e">
        <f ca="1"/>
        <v>#N/A</v>
      </c>
      <c r="D760" t="e">
        <f ca="1"/>
        <v>#N/A</v>
      </c>
      <c r="E760" t="e">
        <f ca="1"/>
        <v>#N/A</v>
      </c>
      <c r="F760" t="e">
        <f ca="1"/>
        <v>#N/A</v>
      </c>
      <c r="G760" t="e">
        <f ca="1"/>
        <v>#N/A</v>
      </c>
      <c r="H760" t="e">
        <f ca="1"/>
        <v>#N/A</v>
      </c>
      <c r="I760" t="e">
        <f ca="1"/>
        <v>#N/A</v>
      </c>
      <c r="J760" t="e">
        <f ca="1"/>
        <v>#N/A</v>
      </c>
      <c r="K760" t="e">
        <f ca="1"/>
        <v>#N/A</v>
      </c>
    </row>
    <row r="761" spans="1:11" x14ac:dyDescent="0.25">
      <c r="A761" s="2" t="e">
        <f ca="1"/>
        <v>#N/A</v>
      </c>
      <c r="C761" t="e">
        <f ca="1"/>
        <v>#N/A</v>
      </c>
      <c r="D761" t="e">
        <f ca="1"/>
        <v>#N/A</v>
      </c>
      <c r="E761" t="e">
        <f ca="1"/>
        <v>#N/A</v>
      </c>
      <c r="F761" t="e">
        <f ca="1"/>
        <v>#N/A</v>
      </c>
      <c r="G761" t="e">
        <f ca="1"/>
        <v>#N/A</v>
      </c>
      <c r="H761" t="e">
        <f ca="1"/>
        <v>#N/A</v>
      </c>
      <c r="I761" t="e">
        <f ca="1"/>
        <v>#N/A</v>
      </c>
      <c r="J761" t="e">
        <f ca="1"/>
        <v>#N/A</v>
      </c>
      <c r="K761" t="e">
        <f ca="1"/>
        <v>#N/A</v>
      </c>
    </row>
    <row r="762" spans="1:11" x14ac:dyDescent="0.25">
      <c r="A762" s="2" t="e">
        <f ca="1"/>
        <v>#N/A</v>
      </c>
      <c r="C762" t="e">
        <f ca="1"/>
        <v>#N/A</v>
      </c>
      <c r="D762" t="e">
        <f ca="1"/>
        <v>#N/A</v>
      </c>
      <c r="E762" t="e">
        <f ca="1"/>
        <v>#N/A</v>
      </c>
      <c r="F762" t="e">
        <f ca="1"/>
        <v>#N/A</v>
      </c>
      <c r="G762" t="e">
        <f ca="1"/>
        <v>#N/A</v>
      </c>
      <c r="H762" t="e">
        <f ca="1"/>
        <v>#N/A</v>
      </c>
      <c r="I762" t="e">
        <f ca="1"/>
        <v>#N/A</v>
      </c>
      <c r="J762" t="e">
        <f ca="1"/>
        <v>#N/A</v>
      </c>
      <c r="K762" t="e">
        <f ca="1"/>
        <v>#N/A</v>
      </c>
    </row>
    <row r="763" spans="1:11" x14ac:dyDescent="0.25">
      <c r="A763" s="2" t="e">
        <f ca="1"/>
        <v>#N/A</v>
      </c>
      <c r="C763" t="e">
        <f ca="1"/>
        <v>#N/A</v>
      </c>
      <c r="D763" t="e">
        <f ca="1"/>
        <v>#N/A</v>
      </c>
      <c r="E763" t="e">
        <f ca="1"/>
        <v>#N/A</v>
      </c>
      <c r="F763" t="e">
        <f ca="1"/>
        <v>#N/A</v>
      </c>
      <c r="G763" t="e">
        <f ca="1"/>
        <v>#N/A</v>
      </c>
      <c r="H763" t="e">
        <f ca="1"/>
        <v>#N/A</v>
      </c>
      <c r="I763" t="e">
        <f ca="1"/>
        <v>#N/A</v>
      </c>
      <c r="J763" t="e">
        <f ca="1"/>
        <v>#N/A</v>
      </c>
      <c r="K763" t="e">
        <f ca="1"/>
        <v>#N/A</v>
      </c>
    </row>
    <row r="764" spans="1:11" x14ac:dyDescent="0.25">
      <c r="A764" s="2" t="e">
        <f ca="1"/>
        <v>#N/A</v>
      </c>
      <c r="C764" t="e">
        <f ca="1"/>
        <v>#N/A</v>
      </c>
      <c r="D764" t="e">
        <f ca="1"/>
        <v>#N/A</v>
      </c>
      <c r="E764" t="e">
        <f ca="1"/>
        <v>#N/A</v>
      </c>
      <c r="F764" t="e">
        <f ca="1"/>
        <v>#N/A</v>
      </c>
      <c r="G764" t="e">
        <f ca="1"/>
        <v>#N/A</v>
      </c>
      <c r="H764" t="e">
        <f ca="1"/>
        <v>#N/A</v>
      </c>
      <c r="I764" t="e">
        <f ca="1"/>
        <v>#N/A</v>
      </c>
      <c r="J764" t="e">
        <f ca="1"/>
        <v>#N/A</v>
      </c>
      <c r="K764" t="e">
        <f ca="1"/>
        <v>#N/A</v>
      </c>
    </row>
    <row r="765" spans="1:11" x14ac:dyDescent="0.25">
      <c r="A765" s="2" t="e">
        <f ca="1"/>
        <v>#N/A</v>
      </c>
      <c r="C765" t="e">
        <f ca="1"/>
        <v>#N/A</v>
      </c>
      <c r="D765" t="e">
        <f ca="1"/>
        <v>#N/A</v>
      </c>
      <c r="E765" t="e">
        <f ca="1"/>
        <v>#N/A</v>
      </c>
      <c r="F765" t="e">
        <f ca="1"/>
        <v>#N/A</v>
      </c>
      <c r="G765" t="e">
        <f ca="1"/>
        <v>#N/A</v>
      </c>
      <c r="H765" t="e">
        <f ca="1"/>
        <v>#N/A</v>
      </c>
      <c r="I765" t="e">
        <f ca="1"/>
        <v>#N/A</v>
      </c>
      <c r="J765" t="e">
        <f ca="1"/>
        <v>#N/A</v>
      </c>
      <c r="K765" t="e">
        <f ca="1"/>
        <v>#N/A</v>
      </c>
    </row>
    <row r="766" spans="1:11" x14ac:dyDescent="0.25">
      <c r="A766" s="2" t="e">
        <f ca="1"/>
        <v>#N/A</v>
      </c>
      <c r="C766" t="e">
        <f ca="1"/>
        <v>#N/A</v>
      </c>
      <c r="D766" t="e">
        <f ca="1"/>
        <v>#N/A</v>
      </c>
      <c r="E766" t="e">
        <f ca="1"/>
        <v>#N/A</v>
      </c>
      <c r="F766" t="e">
        <f ca="1"/>
        <v>#N/A</v>
      </c>
      <c r="G766" t="e">
        <f ca="1"/>
        <v>#N/A</v>
      </c>
      <c r="H766" t="e">
        <f ca="1"/>
        <v>#N/A</v>
      </c>
      <c r="I766" t="e">
        <f ca="1"/>
        <v>#N/A</v>
      </c>
      <c r="J766" t="e">
        <f ca="1"/>
        <v>#N/A</v>
      </c>
      <c r="K766" t="e">
        <f ca="1"/>
        <v>#N/A</v>
      </c>
    </row>
    <row r="767" spans="1:11" x14ac:dyDescent="0.25">
      <c r="A767" s="2" t="e">
        <f ca="1"/>
        <v>#N/A</v>
      </c>
      <c r="C767" t="e">
        <f ca="1"/>
        <v>#N/A</v>
      </c>
      <c r="D767" t="e">
        <f ca="1"/>
        <v>#N/A</v>
      </c>
      <c r="E767" t="e">
        <f ca="1"/>
        <v>#N/A</v>
      </c>
      <c r="F767" t="e">
        <f ca="1"/>
        <v>#N/A</v>
      </c>
      <c r="G767" t="e">
        <f ca="1"/>
        <v>#N/A</v>
      </c>
      <c r="H767" t="e">
        <f ca="1"/>
        <v>#N/A</v>
      </c>
      <c r="I767" t="e">
        <f ca="1"/>
        <v>#N/A</v>
      </c>
      <c r="J767" t="e">
        <f ca="1"/>
        <v>#N/A</v>
      </c>
      <c r="K767" t="e">
        <f ca="1"/>
        <v>#N/A</v>
      </c>
    </row>
    <row r="768" spans="1:11" x14ac:dyDescent="0.25">
      <c r="A768" s="2" t="e">
        <f ca="1"/>
        <v>#N/A</v>
      </c>
      <c r="C768" t="e">
        <f ca="1"/>
        <v>#N/A</v>
      </c>
      <c r="D768" t="e">
        <f ca="1"/>
        <v>#N/A</v>
      </c>
      <c r="E768" t="e">
        <f ca="1"/>
        <v>#N/A</v>
      </c>
      <c r="F768" t="e">
        <f ca="1"/>
        <v>#N/A</v>
      </c>
      <c r="G768" t="e">
        <f ca="1"/>
        <v>#N/A</v>
      </c>
      <c r="H768" t="e">
        <f ca="1"/>
        <v>#N/A</v>
      </c>
      <c r="I768" t="e">
        <f ca="1"/>
        <v>#N/A</v>
      </c>
      <c r="J768" t="e">
        <f ca="1"/>
        <v>#N/A</v>
      </c>
      <c r="K768" t="e">
        <f ca="1"/>
        <v>#N/A</v>
      </c>
    </row>
    <row r="769" spans="1:11" x14ac:dyDescent="0.25">
      <c r="A769" s="2" t="e">
        <f ca="1"/>
        <v>#N/A</v>
      </c>
      <c r="C769" t="e">
        <f ca="1"/>
        <v>#N/A</v>
      </c>
      <c r="D769" t="e">
        <f ca="1"/>
        <v>#N/A</v>
      </c>
      <c r="E769" t="e">
        <f ca="1"/>
        <v>#N/A</v>
      </c>
      <c r="F769" t="e">
        <f ca="1"/>
        <v>#N/A</v>
      </c>
      <c r="G769" t="e">
        <f ca="1"/>
        <v>#N/A</v>
      </c>
      <c r="H769" t="e">
        <f ca="1"/>
        <v>#N/A</v>
      </c>
      <c r="I769" t="e">
        <f ca="1"/>
        <v>#N/A</v>
      </c>
      <c r="J769" t="e">
        <f ca="1"/>
        <v>#N/A</v>
      </c>
      <c r="K769" t="e">
        <f ca="1"/>
        <v>#N/A</v>
      </c>
    </row>
    <row r="770" spans="1:11" x14ac:dyDescent="0.25">
      <c r="A770" s="2" t="e">
        <f ca="1"/>
        <v>#N/A</v>
      </c>
      <c r="C770" t="e">
        <f ca="1"/>
        <v>#N/A</v>
      </c>
      <c r="D770" t="e">
        <f ca="1"/>
        <v>#N/A</v>
      </c>
      <c r="E770" t="e">
        <f ca="1"/>
        <v>#N/A</v>
      </c>
      <c r="F770" t="e">
        <f ca="1"/>
        <v>#N/A</v>
      </c>
      <c r="G770" t="e">
        <f ca="1"/>
        <v>#N/A</v>
      </c>
      <c r="H770" t="e">
        <f ca="1"/>
        <v>#N/A</v>
      </c>
      <c r="I770" t="e">
        <f ca="1"/>
        <v>#N/A</v>
      </c>
      <c r="J770" t="e">
        <f ca="1"/>
        <v>#N/A</v>
      </c>
      <c r="K770" t="e">
        <f ca="1"/>
        <v>#N/A</v>
      </c>
    </row>
    <row r="771" spans="1:11" x14ac:dyDescent="0.25">
      <c r="A771" s="2" t="e">
        <f ca="1"/>
        <v>#N/A</v>
      </c>
      <c r="C771" t="e">
        <f ca="1"/>
        <v>#N/A</v>
      </c>
      <c r="D771" t="e">
        <f ca="1"/>
        <v>#N/A</v>
      </c>
      <c r="E771" t="e">
        <f ca="1"/>
        <v>#N/A</v>
      </c>
      <c r="F771" t="e">
        <f ca="1"/>
        <v>#N/A</v>
      </c>
      <c r="G771" t="e">
        <f ca="1"/>
        <v>#N/A</v>
      </c>
      <c r="H771" t="e">
        <f ca="1"/>
        <v>#N/A</v>
      </c>
      <c r="I771" t="e">
        <f ca="1"/>
        <v>#N/A</v>
      </c>
      <c r="J771" t="e">
        <f ca="1"/>
        <v>#N/A</v>
      </c>
      <c r="K771" t="e">
        <f ca="1"/>
        <v>#N/A</v>
      </c>
    </row>
    <row r="772" spans="1:11" x14ac:dyDescent="0.25">
      <c r="A772" s="2" t="e">
        <f ca="1"/>
        <v>#N/A</v>
      </c>
      <c r="C772" t="e">
        <f ca="1"/>
        <v>#N/A</v>
      </c>
      <c r="D772" t="e">
        <f ca="1"/>
        <v>#N/A</v>
      </c>
      <c r="E772" t="e">
        <f ca="1"/>
        <v>#N/A</v>
      </c>
      <c r="F772" t="e">
        <f ca="1"/>
        <v>#N/A</v>
      </c>
      <c r="G772" t="e">
        <f ca="1"/>
        <v>#N/A</v>
      </c>
      <c r="H772" t="e">
        <f ca="1"/>
        <v>#N/A</v>
      </c>
      <c r="I772" t="e">
        <f ca="1"/>
        <v>#N/A</v>
      </c>
      <c r="J772" t="e">
        <f ca="1"/>
        <v>#N/A</v>
      </c>
      <c r="K772" t="e">
        <f ca="1"/>
        <v>#N/A</v>
      </c>
    </row>
    <row r="773" spans="1:11" x14ac:dyDescent="0.25">
      <c r="A773" s="2" t="e">
        <f ca="1"/>
        <v>#N/A</v>
      </c>
      <c r="C773" t="e">
        <f ca="1"/>
        <v>#N/A</v>
      </c>
      <c r="D773" t="e">
        <f ca="1"/>
        <v>#N/A</v>
      </c>
      <c r="E773" t="e">
        <f ca="1"/>
        <v>#N/A</v>
      </c>
      <c r="F773" t="e">
        <f ca="1"/>
        <v>#N/A</v>
      </c>
      <c r="G773" t="e">
        <f ca="1"/>
        <v>#N/A</v>
      </c>
      <c r="H773" t="e">
        <f ca="1"/>
        <v>#N/A</v>
      </c>
      <c r="I773" t="e">
        <f ca="1"/>
        <v>#N/A</v>
      </c>
      <c r="J773" t="e">
        <f ca="1"/>
        <v>#N/A</v>
      </c>
      <c r="K773" t="e">
        <f ca="1"/>
        <v>#N/A</v>
      </c>
    </row>
    <row r="774" spans="1:11" x14ac:dyDescent="0.25">
      <c r="A774" s="2" t="e">
        <f ca="1"/>
        <v>#N/A</v>
      </c>
      <c r="C774" t="e">
        <f ca="1"/>
        <v>#N/A</v>
      </c>
      <c r="D774" t="e">
        <f ca="1"/>
        <v>#N/A</v>
      </c>
      <c r="E774" t="e">
        <f ca="1"/>
        <v>#N/A</v>
      </c>
      <c r="F774" t="e">
        <f ca="1"/>
        <v>#N/A</v>
      </c>
      <c r="G774" t="e">
        <f ca="1"/>
        <v>#N/A</v>
      </c>
      <c r="H774" t="e">
        <f ca="1"/>
        <v>#N/A</v>
      </c>
      <c r="I774" t="e">
        <f ca="1"/>
        <v>#N/A</v>
      </c>
      <c r="J774" t="e">
        <f ca="1"/>
        <v>#N/A</v>
      </c>
      <c r="K774" t="e">
        <f ca="1"/>
        <v>#N/A</v>
      </c>
    </row>
    <row r="775" spans="1:11" x14ac:dyDescent="0.25">
      <c r="A775" s="2" t="e">
        <f ca="1"/>
        <v>#N/A</v>
      </c>
      <c r="C775" t="e">
        <f ca="1"/>
        <v>#N/A</v>
      </c>
      <c r="D775" t="e">
        <f ca="1"/>
        <v>#N/A</v>
      </c>
      <c r="E775" t="e">
        <f ca="1"/>
        <v>#N/A</v>
      </c>
      <c r="F775" t="e">
        <f ca="1"/>
        <v>#N/A</v>
      </c>
      <c r="G775" t="e">
        <f ca="1"/>
        <v>#N/A</v>
      </c>
      <c r="H775" t="e">
        <f ca="1"/>
        <v>#N/A</v>
      </c>
      <c r="I775" t="e">
        <f ca="1"/>
        <v>#N/A</v>
      </c>
      <c r="J775" t="e">
        <f ca="1"/>
        <v>#N/A</v>
      </c>
      <c r="K775" t="e">
        <f ca="1"/>
        <v>#N/A</v>
      </c>
    </row>
    <row r="776" spans="1:11" x14ac:dyDescent="0.25">
      <c r="A776" s="2" t="e">
        <f ca="1"/>
        <v>#N/A</v>
      </c>
      <c r="C776" t="e">
        <f ca="1"/>
        <v>#N/A</v>
      </c>
      <c r="D776" t="e">
        <f ca="1"/>
        <v>#N/A</v>
      </c>
      <c r="E776" t="e">
        <f ca="1"/>
        <v>#N/A</v>
      </c>
      <c r="F776" t="e">
        <f ca="1"/>
        <v>#N/A</v>
      </c>
      <c r="G776" t="e">
        <f ca="1"/>
        <v>#N/A</v>
      </c>
      <c r="H776" t="e">
        <f ca="1"/>
        <v>#N/A</v>
      </c>
      <c r="I776" t="e">
        <f ca="1"/>
        <v>#N/A</v>
      </c>
      <c r="J776" t="e">
        <f ca="1"/>
        <v>#N/A</v>
      </c>
      <c r="K776" t="e">
        <f ca="1"/>
        <v>#N/A</v>
      </c>
    </row>
    <row r="777" spans="1:11" x14ac:dyDescent="0.25">
      <c r="A777" s="2" t="e">
        <f ca="1"/>
        <v>#N/A</v>
      </c>
      <c r="C777" t="e">
        <f ca="1"/>
        <v>#N/A</v>
      </c>
      <c r="D777" t="e">
        <f ca="1"/>
        <v>#N/A</v>
      </c>
      <c r="E777" t="e">
        <f ca="1"/>
        <v>#N/A</v>
      </c>
      <c r="F777" t="e">
        <f ca="1"/>
        <v>#N/A</v>
      </c>
      <c r="G777" t="e">
        <f ca="1"/>
        <v>#N/A</v>
      </c>
      <c r="H777" t="e">
        <f ca="1"/>
        <v>#N/A</v>
      </c>
      <c r="I777" t="e">
        <f ca="1"/>
        <v>#N/A</v>
      </c>
      <c r="J777" t="e">
        <f ca="1"/>
        <v>#N/A</v>
      </c>
      <c r="K777" t="e">
        <f ca="1"/>
        <v>#N/A</v>
      </c>
    </row>
    <row r="778" spans="1:11" x14ac:dyDescent="0.25">
      <c r="A778" s="2" t="e">
        <f ca="1"/>
        <v>#N/A</v>
      </c>
      <c r="C778" t="e">
        <f ca="1"/>
        <v>#N/A</v>
      </c>
      <c r="D778" t="e">
        <f ca="1"/>
        <v>#N/A</v>
      </c>
      <c r="E778" t="e">
        <f ca="1"/>
        <v>#N/A</v>
      </c>
      <c r="F778" t="e">
        <f ca="1"/>
        <v>#N/A</v>
      </c>
      <c r="G778" t="e">
        <f ca="1"/>
        <v>#N/A</v>
      </c>
      <c r="H778" t="e">
        <f ca="1"/>
        <v>#N/A</v>
      </c>
      <c r="I778" t="e">
        <f ca="1"/>
        <v>#N/A</v>
      </c>
      <c r="J778" t="e">
        <f ca="1"/>
        <v>#N/A</v>
      </c>
      <c r="K778" t="e">
        <f ca="1"/>
        <v>#N/A</v>
      </c>
    </row>
    <row r="779" spans="1:11" x14ac:dyDescent="0.25">
      <c r="A779" s="2" t="e">
        <f ca="1"/>
        <v>#N/A</v>
      </c>
      <c r="C779" t="e">
        <f ca="1"/>
        <v>#N/A</v>
      </c>
      <c r="D779" t="e">
        <f ca="1"/>
        <v>#N/A</v>
      </c>
      <c r="E779" t="e">
        <f ca="1"/>
        <v>#N/A</v>
      </c>
      <c r="F779" t="e">
        <f ca="1"/>
        <v>#N/A</v>
      </c>
      <c r="G779" t="e">
        <f ca="1"/>
        <v>#N/A</v>
      </c>
      <c r="H779" t="e">
        <f ca="1"/>
        <v>#N/A</v>
      </c>
      <c r="I779" t="e">
        <f ca="1"/>
        <v>#N/A</v>
      </c>
      <c r="J779" t="e">
        <f ca="1"/>
        <v>#N/A</v>
      </c>
      <c r="K779" t="e">
        <f ca="1"/>
        <v>#N/A</v>
      </c>
    </row>
    <row r="780" spans="1:11" x14ac:dyDescent="0.25">
      <c r="A780" s="2" t="e">
        <f ca="1"/>
        <v>#N/A</v>
      </c>
      <c r="C780" t="e">
        <f ca="1"/>
        <v>#N/A</v>
      </c>
      <c r="D780" t="e">
        <f ca="1"/>
        <v>#N/A</v>
      </c>
      <c r="E780" t="e">
        <f ca="1"/>
        <v>#N/A</v>
      </c>
      <c r="F780" t="e">
        <f ca="1"/>
        <v>#N/A</v>
      </c>
      <c r="G780" t="e">
        <f ca="1"/>
        <v>#N/A</v>
      </c>
      <c r="H780" t="e">
        <f ca="1"/>
        <v>#N/A</v>
      </c>
      <c r="I780" t="e">
        <f ca="1"/>
        <v>#N/A</v>
      </c>
      <c r="J780" t="e">
        <f ca="1"/>
        <v>#N/A</v>
      </c>
      <c r="K780" t="e">
        <f ca="1"/>
        <v>#N/A</v>
      </c>
    </row>
    <row r="781" spans="1:11" x14ac:dyDescent="0.25">
      <c r="A781" s="2" t="e">
        <f ca="1"/>
        <v>#N/A</v>
      </c>
      <c r="C781" t="e">
        <f ca="1"/>
        <v>#N/A</v>
      </c>
      <c r="D781" t="e">
        <f ca="1"/>
        <v>#N/A</v>
      </c>
      <c r="E781" t="e">
        <f ca="1"/>
        <v>#N/A</v>
      </c>
      <c r="F781" t="e">
        <f ca="1"/>
        <v>#N/A</v>
      </c>
      <c r="G781" t="e">
        <f ca="1"/>
        <v>#N/A</v>
      </c>
      <c r="H781" t="e">
        <f ca="1"/>
        <v>#N/A</v>
      </c>
      <c r="I781" t="e">
        <f ca="1"/>
        <v>#N/A</v>
      </c>
      <c r="J781" t="e">
        <f ca="1"/>
        <v>#N/A</v>
      </c>
      <c r="K781" t="e">
        <f ca="1"/>
        <v>#N/A</v>
      </c>
    </row>
    <row r="782" spans="1:11" x14ac:dyDescent="0.25">
      <c r="A782" s="2" t="e">
        <f ca="1"/>
        <v>#N/A</v>
      </c>
      <c r="C782" t="e">
        <f ca="1"/>
        <v>#N/A</v>
      </c>
      <c r="D782" t="e">
        <f ca="1"/>
        <v>#N/A</v>
      </c>
      <c r="E782" t="e">
        <f ca="1"/>
        <v>#N/A</v>
      </c>
      <c r="F782" t="e">
        <f ca="1"/>
        <v>#N/A</v>
      </c>
      <c r="G782" t="e">
        <f ca="1"/>
        <v>#N/A</v>
      </c>
      <c r="H782" t="e">
        <f ca="1"/>
        <v>#N/A</v>
      </c>
      <c r="I782" t="e">
        <f ca="1"/>
        <v>#N/A</v>
      </c>
      <c r="J782" t="e">
        <f ca="1"/>
        <v>#N/A</v>
      </c>
      <c r="K782" t="e">
        <f ca="1"/>
        <v>#N/A</v>
      </c>
    </row>
    <row r="783" spans="1:11" x14ac:dyDescent="0.25">
      <c r="A783" s="2" t="e">
        <f ca="1"/>
        <v>#N/A</v>
      </c>
      <c r="C783" t="e">
        <f ca="1"/>
        <v>#N/A</v>
      </c>
      <c r="D783" t="e">
        <f ca="1"/>
        <v>#N/A</v>
      </c>
      <c r="E783" t="e">
        <f ca="1"/>
        <v>#N/A</v>
      </c>
      <c r="F783" t="e">
        <f ca="1"/>
        <v>#N/A</v>
      </c>
      <c r="G783" t="e">
        <f ca="1"/>
        <v>#N/A</v>
      </c>
      <c r="H783" t="e">
        <f ca="1"/>
        <v>#N/A</v>
      </c>
      <c r="I783" t="e">
        <f ca="1"/>
        <v>#N/A</v>
      </c>
      <c r="J783" t="e">
        <f ca="1"/>
        <v>#N/A</v>
      </c>
      <c r="K783" t="e">
        <f ca="1"/>
        <v>#N/A</v>
      </c>
    </row>
    <row r="784" spans="1:11" x14ac:dyDescent="0.25">
      <c r="A784" s="2" t="e">
        <f ca="1"/>
        <v>#N/A</v>
      </c>
      <c r="C784" t="e">
        <f ca="1"/>
        <v>#N/A</v>
      </c>
      <c r="D784" t="e">
        <f ca="1"/>
        <v>#N/A</v>
      </c>
      <c r="E784" t="e">
        <f ca="1"/>
        <v>#N/A</v>
      </c>
      <c r="F784" t="e">
        <f ca="1"/>
        <v>#N/A</v>
      </c>
      <c r="G784" t="e">
        <f ca="1"/>
        <v>#N/A</v>
      </c>
      <c r="H784" t="e">
        <f ca="1"/>
        <v>#N/A</v>
      </c>
      <c r="I784" t="e">
        <f ca="1"/>
        <v>#N/A</v>
      </c>
      <c r="J784" t="e">
        <f ca="1"/>
        <v>#N/A</v>
      </c>
      <c r="K784" t="e">
        <f ca="1"/>
        <v>#N/A</v>
      </c>
    </row>
    <row r="785" spans="1:11" x14ac:dyDescent="0.25">
      <c r="A785" s="2" t="e">
        <f ca="1"/>
        <v>#N/A</v>
      </c>
      <c r="C785" t="e">
        <f ca="1"/>
        <v>#N/A</v>
      </c>
      <c r="D785" t="e">
        <f ca="1"/>
        <v>#N/A</v>
      </c>
      <c r="E785" t="e">
        <f ca="1"/>
        <v>#N/A</v>
      </c>
      <c r="F785" t="e">
        <f ca="1"/>
        <v>#N/A</v>
      </c>
      <c r="G785" t="e">
        <f ca="1"/>
        <v>#N/A</v>
      </c>
      <c r="H785" t="e">
        <f ca="1"/>
        <v>#N/A</v>
      </c>
      <c r="I785" t="e">
        <f ca="1"/>
        <v>#N/A</v>
      </c>
      <c r="J785" t="e">
        <f ca="1"/>
        <v>#N/A</v>
      </c>
      <c r="K785" t="e">
        <f ca="1"/>
        <v>#N/A</v>
      </c>
    </row>
    <row r="786" spans="1:11" x14ac:dyDescent="0.25">
      <c r="A786" s="2" t="e">
        <f ca="1"/>
        <v>#N/A</v>
      </c>
      <c r="C786" t="e">
        <f ca="1"/>
        <v>#N/A</v>
      </c>
      <c r="D786" t="e">
        <f ca="1"/>
        <v>#N/A</v>
      </c>
      <c r="E786" t="e">
        <f ca="1"/>
        <v>#N/A</v>
      </c>
      <c r="F786" t="e">
        <f ca="1"/>
        <v>#N/A</v>
      </c>
      <c r="G786" t="e">
        <f ca="1"/>
        <v>#N/A</v>
      </c>
      <c r="H786" t="e">
        <f ca="1"/>
        <v>#N/A</v>
      </c>
      <c r="I786" t="e">
        <f ca="1"/>
        <v>#N/A</v>
      </c>
      <c r="J786" t="e">
        <f ca="1"/>
        <v>#N/A</v>
      </c>
      <c r="K786" t="e">
        <f ca="1"/>
        <v>#N/A</v>
      </c>
    </row>
    <row r="787" spans="1:11" x14ac:dyDescent="0.25">
      <c r="A787" s="2" t="e">
        <f ca="1"/>
        <v>#N/A</v>
      </c>
      <c r="C787" t="e">
        <f ca="1"/>
        <v>#N/A</v>
      </c>
      <c r="D787" t="e">
        <f ca="1"/>
        <v>#N/A</v>
      </c>
      <c r="E787" t="e">
        <f ca="1"/>
        <v>#N/A</v>
      </c>
      <c r="F787" t="e">
        <f ca="1"/>
        <v>#N/A</v>
      </c>
      <c r="G787" t="e">
        <f ca="1"/>
        <v>#N/A</v>
      </c>
      <c r="H787" t="e">
        <f ca="1"/>
        <v>#N/A</v>
      </c>
      <c r="I787" t="e">
        <f ca="1"/>
        <v>#N/A</v>
      </c>
      <c r="J787" t="e">
        <f ca="1"/>
        <v>#N/A</v>
      </c>
      <c r="K787" t="e">
        <f ca="1"/>
        <v>#N/A</v>
      </c>
    </row>
    <row r="788" spans="1:11" x14ac:dyDescent="0.25">
      <c r="A788" s="2" t="e">
        <f ca="1"/>
        <v>#N/A</v>
      </c>
      <c r="C788" t="e">
        <f ca="1"/>
        <v>#N/A</v>
      </c>
      <c r="D788" t="e">
        <f ca="1"/>
        <v>#N/A</v>
      </c>
      <c r="E788" t="e">
        <f ca="1"/>
        <v>#N/A</v>
      </c>
      <c r="F788" t="e">
        <f ca="1"/>
        <v>#N/A</v>
      </c>
      <c r="G788" t="e">
        <f ca="1"/>
        <v>#N/A</v>
      </c>
      <c r="H788" t="e">
        <f ca="1"/>
        <v>#N/A</v>
      </c>
      <c r="I788" t="e">
        <f ca="1"/>
        <v>#N/A</v>
      </c>
      <c r="J788" t="e">
        <f ca="1"/>
        <v>#N/A</v>
      </c>
      <c r="K788" t="e">
        <f ca="1"/>
        <v>#N/A</v>
      </c>
    </row>
    <row r="789" spans="1:11" x14ac:dyDescent="0.25">
      <c r="A789" s="2" t="e">
        <f ca="1"/>
        <v>#N/A</v>
      </c>
      <c r="C789" t="e">
        <f ca="1"/>
        <v>#N/A</v>
      </c>
      <c r="D789" t="e">
        <f ca="1"/>
        <v>#N/A</v>
      </c>
      <c r="E789" t="e">
        <f ca="1"/>
        <v>#N/A</v>
      </c>
      <c r="F789" t="e">
        <f ca="1"/>
        <v>#N/A</v>
      </c>
      <c r="G789" t="e">
        <f ca="1"/>
        <v>#N/A</v>
      </c>
      <c r="H789" t="e">
        <f ca="1"/>
        <v>#N/A</v>
      </c>
      <c r="I789" t="e">
        <f ca="1"/>
        <v>#N/A</v>
      </c>
      <c r="J789" t="e">
        <f ca="1"/>
        <v>#N/A</v>
      </c>
      <c r="K789" t="e">
        <f ca="1"/>
        <v>#N/A</v>
      </c>
    </row>
    <row r="790" spans="1:11" x14ac:dyDescent="0.25">
      <c r="A790" s="2" t="e">
        <f ca="1"/>
        <v>#N/A</v>
      </c>
      <c r="C790" t="e">
        <f ca="1"/>
        <v>#N/A</v>
      </c>
      <c r="D790" t="e">
        <f ca="1"/>
        <v>#N/A</v>
      </c>
      <c r="E790" t="e">
        <f ca="1"/>
        <v>#N/A</v>
      </c>
      <c r="F790" t="e">
        <f ca="1"/>
        <v>#N/A</v>
      </c>
      <c r="G790" t="e">
        <f ca="1"/>
        <v>#N/A</v>
      </c>
      <c r="H790" t="e">
        <f ca="1"/>
        <v>#N/A</v>
      </c>
      <c r="I790" t="e">
        <f ca="1"/>
        <v>#N/A</v>
      </c>
      <c r="J790" t="e">
        <f ca="1"/>
        <v>#N/A</v>
      </c>
      <c r="K790" t="e">
        <f ca="1"/>
        <v>#N/A</v>
      </c>
    </row>
    <row r="791" spans="1:11" x14ac:dyDescent="0.25">
      <c r="A791" s="2" t="e">
        <f ca="1"/>
        <v>#N/A</v>
      </c>
      <c r="C791" t="e">
        <f ca="1"/>
        <v>#N/A</v>
      </c>
      <c r="D791" t="e">
        <f ca="1"/>
        <v>#N/A</v>
      </c>
      <c r="E791" t="e">
        <f ca="1"/>
        <v>#N/A</v>
      </c>
      <c r="F791" t="e">
        <f ca="1"/>
        <v>#N/A</v>
      </c>
      <c r="G791" t="e">
        <f ca="1"/>
        <v>#N/A</v>
      </c>
      <c r="H791" t="e">
        <f ca="1"/>
        <v>#N/A</v>
      </c>
      <c r="I791" t="e">
        <f ca="1"/>
        <v>#N/A</v>
      </c>
      <c r="J791" t="e">
        <f ca="1"/>
        <v>#N/A</v>
      </c>
      <c r="K791" t="e">
        <f ca="1"/>
        <v>#N/A</v>
      </c>
    </row>
    <row r="792" spans="1:11" x14ac:dyDescent="0.25">
      <c r="A792" s="2" t="e">
        <f ca="1"/>
        <v>#N/A</v>
      </c>
      <c r="C792" t="e">
        <f ca="1"/>
        <v>#N/A</v>
      </c>
      <c r="D792" t="e">
        <f ca="1"/>
        <v>#N/A</v>
      </c>
      <c r="E792" t="e">
        <f ca="1"/>
        <v>#N/A</v>
      </c>
      <c r="F792" t="e">
        <f ca="1"/>
        <v>#N/A</v>
      </c>
      <c r="G792" t="e">
        <f ca="1"/>
        <v>#N/A</v>
      </c>
      <c r="H792" t="e">
        <f ca="1"/>
        <v>#N/A</v>
      </c>
      <c r="I792" t="e">
        <f ca="1"/>
        <v>#N/A</v>
      </c>
      <c r="J792" t="e">
        <f ca="1"/>
        <v>#N/A</v>
      </c>
      <c r="K792" t="e">
        <f ca="1"/>
        <v>#N/A</v>
      </c>
    </row>
    <row r="793" spans="1:11" x14ac:dyDescent="0.25">
      <c r="A793" s="2" t="e">
        <f ca="1"/>
        <v>#N/A</v>
      </c>
      <c r="C793" t="e">
        <f ca="1"/>
        <v>#N/A</v>
      </c>
      <c r="D793" t="e">
        <f ca="1"/>
        <v>#N/A</v>
      </c>
      <c r="E793" t="e">
        <f ca="1"/>
        <v>#N/A</v>
      </c>
      <c r="F793" t="e">
        <f ca="1"/>
        <v>#N/A</v>
      </c>
      <c r="G793" t="e">
        <f ca="1"/>
        <v>#N/A</v>
      </c>
      <c r="H793" t="e">
        <f ca="1"/>
        <v>#N/A</v>
      </c>
      <c r="I793" t="e">
        <f ca="1"/>
        <v>#N/A</v>
      </c>
      <c r="J793" t="e">
        <f ca="1"/>
        <v>#N/A</v>
      </c>
      <c r="K793" t="e">
        <f ca="1"/>
        <v>#N/A</v>
      </c>
    </row>
    <row r="794" spans="1:11" x14ac:dyDescent="0.25">
      <c r="A794" s="2" t="e">
        <f ca="1"/>
        <v>#N/A</v>
      </c>
      <c r="C794" t="e">
        <f ca="1"/>
        <v>#N/A</v>
      </c>
      <c r="D794" t="e">
        <f ca="1"/>
        <v>#N/A</v>
      </c>
      <c r="E794" t="e">
        <f ca="1"/>
        <v>#N/A</v>
      </c>
      <c r="F794" t="e">
        <f ca="1"/>
        <v>#N/A</v>
      </c>
      <c r="G794" t="e">
        <f ca="1"/>
        <v>#N/A</v>
      </c>
      <c r="H794" t="e">
        <f ca="1"/>
        <v>#N/A</v>
      </c>
      <c r="I794" t="e">
        <f ca="1"/>
        <v>#N/A</v>
      </c>
      <c r="J794" t="e">
        <f ca="1"/>
        <v>#N/A</v>
      </c>
      <c r="K794" t="e">
        <f ca="1"/>
        <v>#N/A</v>
      </c>
    </row>
    <row r="795" spans="1:11" x14ac:dyDescent="0.25">
      <c r="A795" s="2" t="e">
        <f ca="1"/>
        <v>#N/A</v>
      </c>
      <c r="C795" t="e">
        <f ca="1"/>
        <v>#N/A</v>
      </c>
      <c r="D795" t="e">
        <f ca="1"/>
        <v>#N/A</v>
      </c>
      <c r="E795" t="e">
        <f ca="1"/>
        <v>#N/A</v>
      </c>
      <c r="F795" t="e">
        <f ca="1"/>
        <v>#N/A</v>
      </c>
      <c r="G795" t="e">
        <f ca="1"/>
        <v>#N/A</v>
      </c>
      <c r="H795" t="e">
        <f ca="1"/>
        <v>#N/A</v>
      </c>
      <c r="I795" t="e">
        <f ca="1"/>
        <v>#N/A</v>
      </c>
      <c r="J795" t="e">
        <f ca="1"/>
        <v>#N/A</v>
      </c>
      <c r="K795" t="e">
        <f ca="1"/>
        <v>#N/A</v>
      </c>
    </row>
    <row r="796" spans="1:11" x14ac:dyDescent="0.25">
      <c r="A796" s="2" t="e">
        <f ca="1"/>
        <v>#N/A</v>
      </c>
      <c r="C796" t="e">
        <f ca="1"/>
        <v>#N/A</v>
      </c>
      <c r="D796" t="e">
        <f ca="1"/>
        <v>#N/A</v>
      </c>
      <c r="E796" t="e">
        <f ca="1"/>
        <v>#N/A</v>
      </c>
      <c r="F796" t="e">
        <f ca="1"/>
        <v>#N/A</v>
      </c>
      <c r="G796" t="e">
        <f ca="1"/>
        <v>#N/A</v>
      </c>
      <c r="H796" t="e">
        <f ca="1"/>
        <v>#N/A</v>
      </c>
      <c r="I796" t="e">
        <f ca="1"/>
        <v>#N/A</v>
      </c>
      <c r="J796" t="e">
        <f ca="1"/>
        <v>#N/A</v>
      </c>
      <c r="K796" t="e">
        <f ca="1"/>
        <v>#N/A</v>
      </c>
    </row>
    <row r="797" spans="1:11" x14ac:dyDescent="0.25">
      <c r="A797" s="2" t="e">
        <f ca="1"/>
        <v>#N/A</v>
      </c>
      <c r="C797" t="e">
        <f ca="1"/>
        <v>#N/A</v>
      </c>
      <c r="D797" t="e">
        <f ca="1"/>
        <v>#N/A</v>
      </c>
      <c r="E797" t="e">
        <f ca="1"/>
        <v>#N/A</v>
      </c>
      <c r="F797" t="e">
        <f ca="1"/>
        <v>#N/A</v>
      </c>
      <c r="G797" t="e">
        <f ca="1"/>
        <v>#N/A</v>
      </c>
      <c r="H797" t="e">
        <f ca="1"/>
        <v>#N/A</v>
      </c>
      <c r="I797" t="e">
        <f ca="1"/>
        <v>#N/A</v>
      </c>
      <c r="J797" t="e">
        <f ca="1"/>
        <v>#N/A</v>
      </c>
      <c r="K797" t="e">
        <f ca="1"/>
        <v>#N/A</v>
      </c>
    </row>
    <row r="798" spans="1:11" x14ac:dyDescent="0.25">
      <c r="A798" s="2" t="e">
        <f ca="1"/>
        <v>#N/A</v>
      </c>
      <c r="C798" t="e">
        <f ca="1"/>
        <v>#N/A</v>
      </c>
      <c r="D798" t="e">
        <f ca="1"/>
        <v>#N/A</v>
      </c>
      <c r="E798" t="e">
        <f ca="1"/>
        <v>#N/A</v>
      </c>
      <c r="F798" t="e">
        <f ca="1"/>
        <v>#N/A</v>
      </c>
      <c r="G798" t="e">
        <f ca="1"/>
        <v>#N/A</v>
      </c>
      <c r="H798" t="e">
        <f ca="1"/>
        <v>#N/A</v>
      </c>
      <c r="I798" t="e">
        <f ca="1"/>
        <v>#N/A</v>
      </c>
      <c r="J798" t="e">
        <f ca="1"/>
        <v>#N/A</v>
      </c>
      <c r="K798" t="e">
        <f ca="1"/>
        <v>#N/A</v>
      </c>
    </row>
    <row r="799" spans="1:11" x14ac:dyDescent="0.25">
      <c r="A799" s="2" t="e">
        <f ca="1"/>
        <v>#N/A</v>
      </c>
      <c r="C799" t="e">
        <f ca="1"/>
        <v>#N/A</v>
      </c>
      <c r="D799" t="e">
        <f ca="1"/>
        <v>#N/A</v>
      </c>
      <c r="E799" t="e">
        <f ca="1"/>
        <v>#N/A</v>
      </c>
      <c r="F799" t="e">
        <f ca="1"/>
        <v>#N/A</v>
      </c>
      <c r="G799" t="e">
        <f ca="1"/>
        <v>#N/A</v>
      </c>
      <c r="H799" t="e">
        <f ca="1"/>
        <v>#N/A</v>
      </c>
      <c r="I799" t="e">
        <f ca="1"/>
        <v>#N/A</v>
      </c>
      <c r="J799" t="e">
        <f ca="1"/>
        <v>#N/A</v>
      </c>
      <c r="K799" t="e">
        <f ca="1"/>
        <v>#N/A</v>
      </c>
    </row>
    <row r="800" spans="1:11" x14ac:dyDescent="0.25">
      <c r="A800" s="2" t="e">
        <f ca="1"/>
        <v>#N/A</v>
      </c>
      <c r="C800" t="e">
        <f ca="1"/>
        <v>#N/A</v>
      </c>
      <c r="D800" t="e">
        <f ca="1"/>
        <v>#N/A</v>
      </c>
      <c r="E800" t="e">
        <f ca="1"/>
        <v>#N/A</v>
      </c>
      <c r="F800" t="e">
        <f ca="1"/>
        <v>#N/A</v>
      </c>
      <c r="G800" t="e">
        <f ca="1"/>
        <v>#N/A</v>
      </c>
      <c r="H800" t="e">
        <f ca="1"/>
        <v>#N/A</v>
      </c>
      <c r="I800" t="e">
        <f ca="1"/>
        <v>#N/A</v>
      </c>
      <c r="J800" t="e">
        <f ca="1"/>
        <v>#N/A</v>
      </c>
      <c r="K800" t="e">
        <f ca="1"/>
        <v>#N/A</v>
      </c>
    </row>
    <row r="801" spans="1:11" x14ac:dyDescent="0.25">
      <c r="A801" s="2" t="e">
        <f ca="1"/>
        <v>#N/A</v>
      </c>
      <c r="C801" t="e">
        <f ca="1"/>
        <v>#N/A</v>
      </c>
      <c r="D801" t="e">
        <f ca="1"/>
        <v>#N/A</v>
      </c>
      <c r="E801" t="e">
        <f ca="1"/>
        <v>#N/A</v>
      </c>
      <c r="F801" t="e">
        <f ca="1"/>
        <v>#N/A</v>
      </c>
      <c r="G801" t="e">
        <f ca="1"/>
        <v>#N/A</v>
      </c>
      <c r="H801" t="e">
        <f ca="1"/>
        <v>#N/A</v>
      </c>
      <c r="I801" t="e">
        <f ca="1"/>
        <v>#N/A</v>
      </c>
      <c r="J801" t="e">
        <f ca="1"/>
        <v>#N/A</v>
      </c>
      <c r="K801" t="e">
        <f ca="1"/>
        <v>#N/A</v>
      </c>
    </row>
    <row r="802" spans="1:11" x14ac:dyDescent="0.25">
      <c r="A802" s="2" t="e">
        <f ca="1"/>
        <v>#N/A</v>
      </c>
      <c r="C802" t="e">
        <f ca="1"/>
        <v>#N/A</v>
      </c>
      <c r="D802" t="e">
        <f ca="1"/>
        <v>#N/A</v>
      </c>
      <c r="E802" t="e">
        <f ca="1"/>
        <v>#N/A</v>
      </c>
      <c r="F802" t="e">
        <f ca="1"/>
        <v>#N/A</v>
      </c>
      <c r="G802" t="e">
        <f ca="1"/>
        <v>#N/A</v>
      </c>
      <c r="H802" t="e">
        <f ca="1"/>
        <v>#N/A</v>
      </c>
      <c r="I802" t="e">
        <f ca="1"/>
        <v>#N/A</v>
      </c>
      <c r="J802" t="e">
        <f ca="1"/>
        <v>#N/A</v>
      </c>
      <c r="K802" t="e">
        <f ca="1"/>
        <v>#N/A</v>
      </c>
    </row>
    <row r="803" spans="1:11" x14ac:dyDescent="0.25">
      <c r="A803" s="2" t="e">
        <f ca="1"/>
        <v>#N/A</v>
      </c>
      <c r="C803" t="e">
        <f ca="1"/>
        <v>#N/A</v>
      </c>
      <c r="D803" t="e">
        <f ca="1"/>
        <v>#N/A</v>
      </c>
      <c r="E803" t="e">
        <f ca="1"/>
        <v>#N/A</v>
      </c>
      <c r="F803" t="e">
        <f ca="1"/>
        <v>#N/A</v>
      </c>
      <c r="G803" t="e">
        <f ca="1"/>
        <v>#N/A</v>
      </c>
      <c r="H803" t="e">
        <f ca="1"/>
        <v>#N/A</v>
      </c>
      <c r="I803" t="e">
        <f ca="1"/>
        <v>#N/A</v>
      </c>
      <c r="J803" t="e">
        <f ca="1"/>
        <v>#N/A</v>
      </c>
      <c r="K803" t="e">
        <f ca="1"/>
        <v>#N/A</v>
      </c>
    </row>
    <row r="804" spans="1:11" x14ac:dyDescent="0.25">
      <c r="A804" s="2" t="e">
        <f ca="1"/>
        <v>#N/A</v>
      </c>
      <c r="C804" t="e">
        <f ca="1"/>
        <v>#N/A</v>
      </c>
      <c r="D804" t="e">
        <f ca="1"/>
        <v>#N/A</v>
      </c>
      <c r="E804" t="e">
        <f ca="1"/>
        <v>#N/A</v>
      </c>
      <c r="F804" t="e">
        <f ca="1"/>
        <v>#N/A</v>
      </c>
      <c r="G804" t="e">
        <f ca="1"/>
        <v>#N/A</v>
      </c>
      <c r="H804" t="e">
        <f ca="1"/>
        <v>#N/A</v>
      </c>
      <c r="I804" t="e">
        <f ca="1"/>
        <v>#N/A</v>
      </c>
      <c r="J804" t="e">
        <f ca="1"/>
        <v>#N/A</v>
      </c>
      <c r="K804" t="e">
        <f ca="1"/>
        <v>#N/A</v>
      </c>
    </row>
    <row r="805" spans="1:11" x14ac:dyDescent="0.25">
      <c r="A805" s="2" t="e">
        <f ca="1"/>
        <v>#N/A</v>
      </c>
      <c r="C805" t="e">
        <f ca="1"/>
        <v>#N/A</v>
      </c>
      <c r="D805" t="e">
        <f ca="1"/>
        <v>#N/A</v>
      </c>
      <c r="E805" t="e">
        <f ca="1"/>
        <v>#N/A</v>
      </c>
      <c r="F805" t="e">
        <f ca="1"/>
        <v>#N/A</v>
      </c>
      <c r="G805" t="e">
        <f ca="1"/>
        <v>#N/A</v>
      </c>
      <c r="H805" t="e">
        <f ca="1"/>
        <v>#N/A</v>
      </c>
      <c r="I805" t="e">
        <f ca="1"/>
        <v>#N/A</v>
      </c>
      <c r="J805" t="e">
        <f ca="1"/>
        <v>#N/A</v>
      </c>
      <c r="K805" t="e">
        <f ca="1"/>
        <v>#N/A</v>
      </c>
    </row>
    <row r="806" spans="1:11" x14ac:dyDescent="0.25">
      <c r="A806" s="2" t="e">
        <f ca="1"/>
        <v>#N/A</v>
      </c>
      <c r="C806" t="e">
        <f ca="1"/>
        <v>#N/A</v>
      </c>
      <c r="D806" t="e">
        <f ca="1"/>
        <v>#N/A</v>
      </c>
      <c r="E806" t="e">
        <f ca="1"/>
        <v>#N/A</v>
      </c>
      <c r="F806" t="e">
        <f ca="1"/>
        <v>#N/A</v>
      </c>
      <c r="G806" t="e">
        <f ca="1"/>
        <v>#N/A</v>
      </c>
      <c r="H806" t="e">
        <f ca="1"/>
        <v>#N/A</v>
      </c>
      <c r="I806" t="e">
        <f ca="1"/>
        <v>#N/A</v>
      </c>
      <c r="J806" t="e">
        <f ca="1"/>
        <v>#N/A</v>
      </c>
      <c r="K806" t="e">
        <f ca="1"/>
        <v>#N/A</v>
      </c>
    </row>
    <row r="807" spans="1:11" x14ac:dyDescent="0.25">
      <c r="A807" s="2" t="e">
        <f ca="1"/>
        <v>#N/A</v>
      </c>
      <c r="C807" t="e">
        <f ca="1"/>
        <v>#N/A</v>
      </c>
      <c r="D807" t="e">
        <f ca="1"/>
        <v>#N/A</v>
      </c>
      <c r="E807" t="e">
        <f ca="1"/>
        <v>#N/A</v>
      </c>
      <c r="F807" t="e">
        <f ca="1"/>
        <v>#N/A</v>
      </c>
      <c r="G807" t="e">
        <f ca="1"/>
        <v>#N/A</v>
      </c>
      <c r="H807" t="e">
        <f ca="1"/>
        <v>#N/A</v>
      </c>
      <c r="I807" t="e">
        <f ca="1"/>
        <v>#N/A</v>
      </c>
      <c r="J807" t="e">
        <f ca="1"/>
        <v>#N/A</v>
      </c>
      <c r="K807" t="e">
        <f ca="1"/>
        <v>#N/A</v>
      </c>
    </row>
    <row r="808" spans="1:11" x14ac:dyDescent="0.25">
      <c r="A808" s="2" t="e">
        <f ca="1"/>
        <v>#N/A</v>
      </c>
      <c r="C808" t="e">
        <f ca="1"/>
        <v>#N/A</v>
      </c>
      <c r="D808" t="e">
        <f ca="1"/>
        <v>#N/A</v>
      </c>
      <c r="E808" t="e">
        <f ca="1"/>
        <v>#N/A</v>
      </c>
      <c r="F808" t="e">
        <f ca="1"/>
        <v>#N/A</v>
      </c>
      <c r="G808" t="e">
        <f ca="1"/>
        <v>#N/A</v>
      </c>
      <c r="H808" t="e">
        <f ca="1"/>
        <v>#N/A</v>
      </c>
      <c r="I808" t="e">
        <f ca="1"/>
        <v>#N/A</v>
      </c>
      <c r="J808" t="e">
        <f ca="1"/>
        <v>#N/A</v>
      </c>
      <c r="K808" t="e">
        <f ca="1"/>
        <v>#N/A</v>
      </c>
    </row>
    <row r="809" spans="1:11" x14ac:dyDescent="0.25">
      <c r="A809" s="2" t="e">
        <f ca="1"/>
        <v>#N/A</v>
      </c>
      <c r="C809" t="e">
        <f ca="1"/>
        <v>#N/A</v>
      </c>
      <c r="D809" t="e">
        <f ca="1"/>
        <v>#N/A</v>
      </c>
      <c r="E809" t="e">
        <f ca="1"/>
        <v>#N/A</v>
      </c>
      <c r="F809" t="e">
        <f ca="1"/>
        <v>#N/A</v>
      </c>
      <c r="G809" t="e">
        <f ca="1"/>
        <v>#N/A</v>
      </c>
      <c r="H809" t="e">
        <f ca="1"/>
        <v>#N/A</v>
      </c>
      <c r="I809" t="e">
        <f ca="1"/>
        <v>#N/A</v>
      </c>
      <c r="J809" t="e">
        <f ca="1"/>
        <v>#N/A</v>
      </c>
      <c r="K809" t="e">
        <f ca="1"/>
        <v>#N/A</v>
      </c>
    </row>
    <row r="810" spans="1:11" x14ac:dyDescent="0.25">
      <c r="A810" s="2" t="e">
        <f ca="1"/>
        <v>#N/A</v>
      </c>
      <c r="C810" t="e">
        <f ca="1"/>
        <v>#N/A</v>
      </c>
      <c r="D810" t="e">
        <f ca="1"/>
        <v>#N/A</v>
      </c>
      <c r="E810" t="e">
        <f ca="1"/>
        <v>#N/A</v>
      </c>
      <c r="F810" t="e">
        <f ca="1"/>
        <v>#N/A</v>
      </c>
      <c r="G810" t="e">
        <f ca="1"/>
        <v>#N/A</v>
      </c>
      <c r="H810" t="e">
        <f ca="1"/>
        <v>#N/A</v>
      </c>
      <c r="I810" t="e">
        <f ca="1"/>
        <v>#N/A</v>
      </c>
      <c r="J810" t="e">
        <f ca="1"/>
        <v>#N/A</v>
      </c>
      <c r="K810" t="e">
        <f ca="1"/>
        <v>#N/A</v>
      </c>
    </row>
    <row r="811" spans="1:11" x14ac:dyDescent="0.25">
      <c r="A811" s="2" t="e">
        <f ca="1"/>
        <v>#N/A</v>
      </c>
      <c r="C811" t="e">
        <f ca="1"/>
        <v>#N/A</v>
      </c>
      <c r="D811" t="e">
        <f ca="1"/>
        <v>#N/A</v>
      </c>
      <c r="E811" t="e">
        <f ca="1"/>
        <v>#N/A</v>
      </c>
      <c r="F811" t="e">
        <f ca="1"/>
        <v>#N/A</v>
      </c>
      <c r="G811" t="e">
        <f ca="1"/>
        <v>#N/A</v>
      </c>
      <c r="H811" t="e">
        <f ca="1"/>
        <v>#N/A</v>
      </c>
      <c r="I811" t="e">
        <f ca="1"/>
        <v>#N/A</v>
      </c>
      <c r="J811" t="e">
        <f ca="1"/>
        <v>#N/A</v>
      </c>
      <c r="K811" t="e">
        <f ca="1"/>
        <v>#N/A</v>
      </c>
    </row>
    <row r="812" spans="1:11" x14ac:dyDescent="0.25">
      <c r="A812" s="2" t="e">
        <f ca="1"/>
        <v>#N/A</v>
      </c>
      <c r="C812" t="e">
        <f ca="1"/>
        <v>#N/A</v>
      </c>
      <c r="D812" t="e">
        <f ca="1"/>
        <v>#N/A</v>
      </c>
      <c r="E812" t="e">
        <f ca="1"/>
        <v>#N/A</v>
      </c>
      <c r="F812" t="e">
        <f ca="1"/>
        <v>#N/A</v>
      </c>
      <c r="G812" t="e">
        <f ca="1"/>
        <v>#N/A</v>
      </c>
      <c r="H812" t="e">
        <f ca="1"/>
        <v>#N/A</v>
      </c>
      <c r="I812" t="e">
        <f ca="1"/>
        <v>#N/A</v>
      </c>
      <c r="J812" t="e">
        <f ca="1"/>
        <v>#N/A</v>
      </c>
      <c r="K812" t="e">
        <f ca="1"/>
        <v>#N/A</v>
      </c>
    </row>
    <row r="813" spans="1:11" x14ac:dyDescent="0.25">
      <c r="A813" s="2" t="e">
        <f ca="1"/>
        <v>#N/A</v>
      </c>
      <c r="C813" t="e">
        <f ca="1"/>
        <v>#N/A</v>
      </c>
      <c r="D813" t="e">
        <f ca="1"/>
        <v>#N/A</v>
      </c>
      <c r="E813" t="e">
        <f ca="1"/>
        <v>#N/A</v>
      </c>
      <c r="F813" t="e">
        <f ca="1"/>
        <v>#N/A</v>
      </c>
      <c r="G813" t="e">
        <f ca="1"/>
        <v>#N/A</v>
      </c>
      <c r="H813" t="e">
        <f ca="1"/>
        <v>#N/A</v>
      </c>
      <c r="I813" t="e">
        <f ca="1"/>
        <v>#N/A</v>
      </c>
      <c r="J813" t="e">
        <f ca="1"/>
        <v>#N/A</v>
      </c>
      <c r="K813" t="e">
        <f ca="1"/>
        <v>#N/A</v>
      </c>
    </row>
    <row r="814" spans="1:11" x14ac:dyDescent="0.25">
      <c r="A814" s="2" t="e">
        <f ca="1"/>
        <v>#N/A</v>
      </c>
      <c r="C814" t="e">
        <f ca="1"/>
        <v>#N/A</v>
      </c>
      <c r="D814" t="e">
        <f ca="1"/>
        <v>#N/A</v>
      </c>
      <c r="E814" t="e">
        <f ca="1"/>
        <v>#N/A</v>
      </c>
      <c r="F814" t="e">
        <f ca="1"/>
        <v>#N/A</v>
      </c>
      <c r="G814" t="e">
        <f ca="1"/>
        <v>#N/A</v>
      </c>
      <c r="H814" t="e">
        <f ca="1"/>
        <v>#N/A</v>
      </c>
      <c r="I814" t="e">
        <f ca="1"/>
        <v>#N/A</v>
      </c>
      <c r="J814" t="e">
        <f ca="1"/>
        <v>#N/A</v>
      </c>
      <c r="K814" t="e">
        <f ca="1"/>
        <v>#N/A</v>
      </c>
    </row>
    <row r="815" spans="1:11" x14ac:dyDescent="0.25">
      <c r="A815" s="2" t="e">
        <f ca="1"/>
        <v>#N/A</v>
      </c>
      <c r="C815" t="e">
        <f ca="1"/>
        <v>#N/A</v>
      </c>
      <c r="D815" t="e">
        <f ca="1"/>
        <v>#N/A</v>
      </c>
      <c r="E815" t="e">
        <f ca="1"/>
        <v>#N/A</v>
      </c>
      <c r="F815" t="e">
        <f ca="1"/>
        <v>#N/A</v>
      </c>
      <c r="G815" t="e">
        <f ca="1"/>
        <v>#N/A</v>
      </c>
      <c r="H815" t="e">
        <f ca="1"/>
        <v>#N/A</v>
      </c>
      <c r="I815" t="e">
        <f ca="1"/>
        <v>#N/A</v>
      </c>
      <c r="J815" t="e">
        <f ca="1"/>
        <v>#N/A</v>
      </c>
      <c r="K815" t="e">
        <f ca="1"/>
        <v>#N/A</v>
      </c>
    </row>
    <row r="816" spans="1:11" x14ac:dyDescent="0.25">
      <c r="A816" s="2" t="e">
        <f ca="1"/>
        <v>#N/A</v>
      </c>
      <c r="C816" t="e">
        <f ca="1"/>
        <v>#N/A</v>
      </c>
      <c r="D816" t="e">
        <f ca="1"/>
        <v>#N/A</v>
      </c>
      <c r="E816" t="e">
        <f ca="1"/>
        <v>#N/A</v>
      </c>
      <c r="F816" t="e">
        <f ca="1"/>
        <v>#N/A</v>
      </c>
      <c r="G816" t="e">
        <f ca="1"/>
        <v>#N/A</v>
      </c>
      <c r="H816" t="e">
        <f ca="1"/>
        <v>#N/A</v>
      </c>
      <c r="I816" t="e">
        <f ca="1"/>
        <v>#N/A</v>
      </c>
      <c r="J816" t="e">
        <f ca="1"/>
        <v>#N/A</v>
      </c>
      <c r="K816" t="e">
        <f ca="1"/>
        <v>#N/A</v>
      </c>
    </row>
    <row r="817" spans="1:11" x14ac:dyDescent="0.25">
      <c r="A817" s="2" t="e">
        <f ca="1"/>
        <v>#N/A</v>
      </c>
      <c r="C817" t="e">
        <f ca="1"/>
        <v>#N/A</v>
      </c>
      <c r="D817" t="e">
        <f ca="1"/>
        <v>#N/A</v>
      </c>
      <c r="E817" t="e">
        <f ca="1"/>
        <v>#N/A</v>
      </c>
      <c r="F817" t="e">
        <f ca="1"/>
        <v>#N/A</v>
      </c>
      <c r="G817" t="e">
        <f ca="1"/>
        <v>#N/A</v>
      </c>
      <c r="H817" t="e">
        <f ca="1"/>
        <v>#N/A</v>
      </c>
      <c r="I817" t="e">
        <f ca="1"/>
        <v>#N/A</v>
      </c>
      <c r="J817" t="e">
        <f ca="1"/>
        <v>#N/A</v>
      </c>
      <c r="K817" t="e">
        <f ca="1"/>
        <v>#N/A</v>
      </c>
    </row>
    <row r="818" spans="1:11" x14ac:dyDescent="0.25">
      <c r="A818" s="2" t="e">
        <f ca="1"/>
        <v>#N/A</v>
      </c>
      <c r="C818" t="e">
        <f ca="1"/>
        <v>#N/A</v>
      </c>
      <c r="D818" t="e">
        <f ca="1"/>
        <v>#N/A</v>
      </c>
      <c r="E818" t="e">
        <f ca="1"/>
        <v>#N/A</v>
      </c>
      <c r="F818" t="e">
        <f ca="1"/>
        <v>#N/A</v>
      </c>
      <c r="G818" t="e">
        <f ca="1"/>
        <v>#N/A</v>
      </c>
      <c r="H818" t="e">
        <f ca="1"/>
        <v>#N/A</v>
      </c>
      <c r="I818" t="e">
        <f ca="1"/>
        <v>#N/A</v>
      </c>
      <c r="J818" t="e">
        <f ca="1"/>
        <v>#N/A</v>
      </c>
      <c r="K818" t="e">
        <f ca="1"/>
        <v>#N/A</v>
      </c>
    </row>
    <row r="819" spans="1:11" x14ac:dyDescent="0.25">
      <c r="A819" s="2" t="e">
        <f ca="1"/>
        <v>#N/A</v>
      </c>
      <c r="C819" t="e">
        <f ca="1"/>
        <v>#N/A</v>
      </c>
      <c r="D819" t="e">
        <f ca="1"/>
        <v>#N/A</v>
      </c>
      <c r="E819" t="e">
        <f ca="1"/>
        <v>#N/A</v>
      </c>
      <c r="F819" t="e">
        <f ca="1"/>
        <v>#N/A</v>
      </c>
      <c r="G819" t="e">
        <f ca="1"/>
        <v>#N/A</v>
      </c>
      <c r="H819" t="e">
        <f ca="1"/>
        <v>#N/A</v>
      </c>
      <c r="I819" t="e">
        <f ca="1"/>
        <v>#N/A</v>
      </c>
      <c r="J819" t="e">
        <f ca="1"/>
        <v>#N/A</v>
      </c>
      <c r="K819" t="e">
        <f ca="1"/>
        <v>#N/A</v>
      </c>
    </row>
    <row r="820" spans="1:11" x14ac:dyDescent="0.25">
      <c r="A820" s="2" t="e">
        <f ca="1"/>
        <v>#N/A</v>
      </c>
      <c r="C820" t="e">
        <f ca="1"/>
        <v>#N/A</v>
      </c>
      <c r="D820" t="e">
        <f ca="1"/>
        <v>#N/A</v>
      </c>
      <c r="E820" t="e">
        <f ca="1"/>
        <v>#N/A</v>
      </c>
      <c r="F820" t="e">
        <f ca="1"/>
        <v>#N/A</v>
      </c>
      <c r="G820" t="e">
        <f ca="1"/>
        <v>#N/A</v>
      </c>
      <c r="H820" t="e">
        <f ca="1"/>
        <v>#N/A</v>
      </c>
      <c r="I820" t="e">
        <f ca="1"/>
        <v>#N/A</v>
      </c>
      <c r="J820" t="e">
        <f ca="1"/>
        <v>#N/A</v>
      </c>
      <c r="K820" t="e">
        <f ca="1"/>
        <v>#N/A</v>
      </c>
    </row>
    <row r="821" spans="1:11" x14ac:dyDescent="0.25">
      <c r="A821" s="2" t="e">
        <f ca="1"/>
        <v>#N/A</v>
      </c>
      <c r="C821" t="e">
        <f ca="1"/>
        <v>#N/A</v>
      </c>
      <c r="D821" t="e">
        <f ca="1"/>
        <v>#N/A</v>
      </c>
      <c r="E821" t="e">
        <f ca="1"/>
        <v>#N/A</v>
      </c>
      <c r="F821" t="e">
        <f ca="1"/>
        <v>#N/A</v>
      </c>
      <c r="G821" t="e">
        <f ca="1"/>
        <v>#N/A</v>
      </c>
      <c r="H821" t="e">
        <f ca="1"/>
        <v>#N/A</v>
      </c>
      <c r="I821" t="e">
        <f ca="1"/>
        <v>#N/A</v>
      </c>
      <c r="J821" t="e">
        <f ca="1"/>
        <v>#N/A</v>
      </c>
      <c r="K821" t="e">
        <f ca="1"/>
        <v>#N/A</v>
      </c>
    </row>
    <row r="822" spans="1:11" x14ac:dyDescent="0.25">
      <c r="A822" s="2" t="e">
        <f ca="1"/>
        <v>#N/A</v>
      </c>
      <c r="C822" t="e">
        <f ca="1"/>
        <v>#N/A</v>
      </c>
      <c r="D822" t="e">
        <f ca="1"/>
        <v>#N/A</v>
      </c>
      <c r="E822" t="e">
        <f ca="1"/>
        <v>#N/A</v>
      </c>
      <c r="F822" t="e">
        <f ca="1"/>
        <v>#N/A</v>
      </c>
      <c r="G822" t="e">
        <f ca="1"/>
        <v>#N/A</v>
      </c>
      <c r="H822" t="e">
        <f ca="1"/>
        <v>#N/A</v>
      </c>
      <c r="I822" t="e">
        <f ca="1"/>
        <v>#N/A</v>
      </c>
      <c r="J822" t="e">
        <f ca="1"/>
        <v>#N/A</v>
      </c>
      <c r="K822" t="e">
        <f ca="1"/>
        <v>#N/A</v>
      </c>
    </row>
    <row r="823" spans="1:11" x14ac:dyDescent="0.25">
      <c r="A823" s="2" t="e">
        <f ca="1"/>
        <v>#N/A</v>
      </c>
      <c r="C823" t="e">
        <f ca="1"/>
        <v>#N/A</v>
      </c>
      <c r="D823" t="e">
        <f ca="1"/>
        <v>#N/A</v>
      </c>
      <c r="E823" t="e">
        <f ca="1"/>
        <v>#N/A</v>
      </c>
      <c r="F823" t="e">
        <f ca="1"/>
        <v>#N/A</v>
      </c>
      <c r="G823" t="e">
        <f ca="1"/>
        <v>#N/A</v>
      </c>
      <c r="H823" t="e">
        <f ca="1"/>
        <v>#N/A</v>
      </c>
      <c r="I823" t="e">
        <f ca="1"/>
        <v>#N/A</v>
      </c>
      <c r="J823" t="e">
        <f ca="1"/>
        <v>#N/A</v>
      </c>
      <c r="K823" t="e">
        <f ca="1"/>
        <v>#N/A</v>
      </c>
    </row>
    <row r="824" spans="1:11" x14ac:dyDescent="0.25">
      <c r="A824" s="2" t="e">
        <f ca="1"/>
        <v>#N/A</v>
      </c>
      <c r="C824" t="e">
        <f ca="1"/>
        <v>#N/A</v>
      </c>
      <c r="D824" t="e">
        <f ca="1"/>
        <v>#N/A</v>
      </c>
      <c r="E824" t="e">
        <f ca="1"/>
        <v>#N/A</v>
      </c>
      <c r="F824" t="e">
        <f ca="1"/>
        <v>#N/A</v>
      </c>
      <c r="G824" t="e">
        <f ca="1"/>
        <v>#N/A</v>
      </c>
      <c r="H824" t="e">
        <f ca="1"/>
        <v>#N/A</v>
      </c>
      <c r="I824" t="e">
        <f ca="1"/>
        <v>#N/A</v>
      </c>
      <c r="J824" t="e">
        <f ca="1"/>
        <v>#N/A</v>
      </c>
      <c r="K824" t="e">
        <f ca="1"/>
        <v>#N/A</v>
      </c>
    </row>
    <row r="825" spans="1:11" x14ac:dyDescent="0.25">
      <c r="A825" s="2" t="e">
        <f ca="1"/>
        <v>#N/A</v>
      </c>
      <c r="C825" t="e">
        <f ca="1"/>
        <v>#N/A</v>
      </c>
      <c r="D825" t="e">
        <f ca="1"/>
        <v>#N/A</v>
      </c>
      <c r="E825" t="e">
        <f ca="1"/>
        <v>#N/A</v>
      </c>
      <c r="F825" t="e">
        <f ca="1"/>
        <v>#N/A</v>
      </c>
      <c r="G825" t="e">
        <f ca="1"/>
        <v>#N/A</v>
      </c>
      <c r="H825" t="e">
        <f ca="1"/>
        <v>#N/A</v>
      </c>
      <c r="I825" t="e">
        <f ca="1"/>
        <v>#N/A</v>
      </c>
      <c r="J825" t="e">
        <f ca="1"/>
        <v>#N/A</v>
      </c>
      <c r="K825" t="e">
        <f ca="1"/>
        <v>#N/A</v>
      </c>
    </row>
    <row r="826" spans="1:11" x14ac:dyDescent="0.25">
      <c r="A826" s="2" t="e">
        <f ca="1"/>
        <v>#N/A</v>
      </c>
      <c r="C826" t="e">
        <f ca="1"/>
        <v>#N/A</v>
      </c>
      <c r="D826" t="e">
        <f ca="1"/>
        <v>#N/A</v>
      </c>
      <c r="E826" t="e">
        <f ca="1"/>
        <v>#N/A</v>
      </c>
      <c r="F826" t="e">
        <f ca="1"/>
        <v>#N/A</v>
      </c>
      <c r="G826" t="e">
        <f ca="1"/>
        <v>#N/A</v>
      </c>
      <c r="H826" t="e">
        <f ca="1"/>
        <v>#N/A</v>
      </c>
      <c r="I826" t="e">
        <f ca="1"/>
        <v>#N/A</v>
      </c>
      <c r="J826" t="e">
        <f ca="1"/>
        <v>#N/A</v>
      </c>
      <c r="K826" t="e">
        <f ca="1"/>
        <v>#N/A</v>
      </c>
    </row>
    <row r="827" spans="1:11" x14ac:dyDescent="0.25">
      <c r="A827" s="2" t="e">
        <f ca="1"/>
        <v>#N/A</v>
      </c>
      <c r="C827" t="e">
        <f ca="1"/>
        <v>#N/A</v>
      </c>
      <c r="D827" t="e">
        <f ca="1"/>
        <v>#N/A</v>
      </c>
      <c r="E827" t="e">
        <f ca="1"/>
        <v>#N/A</v>
      </c>
      <c r="F827" t="e">
        <f ca="1"/>
        <v>#N/A</v>
      </c>
      <c r="G827" t="e">
        <f ca="1"/>
        <v>#N/A</v>
      </c>
      <c r="H827" t="e">
        <f ca="1"/>
        <v>#N/A</v>
      </c>
      <c r="I827" t="e">
        <f ca="1"/>
        <v>#N/A</v>
      </c>
      <c r="J827" t="e">
        <f ca="1"/>
        <v>#N/A</v>
      </c>
      <c r="K827" t="e">
        <f ca="1"/>
        <v>#N/A</v>
      </c>
    </row>
    <row r="828" spans="1:11" x14ac:dyDescent="0.25">
      <c r="A828" s="2" t="e">
        <f ca="1"/>
        <v>#N/A</v>
      </c>
      <c r="C828" t="e">
        <f ca="1"/>
        <v>#N/A</v>
      </c>
      <c r="D828" t="e">
        <f ca="1"/>
        <v>#N/A</v>
      </c>
      <c r="E828" t="e">
        <f ca="1"/>
        <v>#N/A</v>
      </c>
      <c r="F828" t="e">
        <f ca="1"/>
        <v>#N/A</v>
      </c>
      <c r="G828" t="e">
        <f ca="1"/>
        <v>#N/A</v>
      </c>
      <c r="H828" t="e">
        <f ca="1"/>
        <v>#N/A</v>
      </c>
      <c r="I828" t="e">
        <f ca="1"/>
        <v>#N/A</v>
      </c>
      <c r="J828" t="e">
        <f ca="1"/>
        <v>#N/A</v>
      </c>
      <c r="K828" t="e">
        <f ca="1"/>
        <v>#N/A</v>
      </c>
    </row>
    <row r="829" spans="1:11" x14ac:dyDescent="0.25">
      <c r="A829" s="2" t="e">
        <f ca="1"/>
        <v>#N/A</v>
      </c>
      <c r="C829" t="e">
        <f ca="1"/>
        <v>#N/A</v>
      </c>
      <c r="D829" t="e">
        <f ca="1"/>
        <v>#N/A</v>
      </c>
      <c r="E829" t="e">
        <f ca="1"/>
        <v>#N/A</v>
      </c>
      <c r="F829" t="e">
        <f ca="1"/>
        <v>#N/A</v>
      </c>
      <c r="G829" t="e">
        <f ca="1"/>
        <v>#N/A</v>
      </c>
      <c r="H829" t="e">
        <f ca="1"/>
        <v>#N/A</v>
      </c>
      <c r="I829" t="e">
        <f ca="1"/>
        <v>#N/A</v>
      </c>
      <c r="J829" t="e">
        <f ca="1"/>
        <v>#N/A</v>
      </c>
      <c r="K829" t="e">
        <f ca="1"/>
        <v>#N/A</v>
      </c>
    </row>
    <row r="830" spans="1:11" x14ac:dyDescent="0.25">
      <c r="A830" s="2" t="e">
        <f ca="1"/>
        <v>#N/A</v>
      </c>
      <c r="C830" t="e">
        <f ca="1"/>
        <v>#N/A</v>
      </c>
      <c r="D830" t="e">
        <f ca="1"/>
        <v>#N/A</v>
      </c>
      <c r="E830" t="e">
        <f ca="1"/>
        <v>#N/A</v>
      </c>
      <c r="F830" t="e">
        <f ca="1"/>
        <v>#N/A</v>
      </c>
      <c r="G830" t="e">
        <f ca="1"/>
        <v>#N/A</v>
      </c>
      <c r="H830" t="e">
        <f ca="1"/>
        <v>#N/A</v>
      </c>
      <c r="I830" t="e">
        <f ca="1"/>
        <v>#N/A</v>
      </c>
      <c r="J830" t="e">
        <f ca="1"/>
        <v>#N/A</v>
      </c>
      <c r="K830" t="e">
        <f ca="1"/>
        <v>#N/A</v>
      </c>
    </row>
    <row r="831" spans="1:11" x14ac:dyDescent="0.25">
      <c r="A831" s="2" t="e">
        <f ca="1"/>
        <v>#N/A</v>
      </c>
      <c r="C831" t="e">
        <f ca="1"/>
        <v>#N/A</v>
      </c>
      <c r="D831" t="e">
        <f ca="1"/>
        <v>#N/A</v>
      </c>
      <c r="E831" t="e">
        <f ca="1"/>
        <v>#N/A</v>
      </c>
      <c r="F831" t="e">
        <f ca="1"/>
        <v>#N/A</v>
      </c>
      <c r="G831" t="e">
        <f ca="1"/>
        <v>#N/A</v>
      </c>
      <c r="H831" t="e">
        <f ca="1"/>
        <v>#N/A</v>
      </c>
      <c r="I831" t="e">
        <f ca="1"/>
        <v>#N/A</v>
      </c>
      <c r="J831" t="e">
        <f ca="1"/>
        <v>#N/A</v>
      </c>
      <c r="K831" t="e">
        <f ca="1"/>
        <v>#N/A</v>
      </c>
    </row>
    <row r="832" spans="1:11" x14ac:dyDescent="0.25">
      <c r="A832" s="2" t="e">
        <f ca="1"/>
        <v>#N/A</v>
      </c>
      <c r="C832" t="e">
        <f ca="1"/>
        <v>#N/A</v>
      </c>
      <c r="D832" t="e">
        <f ca="1"/>
        <v>#N/A</v>
      </c>
      <c r="E832" t="e">
        <f ca="1"/>
        <v>#N/A</v>
      </c>
      <c r="F832" t="e">
        <f ca="1"/>
        <v>#N/A</v>
      </c>
      <c r="G832" t="e">
        <f ca="1"/>
        <v>#N/A</v>
      </c>
      <c r="H832" t="e">
        <f ca="1"/>
        <v>#N/A</v>
      </c>
      <c r="I832" t="e">
        <f ca="1"/>
        <v>#N/A</v>
      </c>
      <c r="J832" t="e">
        <f ca="1"/>
        <v>#N/A</v>
      </c>
      <c r="K832" t="e">
        <f ca="1"/>
        <v>#N/A</v>
      </c>
    </row>
    <row r="833" spans="1:11" x14ac:dyDescent="0.25">
      <c r="A833" s="2" t="e">
        <f ca="1"/>
        <v>#N/A</v>
      </c>
      <c r="C833" t="e">
        <f ca="1"/>
        <v>#N/A</v>
      </c>
      <c r="D833" t="e">
        <f ca="1"/>
        <v>#N/A</v>
      </c>
      <c r="E833" t="e">
        <f ca="1"/>
        <v>#N/A</v>
      </c>
      <c r="F833" t="e">
        <f ca="1"/>
        <v>#N/A</v>
      </c>
      <c r="G833" t="e">
        <f ca="1"/>
        <v>#N/A</v>
      </c>
      <c r="H833" t="e">
        <f ca="1"/>
        <v>#N/A</v>
      </c>
      <c r="I833" t="e">
        <f ca="1"/>
        <v>#N/A</v>
      </c>
      <c r="J833" t="e">
        <f ca="1"/>
        <v>#N/A</v>
      </c>
      <c r="K833" t="e">
        <f ca="1"/>
        <v>#N/A</v>
      </c>
    </row>
    <row r="834" spans="1:11" x14ac:dyDescent="0.25">
      <c r="A834" s="2" t="e">
        <f ca="1"/>
        <v>#N/A</v>
      </c>
      <c r="C834" t="e">
        <f ca="1"/>
        <v>#N/A</v>
      </c>
      <c r="D834" t="e">
        <f ca="1"/>
        <v>#N/A</v>
      </c>
      <c r="E834" t="e">
        <f ca="1"/>
        <v>#N/A</v>
      </c>
      <c r="F834" t="e">
        <f ca="1"/>
        <v>#N/A</v>
      </c>
      <c r="G834" t="e">
        <f ca="1"/>
        <v>#N/A</v>
      </c>
      <c r="H834" t="e">
        <f ca="1"/>
        <v>#N/A</v>
      </c>
      <c r="I834" t="e">
        <f ca="1"/>
        <v>#N/A</v>
      </c>
      <c r="J834" t="e">
        <f ca="1"/>
        <v>#N/A</v>
      </c>
      <c r="K834" t="e">
        <f ca="1"/>
        <v>#N/A</v>
      </c>
    </row>
    <row r="835" spans="1:11" x14ac:dyDescent="0.25">
      <c r="A835" s="2" t="e">
        <f ca="1"/>
        <v>#N/A</v>
      </c>
      <c r="C835" t="e">
        <f ca="1"/>
        <v>#N/A</v>
      </c>
      <c r="D835" t="e">
        <f ca="1"/>
        <v>#N/A</v>
      </c>
      <c r="E835" t="e">
        <f ca="1"/>
        <v>#N/A</v>
      </c>
      <c r="F835" t="e">
        <f ca="1"/>
        <v>#N/A</v>
      </c>
      <c r="G835" t="e">
        <f ca="1"/>
        <v>#N/A</v>
      </c>
      <c r="H835" t="e">
        <f ca="1"/>
        <v>#N/A</v>
      </c>
      <c r="I835" t="e">
        <f ca="1"/>
        <v>#N/A</v>
      </c>
      <c r="J835" t="e">
        <f ca="1"/>
        <v>#N/A</v>
      </c>
      <c r="K835" t="e">
        <f ca="1"/>
        <v>#N/A</v>
      </c>
    </row>
    <row r="836" spans="1:11" x14ac:dyDescent="0.25">
      <c r="A836" s="2" t="e">
        <f ca="1"/>
        <v>#N/A</v>
      </c>
      <c r="C836" t="e">
        <f ca="1"/>
        <v>#N/A</v>
      </c>
      <c r="D836" t="e">
        <f ca="1"/>
        <v>#N/A</v>
      </c>
      <c r="E836" t="e">
        <f ca="1"/>
        <v>#N/A</v>
      </c>
      <c r="F836" t="e">
        <f ca="1"/>
        <v>#N/A</v>
      </c>
      <c r="G836" t="e">
        <f ca="1"/>
        <v>#N/A</v>
      </c>
      <c r="H836" t="e">
        <f ca="1"/>
        <v>#N/A</v>
      </c>
      <c r="I836" t="e">
        <f ca="1"/>
        <v>#N/A</v>
      </c>
      <c r="J836" t="e">
        <f ca="1"/>
        <v>#N/A</v>
      </c>
      <c r="K836" t="e">
        <f ca="1"/>
        <v>#N/A</v>
      </c>
    </row>
    <row r="837" spans="1:11" x14ac:dyDescent="0.25">
      <c r="A837" s="2" t="e">
        <f ca="1"/>
        <v>#N/A</v>
      </c>
      <c r="C837" t="e">
        <f ca="1"/>
        <v>#N/A</v>
      </c>
      <c r="D837" t="e">
        <f ca="1"/>
        <v>#N/A</v>
      </c>
      <c r="E837" t="e">
        <f ca="1"/>
        <v>#N/A</v>
      </c>
      <c r="F837" t="e">
        <f ca="1"/>
        <v>#N/A</v>
      </c>
      <c r="G837" t="e">
        <f ca="1"/>
        <v>#N/A</v>
      </c>
      <c r="H837" t="e">
        <f ca="1"/>
        <v>#N/A</v>
      </c>
      <c r="I837" t="e">
        <f ca="1"/>
        <v>#N/A</v>
      </c>
      <c r="J837" t="e">
        <f ca="1"/>
        <v>#N/A</v>
      </c>
      <c r="K837" t="e">
        <f ca="1"/>
        <v>#N/A</v>
      </c>
    </row>
    <row r="838" spans="1:11" x14ac:dyDescent="0.25">
      <c r="A838" s="2" t="e">
        <f ca="1"/>
        <v>#N/A</v>
      </c>
      <c r="C838" t="e">
        <f ca="1"/>
        <v>#N/A</v>
      </c>
      <c r="D838" t="e">
        <f ca="1"/>
        <v>#N/A</v>
      </c>
      <c r="E838" t="e">
        <f ca="1"/>
        <v>#N/A</v>
      </c>
      <c r="F838" t="e">
        <f ca="1"/>
        <v>#N/A</v>
      </c>
      <c r="G838" t="e">
        <f ca="1"/>
        <v>#N/A</v>
      </c>
      <c r="H838" t="e">
        <f ca="1"/>
        <v>#N/A</v>
      </c>
      <c r="I838" t="e">
        <f ca="1"/>
        <v>#N/A</v>
      </c>
      <c r="J838" t="e">
        <f ca="1"/>
        <v>#N/A</v>
      </c>
      <c r="K838" t="e">
        <f ca="1"/>
        <v>#N/A</v>
      </c>
    </row>
    <row r="839" spans="1:11" x14ac:dyDescent="0.25">
      <c r="A839" s="2" t="e">
        <f ca="1"/>
        <v>#N/A</v>
      </c>
      <c r="C839" t="e">
        <f ca="1"/>
        <v>#N/A</v>
      </c>
      <c r="D839" t="e">
        <f ca="1"/>
        <v>#N/A</v>
      </c>
      <c r="E839" t="e">
        <f ca="1"/>
        <v>#N/A</v>
      </c>
      <c r="F839" t="e">
        <f ca="1"/>
        <v>#N/A</v>
      </c>
      <c r="G839" t="e">
        <f ca="1"/>
        <v>#N/A</v>
      </c>
      <c r="H839" t="e">
        <f ca="1"/>
        <v>#N/A</v>
      </c>
      <c r="I839" t="e">
        <f ca="1"/>
        <v>#N/A</v>
      </c>
      <c r="J839" t="e">
        <f ca="1"/>
        <v>#N/A</v>
      </c>
      <c r="K839" t="e">
        <f ca="1"/>
        <v>#N/A</v>
      </c>
    </row>
    <row r="840" spans="1:11" x14ac:dyDescent="0.25">
      <c r="A840" s="2" t="e">
        <f ca="1"/>
        <v>#N/A</v>
      </c>
      <c r="C840" t="e">
        <f ca="1"/>
        <v>#N/A</v>
      </c>
      <c r="D840" t="e">
        <f ca="1"/>
        <v>#N/A</v>
      </c>
      <c r="E840" t="e">
        <f ca="1"/>
        <v>#N/A</v>
      </c>
      <c r="F840" t="e">
        <f ca="1"/>
        <v>#N/A</v>
      </c>
      <c r="G840" t="e">
        <f ca="1"/>
        <v>#N/A</v>
      </c>
      <c r="H840" t="e">
        <f ca="1"/>
        <v>#N/A</v>
      </c>
      <c r="I840" t="e">
        <f ca="1"/>
        <v>#N/A</v>
      </c>
      <c r="J840" t="e">
        <f ca="1"/>
        <v>#N/A</v>
      </c>
      <c r="K840" t="e">
        <f ca="1"/>
        <v>#N/A</v>
      </c>
    </row>
    <row r="841" spans="1:11" x14ac:dyDescent="0.25">
      <c r="A841" s="2" t="e">
        <f ca="1"/>
        <v>#N/A</v>
      </c>
      <c r="C841" t="e">
        <f ca="1"/>
        <v>#N/A</v>
      </c>
      <c r="D841" t="e">
        <f ca="1"/>
        <v>#N/A</v>
      </c>
      <c r="E841" t="e">
        <f ca="1"/>
        <v>#N/A</v>
      </c>
      <c r="F841" t="e">
        <f ca="1"/>
        <v>#N/A</v>
      </c>
      <c r="G841" t="e">
        <f ca="1"/>
        <v>#N/A</v>
      </c>
      <c r="H841" t="e">
        <f ca="1"/>
        <v>#N/A</v>
      </c>
      <c r="I841" t="e">
        <f ca="1"/>
        <v>#N/A</v>
      </c>
      <c r="J841" t="e">
        <f ca="1"/>
        <v>#N/A</v>
      </c>
      <c r="K841" t="e">
        <f ca="1"/>
        <v>#N/A</v>
      </c>
    </row>
    <row r="842" spans="1:11" x14ac:dyDescent="0.25">
      <c r="A842" s="2" t="e">
        <f ca="1"/>
        <v>#N/A</v>
      </c>
      <c r="C842" t="e">
        <f ca="1"/>
        <v>#N/A</v>
      </c>
      <c r="D842" t="e">
        <f ca="1"/>
        <v>#N/A</v>
      </c>
      <c r="E842" t="e">
        <f ca="1"/>
        <v>#N/A</v>
      </c>
      <c r="F842" t="e">
        <f ca="1"/>
        <v>#N/A</v>
      </c>
      <c r="G842" t="e">
        <f ca="1"/>
        <v>#N/A</v>
      </c>
      <c r="H842" t="e">
        <f ca="1"/>
        <v>#N/A</v>
      </c>
      <c r="I842" t="e">
        <f ca="1"/>
        <v>#N/A</v>
      </c>
      <c r="J842" t="e">
        <f ca="1"/>
        <v>#N/A</v>
      </c>
      <c r="K842" t="e">
        <f ca="1"/>
        <v>#N/A</v>
      </c>
    </row>
    <row r="843" spans="1:11" x14ac:dyDescent="0.25">
      <c r="A843" s="2" t="e">
        <f ca="1"/>
        <v>#N/A</v>
      </c>
      <c r="C843" t="e">
        <f ca="1"/>
        <v>#N/A</v>
      </c>
      <c r="D843" t="e">
        <f ca="1"/>
        <v>#N/A</v>
      </c>
      <c r="E843" t="e">
        <f ca="1"/>
        <v>#N/A</v>
      </c>
      <c r="F843" t="e">
        <f ca="1"/>
        <v>#N/A</v>
      </c>
      <c r="G843" t="e">
        <f ca="1"/>
        <v>#N/A</v>
      </c>
      <c r="H843" t="e">
        <f ca="1"/>
        <v>#N/A</v>
      </c>
      <c r="I843" t="e">
        <f ca="1"/>
        <v>#N/A</v>
      </c>
      <c r="J843" t="e">
        <f ca="1"/>
        <v>#N/A</v>
      </c>
      <c r="K843" t="e">
        <f ca="1"/>
        <v>#N/A</v>
      </c>
    </row>
    <row r="844" spans="1:11" x14ac:dyDescent="0.25">
      <c r="A844" s="2" t="e">
        <f ca="1"/>
        <v>#N/A</v>
      </c>
      <c r="C844" t="e">
        <f ca="1"/>
        <v>#N/A</v>
      </c>
      <c r="D844" t="e">
        <f ca="1"/>
        <v>#N/A</v>
      </c>
      <c r="E844" t="e">
        <f ca="1"/>
        <v>#N/A</v>
      </c>
      <c r="F844" t="e">
        <f ca="1"/>
        <v>#N/A</v>
      </c>
      <c r="G844" t="e">
        <f ca="1"/>
        <v>#N/A</v>
      </c>
      <c r="H844" t="e">
        <f ca="1"/>
        <v>#N/A</v>
      </c>
      <c r="I844" t="e">
        <f ca="1"/>
        <v>#N/A</v>
      </c>
      <c r="J844" t="e">
        <f ca="1"/>
        <v>#N/A</v>
      </c>
      <c r="K844" t="e">
        <f ca="1"/>
        <v>#N/A</v>
      </c>
    </row>
    <row r="845" spans="1:11" x14ac:dyDescent="0.25">
      <c r="A845" s="2" t="e">
        <f ca="1"/>
        <v>#N/A</v>
      </c>
      <c r="C845" t="e">
        <f ca="1"/>
        <v>#N/A</v>
      </c>
      <c r="D845" t="e">
        <f ca="1"/>
        <v>#N/A</v>
      </c>
      <c r="E845" t="e">
        <f ca="1"/>
        <v>#N/A</v>
      </c>
      <c r="F845" t="e">
        <f ca="1"/>
        <v>#N/A</v>
      </c>
      <c r="G845" t="e">
        <f ca="1"/>
        <v>#N/A</v>
      </c>
      <c r="H845" t="e">
        <f ca="1"/>
        <v>#N/A</v>
      </c>
      <c r="I845" t="e">
        <f ca="1"/>
        <v>#N/A</v>
      </c>
      <c r="J845" t="e">
        <f ca="1"/>
        <v>#N/A</v>
      </c>
      <c r="K845" t="e">
        <f ca="1"/>
        <v>#N/A</v>
      </c>
    </row>
    <row r="846" spans="1:11" x14ac:dyDescent="0.25">
      <c r="A846" s="2" t="e">
        <f ca="1"/>
        <v>#N/A</v>
      </c>
      <c r="C846" t="e">
        <f ca="1"/>
        <v>#N/A</v>
      </c>
      <c r="D846" t="e">
        <f ca="1"/>
        <v>#N/A</v>
      </c>
      <c r="E846" t="e">
        <f ca="1"/>
        <v>#N/A</v>
      </c>
      <c r="F846" t="e">
        <f ca="1"/>
        <v>#N/A</v>
      </c>
      <c r="G846" t="e">
        <f ca="1"/>
        <v>#N/A</v>
      </c>
      <c r="H846" t="e">
        <f ca="1"/>
        <v>#N/A</v>
      </c>
      <c r="I846" t="e">
        <f ca="1"/>
        <v>#N/A</v>
      </c>
      <c r="J846" t="e">
        <f ca="1"/>
        <v>#N/A</v>
      </c>
      <c r="K846" t="e">
        <f ca="1"/>
        <v>#N/A</v>
      </c>
    </row>
    <row r="847" spans="1:11" x14ac:dyDescent="0.25">
      <c r="A847" s="2" t="e">
        <f ca="1"/>
        <v>#N/A</v>
      </c>
      <c r="C847" t="e">
        <f ca="1"/>
        <v>#N/A</v>
      </c>
      <c r="D847" t="e">
        <f ca="1"/>
        <v>#N/A</v>
      </c>
      <c r="E847" t="e">
        <f ca="1"/>
        <v>#N/A</v>
      </c>
      <c r="F847" t="e">
        <f ca="1"/>
        <v>#N/A</v>
      </c>
      <c r="G847" t="e">
        <f ca="1"/>
        <v>#N/A</v>
      </c>
      <c r="H847" t="e">
        <f ca="1"/>
        <v>#N/A</v>
      </c>
      <c r="I847" t="e">
        <f ca="1"/>
        <v>#N/A</v>
      </c>
      <c r="J847" t="e">
        <f ca="1"/>
        <v>#N/A</v>
      </c>
      <c r="K847" t="e">
        <f ca="1"/>
        <v>#N/A</v>
      </c>
    </row>
    <row r="848" spans="1:11" x14ac:dyDescent="0.25">
      <c r="A848" s="2" t="e">
        <f ca="1"/>
        <v>#N/A</v>
      </c>
      <c r="C848" t="e">
        <f ca="1"/>
        <v>#N/A</v>
      </c>
      <c r="D848" t="e">
        <f ca="1"/>
        <v>#N/A</v>
      </c>
      <c r="E848" t="e">
        <f ca="1"/>
        <v>#N/A</v>
      </c>
      <c r="F848" t="e">
        <f ca="1"/>
        <v>#N/A</v>
      </c>
      <c r="G848" t="e">
        <f ca="1"/>
        <v>#N/A</v>
      </c>
      <c r="H848" t="e">
        <f ca="1"/>
        <v>#N/A</v>
      </c>
      <c r="I848" t="e">
        <f ca="1"/>
        <v>#N/A</v>
      </c>
      <c r="J848" t="e">
        <f ca="1"/>
        <v>#N/A</v>
      </c>
      <c r="K848" t="e">
        <f ca="1"/>
        <v>#N/A</v>
      </c>
    </row>
    <row r="849" spans="1:11" x14ac:dyDescent="0.25">
      <c r="A849" s="2" t="e">
        <f ca="1"/>
        <v>#N/A</v>
      </c>
      <c r="C849" t="e">
        <f ca="1"/>
        <v>#N/A</v>
      </c>
      <c r="D849" t="e">
        <f ca="1"/>
        <v>#N/A</v>
      </c>
      <c r="E849" t="e">
        <f ca="1"/>
        <v>#N/A</v>
      </c>
      <c r="F849" t="e">
        <f ca="1"/>
        <v>#N/A</v>
      </c>
      <c r="G849" t="e">
        <f ca="1"/>
        <v>#N/A</v>
      </c>
      <c r="H849" t="e">
        <f ca="1"/>
        <v>#N/A</v>
      </c>
      <c r="I849" t="e">
        <f ca="1"/>
        <v>#N/A</v>
      </c>
      <c r="J849" t="e">
        <f ca="1"/>
        <v>#N/A</v>
      </c>
      <c r="K849" t="e">
        <f ca="1"/>
        <v>#N/A</v>
      </c>
    </row>
    <row r="850" spans="1:11" x14ac:dyDescent="0.25">
      <c r="A850" s="2" t="e">
        <f ca="1"/>
        <v>#N/A</v>
      </c>
      <c r="C850" t="e">
        <f ca="1"/>
        <v>#N/A</v>
      </c>
      <c r="D850" t="e">
        <f ca="1"/>
        <v>#N/A</v>
      </c>
      <c r="E850" t="e">
        <f ca="1"/>
        <v>#N/A</v>
      </c>
      <c r="F850" t="e">
        <f ca="1"/>
        <v>#N/A</v>
      </c>
      <c r="G850" t="e">
        <f ca="1"/>
        <v>#N/A</v>
      </c>
      <c r="H850" t="e">
        <f ca="1"/>
        <v>#N/A</v>
      </c>
      <c r="I850" t="e">
        <f ca="1"/>
        <v>#N/A</v>
      </c>
      <c r="J850" t="e">
        <f ca="1"/>
        <v>#N/A</v>
      </c>
      <c r="K850" t="e">
        <f ca="1"/>
        <v>#N/A</v>
      </c>
    </row>
    <row r="851" spans="1:11" x14ac:dyDescent="0.25">
      <c r="A851" s="2" t="e">
        <f ca="1"/>
        <v>#N/A</v>
      </c>
      <c r="C851" t="e">
        <f ca="1"/>
        <v>#N/A</v>
      </c>
      <c r="D851" t="e">
        <f ca="1"/>
        <v>#N/A</v>
      </c>
      <c r="E851" t="e">
        <f ca="1"/>
        <v>#N/A</v>
      </c>
      <c r="F851" t="e">
        <f ca="1"/>
        <v>#N/A</v>
      </c>
      <c r="G851" t="e">
        <f ca="1"/>
        <v>#N/A</v>
      </c>
      <c r="H851" t="e">
        <f ca="1"/>
        <v>#N/A</v>
      </c>
      <c r="I851" t="e">
        <f ca="1"/>
        <v>#N/A</v>
      </c>
      <c r="J851" t="e">
        <f ca="1"/>
        <v>#N/A</v>
      </c>
      <c r="K851" t="e">
        <f ca="1"/>
        <v>#N/A</v>
      </c>
    </row>
    <row r="852" spans="1:11" x14ac:dyDescent="0.25">
      <c r="A852" s="2" t="e">
        <f ca="1"/>
        <v>#N/A</v>
      </c>
      <c r="C852" t="e">
        <f ca="1"/>
        <v>#N/A</v>
      </c>
      <c r="D852" t="e">
        <f ca="1"/>
        <v>#N/A</v>
      </c>
      <c r="E852" t="e">
        <f ca="1"/>
        <v>#N/A</v>
      </c>
      <c r="F852" t="e">
        <f ca="1"/>
        <v>#N/A</v>
      </c>
      <c r="G852" t="e">
        <f ca="1"/>
        <v>#N/A</v>
      </c>
      <c r="H852" t="e">
        <f ca="1"/>
        <v>#N/A</v>
      </c>
      <c r="I852" t="e">
        <f ca="1"/>
        <v>#N/A</v>
      </c>
      <c r="J852" t="e">
        <f ca="1"/>
        <v>#N/A</v>
      </c>
      <c r="K852" t="e">
        <f ca="1"/>
        <v>#N/A</v>
      </c>
    </row>
    <row r="853" spans="1:11" x14ac:dyDescent="0.25">
      <c r="A853" s="2" t="e">
        <f ca="1"/>
        <v>#N/A</v>
      </c>
      <c r="C853" t="e">
        <f ca="1"/>
        <v>#N/A</v>
      </c>
      <c r="D853" t="e">
        <f ca="1"/>
        <v>#N/A</v>
      </c>
      <c r="E853" t="e">
        <f ca="1"/>
        <v>#N/A</v>
      </c>
      <c r="F853" t="e">
        <f ca="1"/>
        <v>#N/A</v>
      </c>
      <c r="G853" t="e">
        <f ca="1"/>
        <v>#N/A</v>
      </c>
      <c r="H853" t="e">
        <f ca="1"/>
        <v>#N/A</v>
      </c>
      <c r="I853" t="e">
        <f ca="1"/>
        <v>#N/A</v>
      </c>
      <c r="J853" t="e">
        <f ca="1"/>
        <v>#N/A</v>
      </c>
      <c r="K853" t="e">
        <f ca="1"/>
        <v>#N/A</v>
      </c>
    </row>
    <row r="854" spans="1:11" x14ac:dyDescent="0.25">
      <c r="A854" s="2" t="e">
        <f ca="1"/>
        <v>#N/A</v>
      </c>
      <c r="C854" t="e">
        <f ca="1"/>
        <v>#N/A</v>
      </c>
      <c r="D854" t="e">
        <f ca="1"/>
        <v>#N/A</v>
      </c>
      <c r="E854" t="e">
        <f ca="1"/>
        <v>#N/A</v>
      </c>
      <c r="F854" t="e">
        <f ca="1"/>
        <v>#N/A</v>
      </c>
      <c r="G854" t="e">
        <f ca="1"/>
        <v>#N/A</v>
      </c>
      <c r="H854" t="e">
        <f ca="1"/>
        <v>#N/A</v>
      </c>
      <c r="I854" t="e">
        <f ca="1"/>
        <v>#N/A</v>
      </c>
      <c r="J854" t="e">
        <f ca="1"/>
        <v>#N/A</v>
      </c>
      <c r="K854" t="e">
        <f ca="1"/>
        <v>#N/A</v>
      </c>
    </row>
    <row r="855" spans="1:11" x14ac:dyDescent="0.25">
      <c r="A855" s="2" t="e">
        <f ca="1"/>
        <v>#N/A</v>
      </c>
      <c r="C855" t="e">
        <f ca="1"/>
        <v>#N/A</v>
      </c>
      <c r="D855" t="e">
        <f ca="1"/>
        <v>#N/A</v>
      </c>
      <c r="E855" t="e">
        <f ca="1"/>
        <v>#N/A</v>
      </c>
      <c r="F855" t="e">
        <f ca="1"/>
        <v>#N/A</v>
      </c>
      <c r="G855" t="e">
        <f ca="1"/>
        <v>#N/A</v>
      </c>
      <c r="H855" t="e">
        <f ca="1"/>
        <v>#N/A</v>
      </c>
      <c r="I855" t="e">
        <f ca="1"/>
        <v>#N/A</v>
      </c>
      <c r="J855" t="e">
        <f ca="1"/>
        <v>#N/A</v>
      </c>
      <c r="K855" t="e">
        <f ca="1"/>
        <v>#N/A</v>
      </c>
    </row>
    <row r="856" spans="1:11" x14ac:dyDescent="0.25">
      <c r="A856" s="2" t="e">
        <f ca="1"/>
        <v>#N/A</v>
      </c>
      <c r="C856" t="e">
        <f ca="1"/>
        <v>#N/A</v>
      </c>
      <c r="D856" t="e">
        <f ca="1"/>
        <v>#N/A</v>
      </c>
      <c r="E856" t="e">
        <f ca="1"/>
        <v>#N/A</v>
      </c>
      <c r="F856" t="e">
        <f ca="1"/>
        <v>#N/A</v>
      </c>
      <c r="G856" t="e">
        <f ca="1"/>
        <v>#N/A</v>
      </c>
      <c r="H856" t="e">
        <f ca="1"/>
        <v>#N/A</v>
      </c>
      <c r="I856" t="e">
        <f ca="1"/>
        <v>#N/A</v>
      </c>
      <c r="J856" t="e">
        <f ca="1"/>
        <v>#N/A</v>
      </c>
      <c r="K856" t="e">
        <f ca="1"/>
        <v>#N/A</v>
      </c>
    </row>
    <row r="857" spans="1:11" x14ac:dyDescent="0.25">
      <c r="A857" s="2" t="e">
        <f ca="1"/>
        <v>#N/A</v>
      </c>
      <c r="C857" t="e">
        <f ca="1"/>
        <v>#N/A</v>
      </c>
      <c r="D857" t="e">
        <f ca="1"/>
        <v>#N/A</v>
      </c>
      <c r="E857" t="e">
        <f ca="1"/>
        <v>#N/A</v>
      </c>
      <c r="F857" t="e">
        <f ca="1"/>
        <v>#N/A</v>
      </c>
      <c r="G857" t="e">
        <f ca="1"/>
        <v>#N/A</v>
      </c>
      <c r="H857" t="e">
        <f ca="1"/>
        <v>#N/A</v>
      </c>
      <c r="I857" t="e">
        <f ca="1"/>
        <v>#N/A</v>
      </c>
      <c r="J857" t="e">
        <f ca="1"/>
        <v>#N/A</v>
      </c>
      <c r="K857" t="e">
        <f ca="1"/>
        <v>#N/A</v>
      </c>
    </row>
    <row r="858" spans="1:11" x14ac:dyDescent="0.25">
      <c r="A858" s="2" t="e">
        <f ca="1"/>
        <v>#N/A</v>
      </c>
      <c r="C858" t="e">
        <f ca="1"/>
        <v>#N/A</v>
      </c>
      <c r="D858" t="e">
        <f ca="1"/>
        <v>#N/A</v>
      </c>
      <c r="E858" t="e">
        <f ca="1"/>
        <v>#N/A</v>
      </c>
      <c r="F858" t="e">
        <f ca="1"/>
        <v>#N/A</v>
      </c>
      <c r="G858" t="e">
        <f ca="1"/>
        <v>#N/A</v>
      </c>
      <c r="H858" t="e">
        <f ca="1"/>
        <v>#N/A</v>
      </c>
      <c r="I858" t="e">
        <f ca="1"/>
        <v>#N/A</v>
      </c>
      <c r="J858" t="e">
        <f ca="1"/>
        <v>#N/A</v>
      </c>
      <c r="K858" t="e">
        <f ca="1"/>
        <v>#N/A</v>
      </c>
    </row>
    <row r="859" spans="1:11" x14ac:dyDescent="0.25">
      <c r="A859" s="2" t="e">
        <f ca="1"/>
        <v>#N/A</v>
      </c>
      <c r="C859" t="e">
        <f ca="1"/>
        <v>#N/A</v>
      </c>
      <c r="D859" t="e">
        <f ca="1"/>
        <v>#N/A</v>
      </c>
      <c r="E859" t="e">
        <f ca="1"/>
        <v>#N/A</v>
      </c>
      <c r="F859" t="e">
        <f ca="1"/>
        <v>#N/A</v>
      </c>
      <c r="G859" t="e">
        <f ca="1"/>
        <v>#N/A</v>
      </c>
      <c r="H859" t="e">
        <f ca="1"/>
        <v>#N/A</v>
      </c>
      <c r="I859" t="e">
        <f ca="1"/>
        <v>#N/A</v>
      </c>
      <c r="J859" t="e">
        <f ca="1"/>
        <v>#N/A</v>
      </c>
      <c r="K859" t="e">
        <f ca="1"/>
        <v>#N/A</v>
      </c>
    </row>
    <row r="860" spans="1:11" x14ac:dyDescent="0.25">
      <c r="A860" s="2" t="e">
        <f ca="1"/>
        <v>#N/A</v>
      </c>
      <c r="C860" t="e">
        <f ca="1"/>
        <v>#N/A</v>
      </c>
      <c r="D860" t="e">
        <f ca="1"/>
        <v>#N/A</v>
      </c>
      <c r="E860" t="e">
        <f ca="1"/>
        <v>#N/A</v>
      </c>
      <c r="F860" t="e">
        <f ca="1"/>
        <v>#N/A</v>
      </c>
      <c r="G860" t="e">
        <f ca="1"/>
        <v>#N/A</v>
      </c>
      <c r="H860" t="e">
        <f ca="1"/>
        <v>#N/A</v>
      </c>
      <c r="I860" t="e">
        <f ca="1"/>
        <v>#N/A</v>
      </c>
      <c r="J860" t="e">
        <f ca="1"/>
        <v>#N/A</v>
      </c>
      <c r="K860" t="e">
        <f ca="1"/>
        <v>#N/A</v>
      </c>
    </row>
    <row r="861" spans="1:11" x14ac:dyDescent="0.25">
      <c r="A861" s="2" t="e">
        <f ca="1"/>
        <v>#N/A</v>
      </c>
      <c r="C861" t="e">
        <f ca="1"/>
        <v>#N/A</v>
      </c>
      <c r="D861" t="e">
        <f ca="1"/>
        <v>#N/A</v>
      </c>
      <c r="E861" t="e">
        <f ca="1"/>
        <v>#N/A</v>
      </c>
      <c r="F861" t="e">
        <f ca="1"/>
        <v>#N/A</v>
      </c>
      <c r="G861" t="e">
        <f ca="1"/>
        <v>#N/A</v>
      </c>
      <c r="H861" t="e">
        <f ca="1"/>
        <v>#N/A</v>
      </c>
      <c r="I861" t="e">
        <f ca="1"/>
        <v>#N/A</v>
      </c>
      <c r="J861" t="e">
        <f ca="1"/>
        <v>#N/A</v>
      </c>
      <c r="K861" t="e">
        <f ca="1"/>
        <v>#N/A</v>
      </c>
    </row>
    <row r="862" spans="1:11" x14ac:dyDescent="0.25">
      <c r="A862" s="2" t="e">
        <f ca="1"/>
        <v>#N/A</v>
      </c>
      <c r="C862" t="e">
        <f ca="1"/>
        <v>#N/A</v>
      </c>
      <c r="D862" t="e">
        <f ca="1"/>
        <v>#N/A</v>
      </c>
      <c r="E862" t="e">
        <f ca="1"/>
        <v>#N/A</v>
      </c>
      <c r="F862" t="e">
        <f ca="1"/>
        <v>#N/A</v>
      </c>
      <c r="G862" t="e">
        <f ca="1"/>
        <v>#N/A</v>
      </c>
      <c r="H862" t="e">
        <f ca="1"/>
        <v>#N/A</v>
      </c>
      <c r="I862" t="e">
        <f ca="1"/>
        <v>#N/A</v>
      </c>
      <c r="J862" t="e">
        <f ca="1"/>
        <v>#N/A</v>
      </c>
      <c r="K862" t="e">
        <f ca="1"/>
        <v>#N/A</v>
      </c>
    </row>
    <row r="863" spans="1:11" x14ac:dyDescent="0.25">
      <c r="A863" s="2" t="e">
        <f ca="1"/>
        <v>#N/A</v>
      </c>
      <c r="C863" t="e">
        <f ca="1"/>
        <v>#N/A</v>
      </c>
      <c r="D863" t="e">
        <f ca="1"/>
        <v>#N/A</v>
      </c>
      <c r="E863" t="e">
        <f ca="1"/>
        <v>#N/A</v>
      </c>
      <c r="F863" t="e">
        <f ca="1"/>
        <v>#N/A</v>
      </c>
      <c r="G863" t="e">
        <f ca="1"/>
        <v>#N/A</v>
      </c>
      <c r="H863" t="e">
        <f ca="1"/>
        <v>#N/A</v>
      </c>
      <c r="I863" t="e">
        <f ca="1"/>
        <v>#N/A</v>
      </c>
      <c r="J863" t="e">
        <f ca="1"/>
        <v>#N/A</v>
      </c>
      <c r="K863" t="e">
        <f ca="1"/>
        <v>#N/A</v>
      </c>
    </row>
    <row r="864" spans="1:11" x14ac:dyDescent="0.25">
      <c r="A864" s="2" t="e">
        <f ca="1"/>
        <v>#N/A</v>
      </c>
      <c r="C864" t="e">
        <f ca="1"/>
        <v>#N/A</v>
      </c>
      <c r="D864" t="e">
        <f ca="1"/>
        <v>#N/A</v>
      </c>
      <c r="E864" t="e">
        <f ca="1"/>
        <v>#N/A</v>
      </c>
      <c r="F864" t="e">
        <f ca="1"/>
        <v>#N/A</v>
      </c>
      <c r="G864" t="e">
        <f ca="1"/>
        <v>#N/A</v>
      </c>
      <c r="H864" t="e">
        <f ca="1"/>
        <v>#N/A</v>
      </c>
      <c r="I864" t="e">
        <f ca="1"/>
        <v>#N/A</v>
      </c>
      <c r="J864" t="e">
        <f ca="1"/>
        <v>#N/A</v>
      </c>
      <c r="K864" t="e">
        <f ca="1"/>
        <v>#N/A</v>
      </c>
    </row>
    <row r="865" spans="1:11" x14ac:dyDescent="0.25">
      <c r="A865" s="2" t="e">
        <f ca="1"/>
        <v>#N/A</v>
      </c>
      <c r="C865" t="e">
        <f ca="1"/>
        <v>#N/A</v>
      </c>
      <c r="D865" t="e">
        <f ca="1"/>
        <v>#N/A</v>
      </c>
      <c r="E865" t="e">
        <f ca="1"/>
        <v>#N/A</v>
      </c>
      <c r="F865" t="e">
        <f ca="1"/>
        <v>#N/A</v>
      </c>
      <c r="G865" t="e">
        <f ca="1"/>
        <v>#N/A</v>
      </c>
      <c r="H865" t="e">
        <f ca="1"/>
        <v>#N/A</v>
      </c>
      <c r="I865" t="e">
        <f ca="1"/>
        <v>#N/A</v>
      </c>
      <c r="J865" t="e">
        <f ca="1"/>
        <v>#N/A</v>
      </c>
      <c r="K865" t="e">
        <f ca="1"/>
        <v>#N/A</v>
      </c>
    </row>
    <row r="866" spans="1:11" x14ac:dyDescent="0.25">
      <c r="A866" s="2" t="e">
        <f ca="1"/>
        <v>#N/A</v>
      </c>
      <c r="C866" t="e">
        <f ca="1"/>
        <v>#N/A</v>
      </c>
      <c r="D866" t="e">
        <f ca="1"/>
        <v>#N/A</v>
      </c>
      <c r="E866" t="e">
        <f ca="1"/>
        <v>#N/A</v>
      </c>
      <c r="F866" t="e">
        <f ca="1"/>
        <v>#N/A</v>
      </c>
      <c r="G866" t="e">
        <f ca="1"/>
        <v>#N/A</v>
      </c>
      <c r="H866" t="e">
        <f ca="1"/>
        <v>#N/A</v>
      </c>
      <c r="I866" t="e">
        <f ca="1"/>
        <v>#N/A</v>
      </c>
      <c r="J866" t="e">
        <f ca="1"/>
        <v>#N/A</v>
      </c>
      <c r="K866" t="e">
        <f ca="1"/>
        <v>#N/A</v>
      </c>
    </row>
    <row r="867" spans="1:11" x14ac:dyDescent="0.25">
      <c r="A867" s="2" t="e">
        <f ca="1"/>
        <v>#N/A</v>
      </c>
      <c r="C867" t="e">
        <f ca="1"/>
        <v>#N/A</v>
      </c>
      <c r="D867" t="e">
        <f ca="1"/>
        <v>#N/A</v>
      </c>
      <c r="E867" t="e">
        <f ca="1"/>
        <v>#N/A</v>
      </c>
      <c r="F867" t="e">
        <f ca="1"/>
        <v>#N/A</v>
      </c>
      <c r="G867" t="e">
        <f ca="1"/>
        <v>#N/A</v>
      </c>
      <c r="H867" t="e">
        <f ca="1"/>
        <v>#N/A</v>
      </c>
      <c r="I867" t="e">
        <f ca="1"/>
        <v>#N/A</v>
      </c>
      <c r="J867" t="e">
        <f ca="1"/>
        <v>#N/A</v>
      </c>
      <c r="K867" t="e">
        <f ca="1"/>
        <v>#N/A</v>
      </c>
    </row>
    <row r="868" spans="1:11" x14ac:dyDescent="0.25">
      <c r="A868" s="2" t="e">
        <f ca="1"/>
        <v>#N/A</v>
      </c>
      <c r="C868" t="e">
        <f ca="1"/>
        <v>#N/A</v>
      </c>
      <c r="D868" t="e">
        <f ca="1"/>
        <v>#N/A</v>
      </c>
      <c r="E868" t="e">
        <f ca="1"/>
        <v>#N/A</v>
      </c>
      <c r="F868" t="e">
        <f ca="1"/>
        <v>#N/A</v>
      </c>
      <c r="G868" t="e">
        <f ca="1"/>
        <v>#N/A</v>
      </c>
      <c r="H868" t="e">
        <f ca="1"/>
        <v>#N/A</v>
      </c>
      <c r="I868" t="e">
        <f ca="1"/>
        <v>#N/A</v>
      </c>
      <c r="J868" t="e">
        <f ca="1"/>
        <v>#N/A</v>
      </c>
      <c r="K868" t="e">
        <f ca="1"/>
        <v>#N/A</v>
      </c>
    </row>
    <row r="869" spans="1:11" x14ac:dyDescent="0.25">
      <c r="A869" s="2" t="e">
        <f ca="1"/>
        <v>#N/A</v>
      </c>
      <c r="C869" t="e">
        <f ca="1"/>
        <v>#N/A</v>
      </c>
      <c r="D869" t="e">
        <f ca="1"/>
        <v>#N/A</v>
      </c>
      <c r="E869" t="e">
        <f ca="1"/>
        <v>#N/A</v>
      </c>
      <c r="F869" t="e">
        <f ca="1"/>
        <v>#N/A</v>
      </c>
      <c r="G869" t="e">
        <f ca="1"/>
        <v>#N/A</v>
      </c>
      <c r="H869" t="e">
        <f ca="1"/>
        <v>#N/A</v>
      </c>
      <c r="I869" t="e">
        <f ca="1"/>
        <v>#N/A</v>
      </c>
      <c r="J869" t="e">
        <f ca="1"/>
        <v>#N/A</v>
      </c>
      <c r="K869" t="e">
        <f ca="1"/>
        <v>#N/A</v>
      </c>
    </row>
    <row r="870" spans="1:11" x14ac:dyDescent="0.25">
      <c r="A870" s="2" t="e">
        <f ca="1"/>
        <v>#N/A</v>
      </c>
      <c r="C870" t="e">
        <f ca="1"/>
        <v>#N/A</v>
      </c>
      <c r="D870" t="e">
        <f ca="1"/>
        <v>#N/A</v>
      </c>
      <c r="E870" t="e">
        <f ca="1"/>
        <v>#N/A</v>
      </c>
      <c r="F870" t="e">
        <f ca="1"/>
        <v>#N/A</v>
      </c>
      <c r="G870" t="e">
        <f ca="1"/>
        <v>#N/A</v>
      </c>
      <c r="H870" t="e">
        <f ca="1"/>
        <v>#N/A</v>
      </c>
      <c r="I870" t="e">
        <f ca="1"/>
        <v>#N/A</v>
      </c>
      <c r="J870" t="e">
        <f ca="1"/>
        <v>#N/A</v>
      </c>
      <c r="K870" t="e">
        <f ca="1"/>
        <v>#N/A</v>
      </c>
    </row>
    <row r="871" spans="1:11" x14ac:dyDescent="0.25">
      <c r="A871" s="2" t="e">
        <f ca="1"/>
        <v>#N/A</v>
      </c>
      <c r="C871" t="e">
        <f ca="1"/>
        <v>#N/A</v>
      </c>
      <c r="D871" t="e">
        <f ca="1"/>
        <v>#N/A</v>
      </c>
      <c r="E871" t="e">
        <f ca="1"/>
        <v>#N/A</v>
      </c>
      <c r="F871" t="e">
        <f ca="1"/>
        <v>#N/A</v>
      </c>
      <c r="G871" t="e">
        <f ca="1"/>
        <v>#N/A</v>
      </c>
      <c r="H871" t="e">
        <f ca="1"/>
        <v>#N/A</v>
      </c>
      <c r="I871" t="e">
        <f ca="1"/>
        <v>#N/A</v>
      </c>
      <c r="J871" t="e">
        <f ca="1"/>
        <v>#N/A</v>
      </c>
      <c r="K871" t="e">
        <f ca="1"/>
        <v>#N/A</v>
      </c>
    </row>
    <row r="872" spans="1:11" x14ac:dyDescent="0.25">
      <c r="A872" s="2" t="e">
        <f ca="1"/>
        <v>#N/A</v>
      </c>
      <c r="C872" t="e">
        <f ca="1"/>
        <v>#N/A</v>
      </c>
      <c r="D872" t="e">
        <f ca="1"/>
        <v>#N/A</v>
      </c>
      <c r="E872" t="e">
        <f ca="1"/>
        <v>#N/A</v>
      </c>
      <c r="F872" t="e">
        <f ca="1"/>
        <v>#N/A</v>
      </c>
      <c r="G872" t="e">
        <f ca="1"/>
        <v>#N/A</v>
      </c>
      <c r="H872" t="e">
        <f ca="1"/>
        <v>#N/A</v>
      </c>
      <c r="I872" t="e">
        <f ca="1"/>
        <v>#N/A</v>
      </c>
      <c r="J872" t="e">
        <f ca="1"/>
        <v>#N/A</v>
      </c>
      <c r="K872" t="e">
        <f ca="1"/>
        <v>#N/A</v>
      </c>
    </row>
    <row r="873" spans="1:11" x14ac:dyDescent="0.25">
      <c r="A873" s="2" t="e">
        <f ca="1"/>
        <v>#N/A</v>
      </c>
      <c r="C873" t="e">
        <f ca="1"/>
        <v>#N/A</v>
      </c>
      <c r="D873" t="e">
        <f ca="1"/>
        <v>#N/A</v>
      </c>
      <c r="E873" t="e">
        <f ca="1"/>
        <v>#N/A</v>
      </c>
      <c r="F873" t="e">
        <f ca="1"/>
        <v>#N/A</v>
      </c>
      <c r="G873" t="e">
        <f ca="1"/>
        <v>#N/A</v>
      </c>
      <c r="H873" t="e">
        <f ca="1"/>
        <v>#N/A</v>
      </c>
      <c r="I873" t="e">
        <f ca="1"/>
        <v>#N/A</v>
      </c>
      <c r="J873" t="e">
        <f ca="1"/>
        <v>#N/A</v>
      </c>
      <c r="K873" t="e">
        <f ca="1"/>
        <v>#N/A</v>
      </c>
    </row>
    <row r="874" spans="1:11" x14ac:dyDescent="0.25">
      <c r="A874" s="2" t="e">
        <f ca="1"/>
        <v>#N/A</v>
      </c>
      <c r="C874" t="e">
        <f ca="1"/>
        <v>#N/A</v>
      </c>
      <c r="D874" t="e">
        <f ca="1"/>
        <v>#N/A</v>
      </c>
      <c r="E874" t="e">
        <f ca="1"/>
        <v>#N/A</v>
      </c>
      <c r="F874" t="e">
        <f ca="1"/>
        <v>#N/A</v>
      </c>
      <c r="G874" t="e">
        <f ca="1"/>
        <v>#N/A</v>
      </c>
      <c r="H874" t="e">
        <f ca="1"/>
        <v>#N/A</v>
      </c>
      <c r="I874" t="e">
        <f ca="1"/>
        <v>#N/A</v>
      </c>
      <c r="J874" t="e">
        <f ca="1"/>
        <v>#N/A</v>
      </c>
      <c r="K874" t="e">
        <f ca="1"/>
        <v>#N/A</v>
      </c>
    </row>
    <row r="875" spans="1:11" x14ac:dyDescent="0.25">
      <c r="A875" s="2" t="e">
        <f ca="1"/>
        <v>#N/A</v>
      </c>
      <c r="C875" t="e">
        <f ca="1"/>
        <v>#N/A</v>
      </c>
      <c r="D875" t="e">
        <f ca="1"/>
        <v>#N/A</v>
      </c>
      <c r="E875" t="e">
        <f ca="1"/>
        <v>#N/A</v>
      </c>
      <c r="F875" t="e">
        <f ca="1"/>
        <v>#N/A</v>
      </c>
      <c r="G875" t="e">
        <f ca="1"/>
        <v>#N/A</v>
      </c>
      <c r="H875" t="e">
        <f ca="1"/>
        <v>#N/A</v>
      </c>
      <c r="I875" t="e">
        <f ca="1"/>
        <v>#N/A</v>
      </c>
      <c r="J875" t="e">
        <f ca="1"/>
        <v>#N/A</v>
      </c>
      <c r="K875" t="e">
        <f ca="1"/>
        <v>#N/A</v>
      </c>
    </row>
    <row r="876" spans="1:11" x14ac:dyDescent="0.25">
      <c r="A876" s="2" t="e">
        <f ca="1"/>
        <v>#N/A</v>
      </c>
      <c r="C876" t="e">
        <f ca="1"/>
        <v>#N/A</v>
      </c>
      <c r="D876" t="e">
        <f ca="1"/>
        <v>#N/A</v>
      </c>
      <c r="E876" t="e">
        <f ca="1"/>
        <v>#N/A</v>
      </c>
      <c r="F876" t="e">
        <f ca="1"/>
        <v>#N/A</v>
      </c>
      <c r="G876" t="e">
        <f ca="1"/>
        <v>#N/A</v>
      </c>
      <c r="H876" t="e">
        <f ca="1"/>
        <v>#N/A</v>
      </c>
      <c r="I876" t="e">
        <f ca="1"/>
        <v>#N/A</v>
      </c>
      <c r="J876" t="e">
        <f ca="1"/>
        <v>#N/A</v>
      </c>
      <c r="K876" t="e">
        <f ca="1"/>
        <v>#N/A</v>
      </c>
    </row>
    <row r="877" spans="1:11" x14ac:dyDescent="0.25">
      <c r="A877" s="2" t="e">
        <f ca="1"/>
        <v>#N/A</v>
      </c>
      <c r="C877" t="e">
        <f ca="1"/>
        <v>#N/A</v>
      </c>
      <c r="D877" t="e">
        <f ca="1"/>
        <v>#N/A</v>
      </c>
      <c r="E877" t="e">
        <f ca="1"/>
        <v>#N/A</v>
      </c>
      <c r="F877" t="e">
        <f ca="1"/>
        <v>#N/A</v>
      </c>
      <c r="G877" t="e">
        <f ca="1"/>
        <v>#N/A</v>
      </c>
      <c r="H877" t="e">
        <f ca="1"/>
        <v>#N/A</v>
      </c>
      <c r="I877" t="e">
        <f ca="1"/>
        <v>#N/A</v>
      </c>
      <c r="J877" t="e">
        <f ca="1"/>
        <v>#N/A</v>
      </c>
      <c r="K877" t="e">
        <f ca="1"/>
        <v>#N/A</v>
      </c>
    </row>
    <row r="878" spans="1:11" x14ac:dyDescent="0.25">
      <c r="A878" s="2" t="e">
        <f ca="1"/>
        <v>#N/A</v>
      </c>
      <c r="C878" t="e">
        <f ca="1"/>
        <v>#N/A</v>
      </c>
      <c r="D878" t="e">
        <f ca="1"/>
        <v>#N/A</v>
      </c>
      <c r="E878" t="e">
        <f ca="1"/>
        <v>#N/A</v>
      </c>
      <c r="F878" t="e">
        <f ca="1"/>
        <v>#N/A</v>
      </c>
      <c r="G878" t="e">
        <f ca="1"/>
        <v>#N/A</v>
      </c>
      <c r="H878" t="e">
        <f ca="1"/>
        <v>#N/A</v>
      </c>
      <c r="I878" t="e">
        <f ca="1"/>
        <v>#N/A</v>
      </c>
      <c r="J878" t="e">
        <f ca="1"/>
        <v>#N/A</v>
      </c>
      <c r="K878" t="e">
        <f ca="1"/>
        <v>#N/A</v>
      </c>
    </row>
    <row r="879" spans="1:11" x14ac:dyDescent="0.25">
      <c r="A879" s="2" t="e">
        <f ca="1"/>
        <v>#N/A</v>
      </c>
      <c r="C879" t="e">
        <f ca="1"/>
        <v>#N/A</v>
      </c>
      <c r="D879" t="e">
        <f ca="1"/>
        <v>#N/A</v>
      </c>
      <c r="E879" t="e">
        <f ca="1"/>
        <v>#N/A</v>
      </c>
      <c r="F879" t="e">
        <f ca="1"/>
        <v>#N/A</v>
      </c>
      <c r="G879" t="e">
        <f ca="1"/>
        <v>#N/A</v>
      </c>
      <c r="H879" t="e">
        <f ca="1"/>
        <v>#N/A</v>
      </c>
      <c r="I879" t="e">
        <f ca="1"/>
        <v>#N/A</v>
      </c>
      <c r="J879" t="e">
        <f ca="1"/>
        <v>#N/A</v>
      </c>
      <c r="K879" t="e">
        <f ca="1"/>
        <v>#N/A</v>
      </c>
    </row>
    <row r="880" spans="1:11" x14ac:dyDescent="0.25">
      <c r="A880" s="2" t="e">
        <f ca="1"/>
        <v>#N/A</v>
      </c>
      <c r="C880" t="e">
        <f ca="1"/>
        <v>#N/A</v>
      </c>
      <c r="D880" t="e">
        <f ca="1"/>
        <v>#N/A</v>
      </c>
      <c r="E880" t="e">
        <f ca="1"/>
        <v>#N/A</v>
      </c>
      <c r="F880" t="e">
        <f ca="1"/>
        <v>#N/A</v>
      </c>
      <c r="G880" t="e">
        <f ca="1"/>
        <v>#N/A</v>
      </c>
      <c r="H880" t="e">
        <f ca="1"/>
        <v>#N/A</v>
      </c>
      <c r="I880" t="e">
        <f ca="1"/>
        <v>#N/A</v>
      </c>
      <c r="J880" t="e">
        <f ca="1"/>
        <v>#N/A</v>
      </c>
      <c r="K880" t="e">
        <f ca="1"/>
        <v>#N/A</v>
      </c>
    </row>
    <row r="881" spans="1:11" x14ac:dyDescent="0.25">
      <c r="A881" s="2" t="e">
        <f ca="1"/>
        <v>#N/A</v>
      </c>
      <c r="C881" t="e">
        <f ca="1"/>
        <v>#N/A</v>
      </c>
      <c r="D881" t="e">
        <f ca="1"/>
        <v>#N/A</v>
      </c>
      <c r="E881" t="e">
        <f ca="1"/>
        <v>#N/A</v>
      </c>
      <c r="F881" t="e">
        <f ca="1"/>
        <v>#N/A</v>
      </c>
      <c r="G881" t="e">
        <f ca="1"/>
        <v>#N/A</v>
      </c>
      <c r="H881" t="e">
        <f ca="1"/>
        <v>#N/A</v>
      </c>
      <c r="I881" t="e">
        <f ca="1"/>
        <v>#N/A</v>
      </c>
      <c r="J881" t="e">
        <f ca="1"/>
        <v>#N/A</v>
      </c>
      <c r="K881" t="e">
        <f ca="1"/>
        <v>#N/A</v>
      </c>
    </row>
    <row r="882" spans="1:11" x14ac:dyDescent="0.25">
      <c r="A882" s="2" t="e">
        <f ca="1"/>
        <v>#N/A</v>
      </c>
      <c r="C882" t="e">
        <f ca="1"/>
        <v>#N/A</v>
      </c>
      <c r="D882" t="e">
        <f ca="1"/>
        <v>#N/A</v>
      </c>
      <c r="E882" t="e">
        <f ca="1"/>
        <v>#N/A</v>
      </c>
      <c r="F882" t="e">
        <f ca="1"/>
        <v>#N/A</v>
      </c>
      <c r="G882" t="e">
        <f ca="1"/>
        <v>#N/A</v>
      </c>
      <c r="H882" t="e">
        <f ca="1"/>
        <v>#N/A</v>
      </c>
      <c r="I882" t="e">
        <f ca="1"/>
        <v>#N/A</v>
      </c>
      <c r="J882" t="e">
        <f ca="1"/>
        <v>#N/A</v>
      </c>
      <c r="K882" t="e">
        <f ca="1"/>
        <v>#N/A</v>
      </c>
    </row>
    <row r="883" spans="1:11" x14ac:dyDescent="0.25">
      <c r="A883" s="2" t="e">
        <f ca="1"/>
        <v>#N/A</v>
      </c>
      <c r="C883" t="e">
        <f ca="1"/>
        <v>#N/A</v>
      </c>
      <c r="D883" t="e">
        <f ca="1"/>
        <v>#N/A</v>
      </c>
      <c r="E883" t="e">
        <f ca="1"/>
        <v>#N/A</v>
      </c>
      <c r="F883" t="e">
        <f ca="1"/>
        <v>#N/A</v>
      </c>
      <c r="G883" t="e">
        <f ca="1"/>
        <v>#N/A</v>
      </c>
      <c r="H883" t="e">
        <f ca="1"/>
        <v>#N/A</v>
      </c>
      <c r="I883" t="e">
        <f ca="1"/>
        <v>#N/A</v>
      </c>
      <c r="J883" t="e">
        <f ca="1"/>
        <v>#N/A</v>
      </c>
      <c r="K883" t="e">
        <f ca="1"/>
        <v>#N/A</v>
      </c>
    </row>
    <row r="884" spans="1:11" x14ac:dyDescent="0.25">
      <c r="A884" s="2" t="e">
        <f ca="1"/>
        <v>#N/A</v>
      </c>
      <c r="C884" t="e">
        <f ca="1"/>
        <v>#N/A</v>
      </c>
      <c r="D884" t="e">
        <f ca="1"/>
        <v>#N/A</v>
      </c>
      <c r="E884" t="e">
        <f ca="1"/>
        <v>#N/A</v>
      </c>
      <c r="F884" t="e">
        <f ca="1"/>
        <v>#N/A</v>
      </c>
      <c r="G884" t="e">
        <f ca="1"/>
        <v>#N/A</v>
      </c>
      <c r="H884" t="e">
        <f ca="1"/>
        <v>#N/A</v>
      </c>
      <c r="I884" t="e">
        <f ca="1"/>
        <v>#N/A</v>
      </c>
      <c r="J884" t="e">
        <f ca="1"/>
        <v>#N/A</v>
      </c>
      <c r="K884" t="e">
        <f ca="1"/>
        <v>#N/A</v>
      </c>
    </row>
    <row r="885" spans="1:11" x14ac:dyDescent="0.25">
      <c r="A885" s="2" t="e">
        <f ca="1"/>
        <v>#N/A</v>
      </c>
      <c r="C885" t="e">
        <f ca="1"/>
        <v>#N/A</v>
      </c>
      <c r="D885" t="e">
        <f ca="1"/>
        <v>#N/A</v>
      </c>
      <c r="E885" t="e">
        <f ca="1"/>
        <v>#N/A</v>
      </c>
      <c r="F885" t="e">
        <f ca="1"/>
        <v>#N/A</v>
      </c>
      <c r="G885" t="e">
        <f ca="1"/>
        <v>#N/A</v>
      </c>
      <c r="H885" t="e">
        <f ca="1"/>
        <v>#N/A</v>
      </c>
      <c r="I885" t="e">
        <f ca="1"/>
        <v>#N/A</v>
      </c>
      <c r="J885" t="e">
        <f ca="1"/>
        <v>#N/A</v>
      </c>
      <c r="K885" t="e">
        <f ca="1"/>
        <v>#N/A</v>
      </c>
    </row>
    <row r="886" spans="1:11" x14ac:dyDescent="0.25">
      <c r="A886" s="2" t="e">
        <f ca="1"/>
        <v>#N/A</v>
      </c>
      <c r="C886" t="e">
        <f ca="1"/>
        <v>#N/A</v>
      </c>
      <c r="D886" t="e">
        <f ca="1"/>
        <v>#N/A</v>
      </c>
      <c r="E886" t="e">
        <f ca="1"/>
        <v>#N/A</v>
      </c>
      <c r="F886" t="e">
        <f ca="1"/>
        <v>#N/A</v>
      </c>
      <c r="G886" t="e">
        <f ca="1"/>
        <v>#N/A</v>
      </c>
      <c r="H886" t="e">
        <f ca="1"/>
        <v>#N/A</v>
      </c>
      <c r="I886" t="e">
        <f ca="1"/>
        <v>#N/A</v>
      </c>
      <c r="J886" t="e">
        <f ca="1"/>
        <v>#N/A</v>
      </c>
      <c r="K886" t="e">
        <f ca="1"/>
        <v>#N/A</v>
      </c>
    </row>
    <row r="887" spans="1:11" x14ac:dyDescent="0.25">
      <c r="A887" s="2" t="e">
        <f ca="1"/>
        <v>#N/A</v>
      </c>
      <c r="C887" t="e">
        <f ca="1"/>
        <v>#N/A</v>
      </c>
      <c r="D887" t="e">
        <f ca="1"/>
        <v>#N/A</v>
      </c>
      <c r="E887" t="e">
        <f ca="1"/>
        <v>#N/A</v>
      </c>
      <c r="F887" t="e">
        <f ca="1"/>
        <v>#N/A</v>
      </c>
      <c r="G887" t="e">
        <f ca="1"/>
        <v>#N/A</v>
      </c>
      <c r="H887" t="e">
        <f ca="1"/>
        <v>#N/A</v>
      </c>
      <c r="I887" t="e">
        <f ca="1"/>
        <v>#N/A</v>
      </c>
      <c r="J887" t="e">
        <f ca="1"/>
        <v>#N/A</v>
      </c>
      <c r="K887" t="e">
        <f ca="1"/>
        <v>#N/A</v>
      </c>
    </row>
    <row r="888" spans="1:11" x14ac:dyDescent="0.25">
      <c r="A888" s="2" t="e">
        <f ca="1"/>
        <v>#N/A</v>
      </c>
      <c r="C888" t="e">
        <f ca="1"/>
        <v>#N/A</v>
      </c>
      <c r="D888" t="e">
        <f ca="1"/>
        <v>#N/A</v>
      </c>
      <c r="E888" t="e">
        <f ca="1"/>
        <v>#N/A</v>
      </c>
      <c r="F888" t="e">
        <f ca="1"/>
        <v>#N/A</v>
      </c>
      <c r="G888" t="e">
        <f ca="1"/>
        <v>#N/A</v>
      </c>
      <c r="H888" t="e">
        <f ca="1"/>
        <v>#N/A</v>
      </c>
      <c r="I888" t="e">
        <f ca="1"/>
        <v>#N/A</v>
      </c>
      <c r="J888" t="e">
        <f ca="1"/>
        <v>#N/A</v>
      </c>
      <c r="K888" t="e">
        <f ca="1"/>
        <v>#N/A</v>
      </c>
    </row>
    <row r="889" spans="1:11" x14ac:dyDescent="0.25">
      <c r="A889" s="2" t="e">
        <f ca="1"/>
        <v>#N/A</v>
      </c>
      <c r="C889" t="e">
        <f ca="1"/>
        <v>#N/A</v>
      </c>
      <c r="D889" t="e">
        <f ca="1"/>
        <v>#N/A</v>
      </c>
      <c r="E889" t="e">
        <f ca="1"/>
        <v>#N/A</v>
      </c>
      <c r="F889" t="e">
        <f ca="1"/>
        <v>#N/A</v>
      </c>
      <c r="G889" t="e">
        <f ca="1"/>
        <v>#N/A</v>
      </c>
      <c r="H889" t="e">
        <f ca="1"/>
        <v>#N/A</v>
      </c>
      <c r="I889" t="e">
        <f ca="1"/>
        <v>#N/A</v>
      </c>
      <c r="J889" t="e">
        <f ca="1"/>
        <v>#N/A</v>
      </c>
      <c r="K889" t="e">
        <f ca="1"/>
        <v>#N/A</v>
      </c>
    </row>
    <row r="890" spans="1:11" x14ac:dyDescent="0.25">
      <c r="A890" s="2" t="e">
        <f ca="1"/>
        <v>#N/A</v>
      </c>
      <c r="C890" t="e">
        <f ca="1"/>
        <v>#N/A</v>
      </c>
      <c r="D890" t="e">
        <f ca="1"/>
        <v>#N/A</v>
      </c>
      <c r="E890" t="e">
        <f ca="1"/>
        <v>#N/A</v>
      </c>
      <c r="F890" t="e">
        <f ca="1"/>
        <v>#N/A</v>
      </c>
      <c r="G890" t="e">
        <f ca="1"/>
        <v>#N/A</v>
      </c>
      <c r="H890" t="e">
        <f ca="1"/>
        <v>#N/A</v>
      </c>
      <c r="I890" t="e">
        <f ca="1"/>
        <v>#N/A</v>
      </c>
      <c r="J890" t="e">
        <f ca="1"/>
        <v>#N/A</v>
      </c>
      <c r="K890" t="e">
        <f ca="1"/>
        <v>#N/A</v>
      </c>
    </row>
    <row r="891" spans="1:11" x14ac:dyDescent="0.25">
      <c r="A891" s="2" t="e">
        <f ca="1"/>
        <v>#N/A</v>
      </c>
      <c r="C891" t="e">
        <f ca="1"/>
        <v>#N/A</v>
      </c>
      <c r="D891" t="e">
        <f ca="1"/>
        <v>#N/A</v>
      </c>
      <c r="E891" t="e">
        <f ca="1"/>
        <v>#N/A</v>
      </c>
      <c r="F891" t="e">
        <f ca="1"/>
        <v>#N/A</v>
      </c>
      <c r="G891" t="e">
        <f ca="1"/>
        <v>#N/A</v>
      </c>
      <c r="H891" t="e">
        <f ca="1"/>
        <v>#N/A</v>
      </c>
      <c r="I891" t="e">
        <f ca="1"/>
        <v>#N/A</v>
      </c>
      <c r="J891" t="e">
        <f ca="1"/>
        <v>#N/A</v>
      </c>
      <c r="K891" t="e">
        <f ca="1"/>
        <v>#N/A</v>
      </c>
    </row>
    <row r="892" spans="1:11" x14ac:dyDescent="0.25">
      <c r="A892" s="2" t="e">
        <f ca="1"/>
        <v>#N/A</v>
      </c>
      <c r="C892" t="e">
        <f ca="1"/>
        <v>#N/A</v>
      </c>
      <c r="D892" t="e">
        <f ca="1"/>
        <v>#N/A</v>
      </c>
      <c r="E892" t="e">
        <f ca="1"/>
        <v>#N/A</v>
      </c>
      <c r="F892" t="e">
        <f ca="1"/>
        <v>#N/A</v>
      </c>
      <c r="G892" t="e">
        <f ca="1"/>
        <v>#N/A</v>
      </c>
      <c r="H892" t="e">
        <f ca="1"/>
        <v>#N/A</v>
      </c>
      <c r="I892" t="e">
        <f ca="1"/>
        <v>#N/A</v>
      </c>
      <c r="J892" t="e">
        <f ca="1"/>
        <v>#N/A</v>
      </c>
      <c r="K892" t="e">
        <f ca="1"/>
        <v>#N/A</v>
      </c>
    </row>
    <row r="893" spans="1:11" x14ac:dyDescent="0.25">
      <c r="A893" s="2" t="e">
        <f ca="1"/>
        <v>#N/A</v>
      </c>
      <c r="C893" t="e">
        <f ca="1"/>
        <v>#N/A</v>
      </c>
      <c r="D893" t="e">
        <f ca="1"/>
        <v>#N/A</v>
      </c>
      <c r="E893" t="e">
        <f ca="1"/>
        <v>#N/A</v>
      </c>
      <c r="F893" t="e">
        <f ca="1"/>
        <v>#N/A</v>
      </c>
      <c r="G893" t="e">
        <f ca="1"/>
        <v>#N/A</v>
      </c>
      <c r="H893" t="e">
        <f ca="1"/>
        <v>#N/A</v>
      </c>
      <c r="I893" t="e">
        <f ca="1"/>
        <v>#N/A</v>
      </c>
      <c r="J893" t="e">
        <f ca="1"/>
        <v>#N/A</v>
      </c>
      <c r="K893" t="e">
        <f ca="1"/>
        <v>#N/A</v>
      </c>
    </row>
    <row r="894" spans="1:11" x14ac:dyDescent="0.25">
      <c r="A894" s="2" t="e">
        <f ca="1"/>
        <v>#N/A</v>
      </c>
      <c r="C894" t="e">
        <f ca="1"/>
        <v>#N/A</v>
      </c>
      <c r="D894" t="e">
        <f ca="1"/>
        <v>#N/A</v>
      </c>
      <c r="E894" t="e">
        <f ca="1"/>
        <v>#N/A</v>
      </c>
      <c r="F894" t="e">
        <f ca="1"/>
        <v>#N/A</v>
      </c>
      <c r="G894" t="e">
        <f ca="1"/>
        <v>#N/A</v>
      </c>
      <c r="H894" t="e">
        <f ca="1"/>
        <v>#N/A</v>
      </c>
      <c r="I894" t="e">
        <f ca="1"/>
        <v>#N/A</v>
      </c>
      <c r="J894" t="e">
        <f ca="1"/>
        <v>#N/A</v>
      </c>
      <c r="K894" t="e">
        <f ca="1"/>
        <v>#N/A</v>
      </c>
    </row>
    <row r="895" spans="1:11" x14ac:dyDescent="0.25">
      <c r="A895" s="2" t="e">
        <f ca="1"/>
        <v>#N/A</v>
      </c>
      <c r="C895" t="e">
        <f ca="1"/>
        <v>#N/A</v>
      </c>
      <c r="D895" t="e">
        <f ca="1"/>
        <v>#N/A</v>
      </c>
      <c r="E895" t="e">
        <f ca="1"/>
        <v>#N/A</v>
      </c>
      <c r="F895" t="e">
        <f ca="1"/>
        <v>#N/A</v>
      </c>
      <c r="G895" t="e">
        <f ca="1"/>
        <v>#N/A</v>
      </c>
      <c r="H895" t="e">
        <f ca="1"/>
        <v>#N/A</v>
      </c>
      <c r="I895" t="e">
        <f ca="1"/>
        <v>#N/A</v>
      </c>
      <c r="J895" t="e">
        <f ca="1"/>
        <v>#N/A</v>
      </c>
      <c r="K895" t="e">
        <f ca="1"/>
        <v>#N/A</v>
      </c>
    </row>
    <row r="896" spans="1:11" x14ac:dyDescent="0.25">
      <c r="A896" s="2" t="e">
        <f ca="1"/>
        <v>#N/A</v>
      </c>
      <c r="C896" t="e">
        <f ca="1"/>
        <v>#N/A</v>
      </c>
      <c r="D896" t="e">
        <f ca="1"/>
        <v>#N/A</v>
      </c>
      <c r="E896" t="e">
        <f ca="1"/>
        <v>#N/A</v>
      </c>
      <c r="F896" t="e">
        <f ca="1"/>
        <v>#N/A</v>
      </c>
      <c r="G896" t="e">
        <f ca="1"/>
        <v>#N/A</v>
      </c>
      <c r="H896" t="e">
        <f ca="1"/>
        <v>#N/A</v>
      </c>
      <c r="I896" t="e">
        <f ca="1"/>
        <v>#N/A</v>
      </c>
      <c r="J896" t="e">
        <f ca="1"/>
        <v>#N/A</v>
      </c>
      <c r="K896" t="e">
        <f ca="1"/>
        <v>#N/A</v>
      </c>
    </row>
    <row r="897" spans="1:11" x14ac:dyDescent="0.25">
      <c r="A897" s="2" t="e">
        <f ca="1"/>
        <v>#N/A</v>
      </c>
      <c r="C897" t="e">
        <f ca="1"/>
        <v>#N/A</v>
      </c>
      <c r="D897" t="e">
        <f ca="1"/>
        <v>#N/A</v>
      </c>
      <c r="E897" t="e">
        <f ca="1"/>
        <v>#N/A</v>
      </c>
      <c r="F897" t="e">
        <f ca="1"/>
        <v>#N/A</v>
      </c>
      <c r="G897" t="e">
        <f ca="1"/>
        <v>#N/A</v>
      </c>
      <c r="H897" t="e">
        <f ca="1"/>
        <v>#N/A</v>
      </c>
      <c r="I897" t="e">
        <f ca="1"/>
        <v>#N/A</v>
      </c>
      <c r="J897" t="e">
        <f ca="1"/>
        <v>#N/A</v>
      </c>
      <c r="K897" t="e">
        <f ca="1"/>
        <v>#N/A</v>
      </c>
    </row>
    <row r="898" spans="1:11" x14ac:dyDescent="0.25">
      <c r="A898" s="2" t="e">
        <f ca="1"/>
        <v>#N/A</v>
      </c>
      <c r="C898" t="e">
        <f ca="1"/>
        <v>#N/A</v>
      </c>
      <c r="D898" t="e">
        <f ca="1"/>
        <v>#N/A</v>
      </c>
      <c r="E898" t="e">
        <f ca="1"/>
        <v>#N/A</v>
      </c>
      <c r="F898" t="e">
        <f ca="1"/>
        <v>#N/A</v>
      </c>
      <c r="G898" t="e">
        <f ca="1"/>
        <v>#N/A</v>
      </c>
      <c r="H898" t="e">
        <f ca="1"/>
        <v>#N/A</v>
      </c>
      <c r="I898" t="e">
        <f ca="1"/>
        <v>#N/A</v>
      </c>
      <c r="J898" t="e">
        <f ca="1"/>
        <v>#N/A</v>
      </c>
      <c r="K898" t="e">
        <f ca="1"/>
        <v>#N/A</v>
      </c>
    </row>
    <row r="899" spans="1:11" x14ac:dyDescent="0.25">
      <c r="A899" s="2" t="e">
        <f ca="1"/>
        <v>#N/A</v>
      </c>
      <c r="C899" t="e">
        <f ca="1"/>
        <v>#N/A</v>
      </c>
      <c r="D899" t="e">
        <f ca="1"/>
        <v>#N/A</v>
      </c>
      <c r="E899" t="e">
        <f ca="1"/>
        <v>#N/A</v>
      </c>
      <c r="F899" t="e">
        <f ca="1"/>
        <v>#N/A</v>
      </c>
      <c r="G899" t="e">
        <f ca="1"/>
        <v>#N/A</v>
      </c>
      <c r="H899" t="e">
        <f ca="1"/>
        <v>#N/A</v>
      </c>
      <c r="I899" t="e">
        <f ca="1"/>
        <v>#N/A</v>
      </c>
      <c r="J899" t="e">
        <f ca="1"/>
        <v>#N/A</v>
      </c>
      <c r="K899" t="e">
        <f ca="1"/>
        <v>#N/A</v>
      </c>
    </row>
    <row r="900" spans="1:11" x14ac:dyDescent="0.25">
      <c r="A900" s="2" t="e">
        <f ca="1"/>
        <v>#N/A</v>
      </c>
      <c r="C900" t="e">
        <f ca="1"/>
        <v>#N/A</v>
      </c>
      <c r="D900" t="e">
        <f ca="1"/>
        <v>#N/A</v>
      </c>
      <c r="E900" t="e">
        <f ca="1"/>
        <v>#N/A</v>
      </c>
      <c r="F900" t="e">
        <f ca="1"/>
        <v>#N/A</v>
      </c>
      <c r="G900" t="e">
        <f ca="1"/>
        <v>#N/A</v>
      </c>
      <c r="H900" t="e">
        <f ca="1"/>
        <v>#N/A</v>
      </c>
      <c r="I900" t="e">
        <f ca="1"/>
        <v>#N/A</v>
      </c>
      <c r="J900" t="e">
        <f ca="1"/>
        <v>#N/A</v>
      </c>
      <c r="K900" t="e">
        <f ca="1"/>
        <v>#N/A</v>
      </c>
    </row>
    <row r="901" spans="1:11" x14ac:dyDescent="0.25">
      <c r="A901" s="2" t="e">
        <f ca="1"/>
        <v>#N/A</v>
      </c>
      <c r="C901" t="e">
        <f ca="1"/>
        <v>#N/A</v>
      </c>
      <c r="D901" t="e">
        <f ca="1"/>
        <v>#N/A</v>
      </c>
      <c r="E901" t="e">
        <f ca="1"/>
        <v>#N/A</v>
      </c>
      <c r="F901" t="e">
        <f ca="1"/>
        <v>#N/A</v>
      </c>
      <c r="G901" t="e">
        <f ca="1"/>
        <v>#N/A</v>
      </c>
      <c r="H901" t="e">
        <f ca="1"/>
        <v>#N/A</v>
      </c>
      <c r="I901" t="e">
        <f ca="1"/>
        <v>#N/A</v>
      </c>
      <c r="J901" t="e">
        <f ca="1"/>
        <v>#N/A</v>
      </c>
      <c r="K901" t="e">
        <f ca="1"/>
        <v>#N/A</v>
      </c>
    </row>
    <row r="902" spans="1:11" x14ac:dyDescent="0.25">
      <c r="A902" s="2" t="e">
        <f ca="1"/>
        <v>#N/A</v>
      </c>
      <c r="C902" t="e">
        <f ca="1"/>
        <v>#N/A</v>
      </c>
      <c r="D902" t="e">
        <f ca="1"/>
        <v>#N/A</v>
      </c>
      <c r="E902" t="e">
        <f ca="1"/>
        <v>#N/A</v>
      </c>
      <c r="F902" t="e">
        <f ca="1"/>
        <v>#N/A</v>
      </c>
      <c r="G902" t="e">
        <f ca="1"/>
        <v>#N/A</v>
      </c>
      <c r="H902" t="e">
        <f ca="1"/>
        <v>#N/A</v>
      </c>
      <c r="I902" t="e">
        <f ca="1"/>
        <v>#N/A</v>
      </c>
      <c r="J902" t="e">
        <f ca="1"/>
        <v>#N/A</v>
      </c>
      <c r="K902" t="e">
        <f ca="1"/>
        <v>#N/A</v>
      </c>
    </row>
    <row r="903" spans="1:11" x14ac:dyDescent="0.25">
      <c r="A903" s="2" t="e">
        <f ca="1"/>
        <v>#N/A</v>
      </c>
      <c r="C903" t="e">
        <f ca="1"/>
        <v>#N/A</v>
      </c>
      <c r="D903" t="e">
        <f ca="1"/>
        <v>#N/A</v>
      </c>
      <c r="E903" t="e">
        <f ca="1"/>
        <v>#N/A</v>
      </c>
      <c r="F903" t="e">
        <f ca="1"/>
        <v>#N/A</v>
      </c>
      <c r="G903" t="e">
        <f ca="1"/>
        <v>#N/A</v>
      </c>
      <c r="H903" t="e">
        <f ca="1"/>
        <v>#N/A</v>
      </c>
      <c r="I903" t="e">
        <f ca="1"/>
        <v>#N/A</v>
      </c>
      <c r="J903" t="e">
        <f ca="1"/>
        <v>#N/A</v>
      </c>
      <c r="K903" t="e">
        <f ca="1"/>
        <v>#N/A</v>
      </c>
    </row>
    <row r="904" spans="1:11" x14ac:dyDescent="0.25">
      <c r="A904" s="2" t="e">
        <f ca="1"/>
        <v>#N/A</v>
      </c>
      <c r="C904" t="e">
        <f ca="1"/>
        <v>#N/A</v>
      </c>
      <c r="D904" t="e">
        <f ca="1"/>
        <v>#N/A</v>
      </c>
      <c r="E904" t="e">
        <f ca="1"/>
        <v>#N/A</v>
      </c>
      <c r="F904" t="e">
        <f ca="1"/>
        <v>#N/A</v>
      </c>
      <c r="G904" t="e">
        <f ca="1"/>
        <v>#N/A</v>
      </c>
      <c r="H904" t="e">
        <f ca="1"/>
        <v>#N/A</v>
      </c>
      <c r="I904" t="e">
        <f ca="1"/>
        <v>#N/A</v>
      </c>
      <c r="J904" t="e">
        <f ca="1"/>
        <v>#N/A</v>
      </c>
      <c r="K904" t="e">
        <f ca="1"/>
        <v>#N/A</v>
      </c>
    </row>
    <row r="905" spans="1:11" x14ac:dyDescent="0.25">
      <c r="A905" s="2" t="e">
        <f ca="1"/>
        <v>#N/A</v>
      </c>
      <c r="C905" t="e">
        <f ca="1"/>
        <v>#N/A</v>
      </c>
      <c r="D905" t="e">
        <f ca="1"/>
        <v>#N/A</v>
      </c>
      <c r="E905" t="e">
        <f ca="1"/>
        <v>#N/A</v>
      </c>
      <c r="F905" t="e">
        <f ca="1"/>
        <v>#N/A</v>
      </c>
      <c r="G905" t="e">
        <f ca="1"/>
        <v>#N/A</v>
      </c>
      <c r="H905" t="e">
        <f ca="1"/>
        <v>#N/A</v>
      </c>
      <c r="I905" t="e">
        <f ca="1"/>
        <v>#N/A</v>
      </c>
      <c r="J905" t="e">
        <f ca="1"/>
        <v>#N/A</v>
      </c>
      <c r="K905" t="e">
        <f ca="1"/>
        <v>#N/A</v>
      </c>
    </row>
    <row r="906" spans="1:11" x14ac:dyDescent="0.25">
      <c r="A906" s="2" t="e">
        <f ca="1"/>
        <v>#N/A</v>
      </c>
      <c r="C906" t="e">
        <f ca="1"/>
        <v>#N/A</v>
      </c>
      <c r="D906" t="e">
        <f ca="1"/>
        <v>#N/A</v>
      </c>
      <c r="E906" t="e">
        <f ca="1"/>
        <v>#N/A</v>
      </c>
      <c r="F906" t="e">
        <f ca="1"/>
        <v>#N/A</v>
      </c>
      <c r="G906" t="e">
        <f ca="1"/>
        <v>#N/A</v>
      </c>
      <c r="H906" t="e">
        <f ca="1"/>
        <v>#N/A</v>
      </c>
      <c r="I906" t="e">
        <f ca="1"/>
        <v>#N/A</v>
      </c>
      <c r="J906" t="e">
        <f ca="1"/>
        <v>#N/A</v>
      </c>
      <c r="K906" t="e">
        <f ca="1"/>
        <v>#N/A</v>
      </c>
    </row>
    <row r="907" spans="1:11" x14ac:dyDescent="0.25">
      <c r="A907" s="2" t="e">
        <f ca="1"/>
        <v>#N/A</v>
      </c>
      <c r="C907" t="e">
        <f ca="1"/>
        <v>#N/A</v>
      </c>
      <c r="D907" t="e">
        <f ca="1"/>
        <v>#N/A</v>
      </c>
      <c r="E907" t="e">
        <f ca="1"/>
        <v>#N/A</v>
      </c>
      <c r="F907" t="e">
        <f ca="1"/>
        <v>#N/A</v>
      </c>
      <c r="G907" t="e">
        <f ca="1"/>
        <v>#N/A</v>
      </c>
      <c r="H907" t="e">
        <f ca="1"/>
        <v>#N/A</v>
      </c>
      <c r="I907" t="e">
        <f ca="1"/>
        <v>#N/A</v>
      </c>
      <c r="J907" t="e">
        <f ca="1"/>
        <v>#N/A</v>
      </c>
      <c r="K907" t="e">
        <f ca="1"/>
        <v>#N/A</v>
      </c>
    </row>
    <row r="908" spans="1:11" x14ac:dyDescent="0.25">
      <c r="A908" s="2" t="e">
        <f ca="1"/>
        <v>#N/A</v>
      </c>
      <c r="C908" t="e">
        <f ca="1"/>
        <v>#N/A</v>
      </c>
      <c r="D908" t="e">
        <f ca="1"/>
        <v>#N/A</v>
      </c>
      <c r="E908" t="e">
        <f ca="1"/>
        <v>#N/A</v>
      </c>
      <c r="F908" t="e">
        <f ca="1"/>
        <v>#N/A</v>
      </c>
      <c r="G908" t="e">
        <f ca="1"/>
        <v>#N/A</v>
      </c>
      <c r="H908" t="e">
        <f ca="1"/>
        <v>#N/A</v>
      </c>
      <c r="I908" t="e">
        <f ca="1"/>
        <v>#N/A</v>
      </c>
      <c r="J908" t="e">
        <f ca="1"/>
        <v>#N/A</v>
      </c>
      <c r="K908" t="e">
        <f ca="1"/>
        <v>#N/A</v>
      </c>
    </row>
    <row r="909" spans="1:11" x14ac:dyDescent="0.25">
      <c r="A909" s="2" t="e">
        <f ca="1"/>
        <v>#N/A</v>
      </c>
      <c r="C909" t="e">
        <f ca="1"/>
        <v>#N/A</v>
      </c>
      <c r="D909" t="e">
        <f ca="1"/>
        <v>#N/A</v>
      </c>
      <c r="E909" t="e">
        <f ca="1"/>
        <v>#N/A</v>
      </c>
      <c r="F909" t="e">
        <f ca="1"/>
        <v>#N/A</v>
      </c>
      <c r="G909" t="e">
        <f ca="1"/>
        <v>#N/A</v>
      </c>
      <c r="H909" t="e">
        <f ca="1"/>
        <v>#N/A</v>
      </c>
      <c r="I909" t="e">
        <f ca="1"/>
        <v>#N/A</v>
      </c>
      <c r="J909" t="e">
        <f ca="1"/>
        <v>#N/A</v>
      </c>
      <c r="K909" t="e">
        <f ca="1"/>
        <v>#N/A</v>
      </c>
    </row>
    <row r="910" spans="1:11" x14ac:dyDescent="0.25">
      <c r="A910" s="2" t="e">
        <f ca="1"/>
        <v>#N/A</v>
      </c>
      <c r="C910" t="e">
        <f ca="1"/>
        <v>#N/A</v>
      </c>
      <c r="D910" t="e">
        <f ca="1"/>
        <v>#N/A</v>
      </c>
      <c r="E910" t="e">
        <f ca="1"/>
        <v>#N/A</v>
      </c>
      <c r="F910" t="e">
        <f ca="1"/>
        <v>#N/A</v>
      </c>
      <c r="G910" t="e">
        <f ca="1"/>
        <v>#N/A</v>
      </c>
      <c r="H910" t="e">
        <f ca="1"/>
        <v>#N/A</v>
      </c>
      <c r="I910" t="e">
        <f ca="1"/>
        <v>#N/A</v>
      </c>
      <c r="J910" t="e">
        <f ca="1"/>
        <v>#N/A</v>
      </c>
      <c r="K910" t="e">
        <f ca="1"/>
        <v>#N/A</v>
      </c>
    </row>
    <row r="911" spans="1:11" x14ac:dyDescent="0.25">
      <c r="A911" s="2" t="e">
        <f ca="1"/>
        <v>#N/A</v>
      </c>
      <c r="C911" t="e">
        <f ca="1"/>
        <v>#N/A</v>
      </c>
      <c r="D911" t="e">
        <f ca="1"/>
        <v>#N/A</v>
      </c>
      <c r="E911" t="e">
        <f ca="1"/>
        <v>#N/A</v>
      </c>
      <c r="F911" t="e">
        <f ca="1"/>
        <v>#N/A</v>
      </c>
      <c r="G911" t="e">
        <f ca="1"/>
        <v>#N/A</v>
      </c>
      <c r="H911" t="e">
        <f ca="1"/>
        <v>#N/A</v>
      </c>
      <c r="I911" t="e">
        <f ca="1"/>
        <v>#N/A</v>
      </c>
      <c r="J911" t="e">
        <f ca="1"/>
        <v>#N/A</v>
      </c>
      <c r="K911" t="e">
        <f ca="1"/>
        <v>#N/A</v>
      </c>
    </row>
    <row r="912" spans="1:11" x14ac:dyDescent="0.25">
      <c r="A912" s="2" t="e">
        <f ca="1"/>
        <v>#N/A</v>
      </c>
      <c r="C912" t="e">
        <f ca="1"/>
        <v>#N/A</v>
      </c>
      <c r="D912" t="e">
        <f ca="1"/>
        <v>#N/A</v>
      </c>
      <c r="E912" t="e">
        <f ca="1"/>
        <v>#N/A</v>
      </c>
      <c r="F912" t="e">
        <f ca="1"/>
        <v>#N/A</v>
      </c>
      <c r="G912" t="e">
        <f ca="1"/>
        <v>#N/A</v>
      </c>
      <c r="H912" t="e">
        <f ca="1"/>
        <v>#N/A</v>
      </c>
      <c r="I912" t="e">
        <f ca="1"/>
        <v>#N/A</v>
      </c>
      <c r="J912" t="e">
        <f ca="1"/>
        <v>#N/A</v>
      </c>
      <c r="K912" t="e">
        <f ca="1"/>
        <v>#N/A</v>
      </c>
    </row>
    <row r="913" spans="1:11" x14ac:dyDescent="0.25">
      <c r="A913" s="2" t="e">
        <f ca="1"/>
        <v>#N/A</v>
      </c>
      <c r="C913" t="e">
        <f ca="1"/>
        <v>#N/A</v>
      </c>
      <c r="D913" t="e">
        <f ca="1"/>
        <v>#N/A</v>
      </c>
      <c r="E913" t="e">
        <f ca="1"/>
        <v>#N/A</v>
      </c>
      <c r="F913" t="e">
        <f ca="1"/>
        <v>#N/A</v>
      </c>
      <c r="G913" t="e">
        <f ca="1"/>
        <v>#N/A</v>
      </c>
      <c r="H913" t="e">
        <f ca="1"/>
        <v>#N/A</v>
      </c>
      <c r="I913" t="e">
        <f ca="1"/>
        <v>#N/A</v>
      </c>
      <c r="J913" t="e">
        <f ca="1"/>
        <v>#N/A</v>
      </c>
      <c r="K913" t="e">
        <f ca="1"/>
        <v>#N/A</v>
      </c>
    </row>
    <row r="914" spans="1:11" x14ac:dyDescent="0.25">
      <c r="A914" s="2" t="e">
        <f ca="1"/>
        <v>#N/A</v>
      </c>
      <c r="C914" t="e">
        <f ca="1"/>
        <v>#N/A</v>
      </c>
      <c r="D914" t="e">
        <f ca="1"/>
        <v>#N/A</v>
      </c>
      <c r="E914" t="e">
        <f ca="1"/>
        <v>#N/A</v>
      </c>
      <c r="F914" t="e">
        <f ca="1"/>
        <v>#N/A</v>
      </c>
      <c r="G914" t="e">
        <f ca="1"/>
        <v>#N/A</v>
      </c>
      <c r="H914" t="e">
        <f ca="1"/>
        <v>#N/A</v>
      </c>
      <c r="I914" t="e">
        <f ca="1"/>
        <v>#N/A</v>
      </c>
      <c r="J914" t="e">
        <f ca="1"/>
        <v>#N/A</v>
      </c>
      <c r="K914" t="e">
        <f ca="1"/>
        <v>#N/A</v>
      </c>
    </row>
    <row r="915" spans="1:11" x14ac:dyDescent="0.25">
      <c r="A915" s="2" t="e">
        <f ca="1"/>
        <v>#N/A</v>
      </c>
      <c r="C915" t="e">
        <f ca="1"/>
        <v>#N/A</v>
      </c>
      <c r="D915" t="e">
        <f ca="1"/>
        <v>#N/A</v>
      </c>
      <c r="E915" t="e">
        <f ca="1"/>
        <v>#N/A</v>
      </c>
      <c r="F915" t="e">
        <f ca="1"/>
        <v>#N/A</v>
      </c>
      <c r="G915" t="e">
        <f ca="1"/>
        <v>#N/A</v>
      </c>
      <c r="H915" t="e">
        <f ca="1"/>
        <v>#N/A</v>
      </c>
      <c r="I915" t="e">
        <f ca="1"/>
        <v>#N/A</v>
      </c>
      <c r="J915" t="e">
        <f ca="1"/>
        <v>#N/A</v>
      </c>
      <c r="K915" t="e">
        <f ca="1"/>
        <v>#N/A</v>
      </c>
    </row>
    <row r="916" spans="1:11" x14ac:dyDescent="0.25">
      <c r="A916" s="2" t="e">
        <f ca="1"/>
        <v>#N/A</v>
      </c>
      <c r="C916" t="e">
        <f ca="1"/>
        <v>#N/A</v>
      </c>
      <c r="D916" t="e">
        <f ca="1"/>
        <v>#N/A</v>
      </c>
      <c r="E916" t="e">
        <f ca="1"/>
        <v>#N/A</v>
      </c>
      <c r="F916" t="e">
        <f ca="1"/>
        <v>#N/A</v>
      </c>
      <c r="G916" t="e">
        <f ca="1"/>
        <v>#N/A</v>
      </c>
      <c r="H916" t="e">
        <f ca="1"/>
        <v>#N/A</v>
      </c>
      <c r="I916" t="e">
        <f ca="1"/>
        <v>#N/A</v>
      </c>
      <c r="J916" t="e">
        <f ca="1"/>
        <v>#N/A</v>
      </c>
      <c r="K916" t="e">
        <f ca="1"/>
        <v>#N/A</v>
      </c>
    </row>
    <row r="917" spans="1:11" x14ac:dyDescent="0.25">
      <c r="A917" s="2" t="e">
        <f ca="1"/>
        <v>#N/A</v>
      </c>
      <c r="C917" t="e">
        <f ca="1"/>
        <v>#N/A</v>
      </c>
      <c r="D917" t="e">
        <f ca="1"/>
        <v>#N/A</v>
      </c>
      <c r="E917" t="e">
        <f ca="1"/>
        <v>#N/A</v>
      </c>
      <c r="F917" t="e">
        <f ca="1"/>
        <v>#N/A</v>
      </c>
      <c r="G917" t="e">
        <f ca="1"/>
        <v>#N/A</v>
      </c>
      <c r="H917" t="e">
        <f ca="1"/>
        <v>#N/A</v>
      </c>
      <c r="I917" t="e">
        <f ca="1"/>
        <v>#N/A</v>
      </c>
      <c r="J917" t="e">
        <f ca="1"/>
        <v>#N/A</v>
      </c>
      <c r="K917" t="e">
        <f ca="1"/>
        <v>#N/A</v>
      </c>
    </row>
    <row r="918" spans="1:11" x14ac:dyDescent="0.25">
      <c r="A918" s="2" t="e">
        <f ca="1"/>
        <v>#N/A</v>
      </c>
      <c r="C918" t="e">
        <f ca="1"/>
        <v>#N/A</v>
      </c>
      <c r="D918" t="e">
        <f ca="1"/>
        <v>#N/A</v>
      </c>
      <c r="E918" t="e">
        <f ca="1"/>
        <v>#N/A</v>
      </c>
      <c r="F918" t="e">
        <f ca="1"/>
        <v>#N/A</v>
      </c>
      <c r="G918" t="e">
        <f ca="1"/>
        <v>#N/A</v>
      </c>
      <c r="H918" t="e">
        <f ca="1"/>
        <v>#N/A</v>
      </c>
      <c r="I918" t="e">
        <f ca="1"/>
        <v>#N/A</v>
      </c>
      <c r="J918" t="e">
        <f ca="1"/>
        <v>#N/A</v>
      </c>
      <c r="K918" t="e">
        <f ca="1"/>
        <v>#N/A</v>
      </c>
    </row>
    <row r="919" spans="1:11" x14ac:dyDescent="0.25">
      <c r="A919" s="2" t="e">
        <f ca="1"/>
        <v>#N/A</v>
      </c>
      <c r="C919" t="e">
        <f ca="1"/>
        <v>#N/A</v>
      </c>
      <c r="D919" t="e">
        <f ca="1"/>
        <v>#N/A</v>
      </c>
      <c r="E919" t="e">
        <f ca="1"/>
        <v>#N/A</v>
      </c>
      <c r="F919" t="e">
        <f ca="1"/>
        <v>#N/A</v>
      </c>
      <c r="G919" t="e">
        <f ca="1"/>
        <v>#N/A</v>
      </c>
      <c r="H919" t="e">
        <f ca="1"/>
        <v>#N/A</v>
      </c>
      <c r="I919" t="e">
        <f ca="1"/>
        <v>#N/A</v>
      </c>
      <c r="J919" t="e">
        <f ca="1"/>
        <v>#N/A</v>
      </c>
      <c r="K919" t="e">
        <f ca="1"/>
        <v>#N/A</v>
      </c>
    </row>
    <row r="920" spans="1:11" x14ac:dyDescent="0.25">
      <c r="A920" s="2" t="e">
        <f ca="1"/>
        <v>#N/A</v>
      </c>
      <c r="C920" t="e">
        <f ca="1"/>
        <v>#N/A</v>
      </c>
      <c r="D920" t="e">
        <f ca="1"/>
        <v>#N/A</v>
      </c>
      <c r="E920" t="e">
        <f ca="1"/>
        <v>#N/A</v>
      </c>
      <c r="F920" t="e">
        <f ca="1"/>
        <v>#N/A</v>
      </c>
      <c r="G920" t="e">
        <f ca="1"/>
        <v>#N/A</v>
      </c>
      <c r="H920" t="e">
        <f ca="1"/>
        <v>#N/A</v>
      </c>
      <c r="I920" t="e">
        <f ca="1"/>
        <v>#N/A</v>
      </c>
      <c r="J920" t="e">
        <f ca="1"/>
        <v>#N/A</v>
      </c>
      <c r="K920" t="e">
        <f ca="1"/>
        <v>#N/A</v>
      </c>
    </row>
    <row r="921" spans="1:11" x14ac:dyDescent="0.25">
      <c r="A921" s="2" t="e">
        <f ca="1"/>
        <v>#N/A</v>
      </c>
      <c r="C921" t="e">
        <f ca="1"/>
        <v>#N/A</v>
      </c>
      <c r="D921" t="e">
        <f ca="1"/>
        <v>#N/A</v>
      </c>
      <c r="E921" t="e">
        <f ca="1"/>
        <v>#N/A</v>
      </c>
      <c r="F921" t="e">
        <f ca="1"/>
        <v>#N/A</v>
      </c>
      <c r="G921" t="e">
        <f ca="1"/>
        <v>#N/A</v>
      </c>
      <c r="H921" t="e">
        <f ca="1"/>
        <v>#N/A</v>
      </c>
      <c r="I921" t="e">
        <f ca="1"/>
        <v>#N/A</v>
      </c>
      <c r="J921" t="e">
        <f ca="1"/>
        <v>#N/A</v>
      </c>
      <c r="K921" t="e">
        <f ca="1"/>
        <v>#N/A</v>
      </c>
    </row>
    <row r="922" spans="1:11" x14ac:dyDescent="0.25">
      <c r="A922" s="2" t="e">
        <f ca="1"/>
        <v>#N/A</v>
      </c>
      <c r="C922" t="e">
        <f ca="1"/>
        <v>#N/A</v>
      </c>
      <c r="D922" t="e">
        <f ca="1"/>
        <v>#N/A</v>
      </c>
      <c r="E922" t="e">
        <f ca="1"/>
        <v>#N/A</v>
      </c>
      <c r="F922" t="e">
        <f ca="1"/>
        <v>#N/A</v>
      </c>
      <c r="G922" t="e">
        <f ca="1"/>
        <v>#N/A</v>
      </c>
      <c r="H922" t="e">
        <f ca="1"/>
        <v>#N/A</v>
      </c>
      <c r="I922" t="e">
        <f ca="1"/>
        <v>#N/A</v>
      </c>
      <c r="J922" t="e">
        <f ca="1"/>
        <v>#N/A</v>
      </c>
      <c r="K922" t="e">
        <f ca="1"/>
        <v>#N/A</v>
      </c>
    </row>
    <row r="923" spans="1:11" x14ac:dyDescent="0.25">
      <c r="A923" s="2" t="e">
        <f ca="1"/>
        <v>#N/A</v>
      </c>
      <c r="C923" t="e">
        <f ca="1"/>
        <v>#N/A</v>
      </c>
      <c r="D923" t="e">
        <f ca="1"/>
        <v>#N/A</v>
      </c>
      <c r="E923" t="e">
        <f ca="1"/>
        <v>#N/A</v>
      </c>
      <c r="F923" t="e">
        <f ca="1"/>
        <v>#N/A</v>
      </c>
      <c r="G923" t="e">
        <f ca="1"/>
        <v>#N/A</v>
      </c>
      <c r="H923" t="e">
        <f ca="1"/>
        <v>#N/A</v>
      </c>
      <c r="I923" t="e">
        <f ca="1"/>
        <v>#N/A</v>
      </c>
      <c r="J923" t="e">
        <f ca="1"/>
        <v>#N/A</v>
      </c>
      <c r="K923" t="e">
        <f ca="1"/>
        <v>#N/A</v>
      </c>
    </row>
    <row r="924" spans="1:11" x14ac:dyDescent="0.25">
      <c r="A924" s="2" t="e">
        <f ca="1"/>
        <v>#N/A</v>
      </c>
      <c r="C924" t="e">
        <f ca="1"/>
        <v>#N/A</v>
      </c>
      <c r="D924" t="e">
        <f ca="1"/>
        <v>#N/A</v>
      </c>
      <c r="E924" t="e">
        <f ca="1"/>
        <v>#N/A</v>
      </c>
      <c r="F924" t="e">
        <f ca="1"/>
        <v>#N/A</v>
      </c>
      <c r="G924" t="e">
        <f ca="1"/>
        <v>#N/A</v>
      </c>
      <c r="H924" t="e">
        <f ca="1"/>
        <v>#N/A</v>
      </c>
      <c r="I924" t="e">
        <f ca="1"/>
        <v>#N/A</v>
      </c>
      <c r="J924" t="e">
        <f ca="1"/>
        <v>#N/A</v>
      </c>
      <c r="K924" t="e">
        <f ca="1"/>
        <v>#N/A</v>
      </c>
    </row>
    <row r="925" spans="1:11" x14ac:dyDescent="0.25">
      <c r="A925" s="2" t="e">
        <f ca="1"/>
        <v>#N/A</v>
      </c>
      <c r="C925" t="e">
        <f ca="1"/>
        <v>#N/A</v>
      </c>
      <c r="D925" t="e">
        <f ca="1"/>
        <v>#N/A</v>
      </c>
      <c r="E925" t="e">
        <f ca="1"/>
        <v>#N/A</v>
      </c>
      <c r="F925" t="e">
        <f ca="1"/>
        <v>#N/A</v>
      </c>
      <c r="G925" t="e">
        <f ca="1"/>
        <v>#N/A</v>
      </c>
      <c r="H925" t="e">
        <f ca="1"/>
        <v>#N/A</v>
      </c>
      <c r="I925" t="e">
        <f ca="1"/>
        <v>#N/A</v>
      </c>
      <c r="J925" t="e">
        <f ca="1"/>
        <v>#N/A</v>
      </c>
      <c r="K925" t="e">
        <f ca="1"/>
        <v>#N/A</v>
      </c>
    </row>
    <row r="926" spans="1:11" x14ac:dyDescent="0.25">
      <c r="A926" s="2" t="e">
        <f ca="1"/>
        <v>#N/A</v>
      </c>
      <c r="C926" t="e">
        <f ca="1"/>
        <v>#N/A</v>
      </c>
      <c r="D926" t="e">
        <f ca="1"/>
        <v>#N/A</v>
      </c>
      <c r="E926" t="e">
        <f ca="1"/>
        <v>#N/A</v>
      </c>
      <c r="F926" t="e">
        <f ca="1"/>
        <v>#N/A</v>
      </c>
      <c r="G926" t="e">
        <f ca="1"/>
        <v>#N/A</v>
      </c>
      <c r="H926" t="e">
        <f ca="1"/>
        <v>#N/A</v>
      </c>
      <c r="I926" t="e">
        <f ca="1"/>
        <v>#N/A</v>
      </c>
      <c r="J926" t="e">
        <f ca="1"/>
        <v>#N/A</v>
      </c>
      <c r="K926" t="e">
        <f ca="1"/>
        <v>#N/A</v>
      </c>
    </row>
    <row r="927" spans="1:11" x14ac:dyDescent="0.25">
      <c r="A927" s="2" t="e">
        <f ca="1"/>
        <v>#N/A</v>
      </c>
      <c r="C927" t="e">
        <f ca="1"/>
        <v>#N/A</v>
      </c>
      <c r="D927" t="e">
        <f ca="1"/>
        <v>#N/A</v>
      </c>
      <c r="E927" t="e">
        <f ca="1"/>
        <v>#N/A</v>
      </c>
      <c r="F927" t="e">
        <f ca="1"/>
        <v>#N/A</v>
      </c>
      <c r="G927" t="e">
        <f ca="1"/>
        <v>#N/A</v>
      </c>
      <c r="H927" t="e">
        <f ca="1"/>
        <v>#N/A</v>
      </c>
      <c r="I927" t="e">
        <f ca="1"/>
        <v>#N/A</v>
      </c>
      <c r="J927" t="e">
        <f ca="1"/>
        <v>#N/A</v>
      </c>
      <c r="K927" t="e">
        <f ca="1"/>
        <v>#N/A</v>
      </c>
    </row>
    <row r="928" spans="1:11" x14ac:dyDescent="0.25">
      <c r="A928" s="2" t="e">
        <f ca="1"/>
        <v>#N/A</v>
      </c>
      <c r="C928" t="e">
        <f ca="1"/>
        <v>#N/A</v>
      </c>
      <c r="D928" t="e">
        <f ca="1"/>
        <v>#N/A</v>
      </c>
      <c r="E928" t="e">
        <f ca="1"/>
        <v>#N/A</v>
      </c>
      <c r="F928" t="e">
        <f ca="1"/>
        <v>#N/A</v>
      </c>
      <c r="G928" t="e">
        <f ca="1"/>
        <v>#N/A</v>
      </c>
      <c r="H928" t="e">
        <f ca="1"/>
        <v>#N/A</v>
      </c>
      <c r="I928" t="e">
        <f ca="1"/>
        <v>#N/A</v>
      </c>
      <c r="J928" t="e">
        <f ca="1"/>
        <v>#N/A</v>
      </c>
      <c r="K928" t="e">
        <f ca="1"/>
        <v>#N/A</v>
      </c>
    </row>
    <row r="929" spans="1:11" x14ac:dyDescent="0.25">
      <c r="A929" s="2" t="e">
        <f ca="1"/>
        <v>#N/A</v>
      </c>
      <c r="C929" t="e">
        <f ca="1"/>
        <v>#N/A</v>
      </c>
      <c r="D929" t="e">
        <f ca="1"/>
        <v>#N/A</v>
      </c>
      <c r="E929" t="e">
        <f ca="1"/>
        <v>#N/A</v>
      </c>
      <c r="F929" t="e">
        <f ca="1"/>
        <v>#N/A</v>
      </c>
      <c r="G929" t="e">
        <f ca="1"/>
        <v>#N/A</v>
      </c>
      <c r="H929" t="e">
        <f ca="1"/>
        <v>#N/A</v>
      </c>
      <c r="I929" t="e">
        <f ca="1"/>
        <v>#N/A</v>
      </c>
      <c r="J929" t="e">
        <f ca="1"/>
        <v>#N/A</v>
      </c>
      <c r="K929" t="e">
        <f ca="1"/>
        <v>#N/A</v>
      </c>
    </row>
    <row r="930" spans="1:11" x14ac:dyDescent="0.25">
      <c r="A930" s="2" t="e">
        <f ca="1"/>
        <v>#N/A</v>
      </c>
      <c r="C930" t="e">
        <f ca="1"/>
        <v>#N/A</v>
      </c>
      <c r="D930" t="e">
        <f ca="1"/>
        <v>#N/A</v>
      </c>
      <c r="E930" t="e">
        <f ca="1"/>
        <v>#N/A</v>
      </c>
      <c r="F930" t="e">
        <f ca="1"/>
        <v>#N/A</v>
      </c>
      <c r="G930" t="e">
        <f ca="1"/>
        <v>#N/A</v>
      </c>
      <c r="H930" t="e">
        <f ca="1"/>
        <v>#N/A</v>
      </c>
      <c r="I930" t="e">
        <f ca="1"/>
        <v>#N/A</v>
      </c>
      <c r="J930" t="e">
        <f ca="1"/>
        <v>#N/A</v>
      </c>
      <c r="K930" t="e">
        <f ca="1"/>
        <v>#N/A</v>
      </c>
    </row>
    <row r="931" spans="1:11" x14ac:dyDescent="0.25">
      <c r="A931" s="2" t="e">
        <f ca="1"/>
        <v>#N/A</v>
      </c>
      <c r="C931" t="e">
        <f ca="1"/>
        <v>#N/A</v>
      </c>
      <c r="D931" t="e">
        <f ca="1"/>
        <v>#N/A</v>
      </c>
      <c r="E931" t="e">
        <f ca="1"/>
        <v>#N/A</v>
      </c>
      <c r="F931" t="e">
        <f ca="1"/>
        <v>#N/A</v>
      </c>
      <c r="G931" t="e">
        <f ca="1"/>
        <v>#N/A</v>
      </c>
      <c r="H931" t="e">
        <f ca="1"/>
        <v>#N/A</v>
      </c>
      <c r="I931" t="e">
        <f ca="1"/>
        <v>#N/A</v>
      </c>
      <c r="J931" t="e">
        <f ca="1"/>
        <v>#N/A</v>
      </c>
      <c r="K931" t="e">
        <f ca="1"/>
        <v>#N/A</v>
      </c>
    </row>
    <row r="932" spans="1:11" x14ac:dyDescent="0.25">
      <c r="A932" s="2" t="e">
        <f ca="1"/>
        <v>#N/A</v>
      </c>
      <c r="C932" t="e">
        <f ca="1"/>
        <v>#N/A</v>
      </c>
      <c r="D932" t="e">
        <f ca="1"/>
        <v>#N/A</v>
      </c>
      <c r="E932" t="e">
        <f ca="1"/>
        <v>#N/A</v>
      </c>
      <c r="F932" t="e">
        <f ca="1"/>
        <v>#N/A</v>
      </c>
      <c r="G932" t="e">
        <f ca="1"/>
        <v>#N/A</v>
      </c>
      <c r="H932" t="e">
        <f ca="1"/>
        <v>#N/A</v>
      </c>
      <c r="I932" t="e">
        <f ca="1"/>
        <v>#N/A</v>
      </c>
      <c r="J932" t="e">
        <f ca="1"/>
        <v>#N/A</v>
      </c>
      <c r="K932" t="e">
        <f ca="1"/>
        <v>#N/A</v>
      </c>
    </row>
    <row r="933" spans="1:11" x14ac:dyDescent="0.25">
      <c r="A933" s="2" t="e">
        <f ca="1"/>
        <v>#N/A</v>
      </c>
      <c r="C933" t="e">
        <f ca="1"/>
        <v>#N/A</v>
      </c>
      <c r="D933" t="e">
        <f ca="1"/>
        <v>#N/A</v>
      </c>
      <c r="E933" t="e">
        <f ca="1"/>
        <v>#N/A</v>
      </c>
      <c r="F933" t="e">
        <f ca="1"/>
        <v>#N/A</v>
      </c>
      <c r="G933" t="e">
        <f ca="1"/>
        <v>#N/A</v>
      </c>
      <c r="H933" t="e">
        <f ca="1"/>
        <v>#N/A</v>
      </c>
      <c r="I933" t="e">
        <f ca="1"/>
        <v>#N/A</v>
      </c>
      <c r="J933" t="e">
        <f ca="1"/>
        <v>#N/A</v>
      </c>
      <c r="K933" t="e">
        <f ca="1"/>
        <v>#N/A</v>
      </c>
    </row>
    <row r="934" spans="1:11" x14ac:dyDescent="0.25">
      <c r="A934" s="2" t="e">
        <f ca="1"/>
        <v>#N/A</v>
      </c>
      <c r="C934" t="e">
        <f ca="1"/>
        <v>#N/A</v>
      </c>
      <c r="D934" t="e">
        <f ca="1"/>
        <v>#N/A</v>
      </c>
      <c r="E934" t="e">
        <f ca="1"/>
        <v>#N/A</v>
      </c>
      <c r="F934" t="e">
        <f ca="1"/>
        <v>#N/A</v>
      </c>
      <c r="G934" t="e">
        <f ca="1"/>
        <v>#N/A</v>
      </c>
      <c r="H934" t="e">
        <f ca="1"/>
        <v>#N/A</v>
      </c>
      <c r="I934" t="e">
        <f ca="1"/>
        <v>#N/A</v>
      </c>
      <c r="J934" t="e">
        <f ca="1"/>
        <v>#N/A</v>
      </c>
      <c r="K934" t="e">
        <f ca="1"/>
        <v>#N/A</v>
      </c>
    </row>
    <row r="935" spans="1:11" x14ac:dyDescent="0.25">
      <c r="A935" s="2" t="e">
        <f ca="1"/>
        <v>#N/A</v>
      </c>
      <c r="C935" t="e">
        <f ca="1"/>
        <v>#N/A</v>
      </c>
      <c r="D935" t="e">
        <f ca="1"/>
        <v>#N/A</v>
      </c>
      <c r="E935" t="e">
        <f ca="1"/>
        <v>#N/A</v>
      </c>
      <c r="F935" t="e">
        <f ca="1"/>
        <v>#N/A</v>
      </c>
      <c r="G935" t="e">
        <f ca="1"/>
        <v>#N/A</v>
      </c>
      <c r="H935" t="e">
        <f ca="1"/>
        <v>#N/A</v>
      </c>
      <c r="I935" t="e">
        <f ca="1"/>
        <v>#N/A</v>
      </c>
      <c r="J935" t="e">
        <f ca="1"/>
        <v>#N/A</v>
      </c>
      <c r="K935" t="e">
        <f ca="1"/>
        <v>#N/A</v>
      </c>
    </row>
    <row r="936" spans="1:11" x14ac:dyDescent="0.25">
      <c r="A936" s="2" t="e">
        <f ca="1"/>
        <v>#N/A</v>
      </c>
      <c r="C936" t="e">
        <f ca="1"/>
        <v>#N/A</v>
      </c>
      <c r="D936" t="e">
        <f ca="1"/>
        <v>#N/A</v>
      </c>
      <c r="E936" t="e">
        <f ca="1"/>
        <v>#N/A</v>
      </c>
      <c r="F936" t="e">
        <f ca="1"/>
        <v>#N/A</v>
      </c>
      <c r="G936" t="e">
        <f ca="1"/>
        <v>#N/A</v>
      </c>
      <c r="H936" t="e">
        <f ca="1"/>
        <v>#N/A</v>
      </c>
      <c r="I936" t="e">
        <f ca="1"/>
        <v>#N/A</v>
      </c>
      <c r="J936" t="e">
        <f ca="1"/>
        <v>#N/A</v>
      </c>
      <c r="K936" t="e">
        <f ca="1"/>
        <v>#N/A</v>
      </c>
    </row>
    <row r="937" spans="1:11" x14ac:dyDescent="0.25">
      <c r="A937" s="2" t="e">
        <f ca="1"/>
        <v>#N/A</v>
      </c>
      <c r="C937" t="e">
        <f ca="1"/>
        <v>#N/A</v>
      </c>
      <c r="D937" t="e">
        <f ca="1"/>
        <v>#N/A</v>
      </c>
      <c r="E937" t="e">
        <f ca="1"/>
        <v>#N/A</v>
      </c>
      <c r="F937" t="e">
        <f ca="1"/>
        <v>#N/A</v>
      </c>
      <c r="G937" t="e">
        <f ca="1"/>
        <v>#N/A</v>
      </c>
      <c r="H937" t="e">
        <f ca="1"/>
        <v>#N/A</v>
      </c>
      <c r="I937" t="e">
        <f ca="1"/>
        <v>#N/A</v>
      </c>
      <c r="J937" t="e">
        <f ca="1"/>
        <v>#N/A</v>
      </c>
      <c r="K937" t="e">
        <f ca="1"/>
        <v>#N/A</v>
      </c>
    </row>
    <row r="938" spans="1:11" x14ac:dyDescent="0.25">
      <c r="A938" s="2" t="e">
        <f ca="1"/>
        <v>#N/A</v>
      </c>
      <c r="C938" t="e">
        <f ca="1"/>
        <v>#N/A</v>
      </c>
      <c r="D938" t="e">
        <f ca="1"/>
        <v>#N/A</v>
      </c>
      <c r="E938" t="e">
        <f ca="1"/>
        <v>#N/A</v>
      </c>
      <c r="F938" t="e">
        <f ca="1"/>
        <v>#N/A</v>
      </c>
      <c r="G938" t="e">
        <f ca="1"/>
        <v>#N/A</v>
      </c>
      <c r="H938" t="e">
        <f ca="1"/>
        <v>#N/A</v>
      </c>
      <c r="I938" t="e">
        <f ca="1"/>
        <v>#N/A</v>
      </c>
      <c r="J938" t="e">
        <f ca="1"/>
        <v>#N/A</v>
      </c>
      <c r="K938" t="e">
        <f ca="1"/>
        <v>#N/A</v>
      </c>
    </row>
    <row r="939" spans="1:11" x14ac:dyDescent="0.25">
      <c r="A939" s="2" t="e">
        <f ca="1"/>
        <v>#N/A</v>
      </c>
      <c r="C939" t="e">
        <f ca="1"/>
        <v>#N/A</v>
      </c>
      <c r="D939" t="e">
        <f ca="1"/>
        <v>#N/A</v>
      </c>
      <c r="E939" t="e">
        <f ca="1"/>
        <v>#N/A</v>
      </c>
      <c r="F939" t="e">
        <f ca="1"/>
        <v>#N/A</v>
      </c>
      <c r="G939" t="e">
        <f ca="1"/>
        <v>#N/A</v>
      </c>
      <c r="H939" t="e">
        <f ca="1"/>
        <v>#N/A</v>
      </c>
      <c r="I939" t="e">
        <f ca="1"/>
        <v>#N/A</v>
      </c>
      <c r="J939" t="e">
        <f ca="1"/>
        <v>#N/A</v>
      </c>
      <c r="K939" t="e">
        <f ca="1"/>
        <v>#N/A</v>
      </c>
    </row>
    <row r="940" spans="1:11" x14ac:dyDescent="0.25">
      <c r="A940" s="2" t="e">
        <f ca="1"/>
        <v>#N/A</v>
      </c>
      <c r="C940" t="e">
        <f ca="1"/>
        <v>#N/A</v>
      </c>
      <c r="D940" t="e">
        <f ca="1"/>
        <v>#N/A</v>
      </c>
      <c r="E940" t="e">
        <f ca="1"/>
        <v>#N/A</v>
      </c>
      <c r="F940" t="e">
        <f ca="1"/>
        <v>#N/A</v>
      </c>
      <c r="G940" t="e">
        <f ca="1"/>
        <v>#N/A</v>
      </c>
      <c r="H940" t="e">
        <f ca="1"/>
        <v>#N/A</v>
      </c>
      <c r="I940" t="e">
        <f ca="1"/>
        <v>#N/A</v>
      </c>
      <c r="J940" t="e">
        <f ca="1"/>
        <v>#N/A</v>
      </c>
      <c r="K940" t="e">
        <f ca="1"/>
        <v>#N/A</v>
      </c>
    </row>
    <row r="941" spans="1:11" x14ac:dyDescent="0.25">
      <c r="A941" s="2" t="e">
        <f ca="1"/>
        <v>#N/A</v>
      </c>
      <c r="C941" t="e">
        <f ca="1"/>
        <v>#N/A</v>
      </c>
      <c r="D941" t="e">
        <f ca="1"/>
        <v>#N/A</v>
      </c>
      <c r="E941" t="e">
        <f ca="1"/>
        <v>#N/A</v>
      </c>
      <c r="F941" t="e">
        <f ca="1"/>
        <v>#N/A</v>
      </c>
      <c r="G941" t="e">
        <f ca="1"/>
        <v>#N/A</v>
      </c>
      <c r="H941" t="e">
        <f ca="1"/>
        <v>#N/A</v>
      </c>
      <c r="I941" t="e">
        <f ca="1"/>
        <v>#N/A</v>
      </c>
      <c r="J941" t="e">
        <f ca="1"/>
        <v>#N/A</v>
      </c>
      <c r="K941" t="e">
        <f ca="1"/>
        <v>#N/A</v>
      </c>
    </row>
    <row r="942" spans="1:11" x14ac:dyDescent="0.25">
      <c r="A942" s="2" t="e">
        <f ca="1"/>
        <v>#N/A</v>
      </c>
      <c r="C942" t="e">
        <f ca="1"/>
        <v>#N/A</v>
      </c>
      <c r="D942" t="e">
        <f ca="1"/>
        <v>#N/A</v>
      </c>
      <c r="E942" t="e">
        <f ca="1"/>
        <v>#N/A</v>
      </c>
      <c r="F942" t="e">
        <f ca="1"/>
        <v>#N/A</v>
      </c>
      <c r="G942" t="e">
        <f ca="1"/>
        <v>#N/A</v>
      </c>
      <c r="H942" t="e">
        <f ca="1"/>
        <v>#N/A</v>
      </c>
      <c r="I942" t="e">
        <f ca="1"/>
        <v>#N/A</v>
      </c>
      <c r="J942" t="e">
        <f ca="1"/>
        <v>#N/A</v>
      </c>
      <c r="K942" t="e">
        <f ca="1"/>
        <v>#N/A</v>
      </c>
    </row>
    <row r="943" spans="1:11" x14ac:dyDescent="0.25">
      <c r="A943" s="2" t="e">
        <f ca="1"/>
        <v>#N/A</v>
      </c>
      <c r="C943" t="e">
        <f ca="1"/>
        <v>#N/A</v>
      </c>
      <c r="D943" t="e">
        <f ca="1"/>
        <v>#N/A</v>
      </c>
      <c r="E943" t="e">
        <f ca="1"/>
        <v>#N/A</v>
      </c>
      <c r="F943" t="e">
        <f ca="1"/>
        <v>#N/A</v>
      </c>
      <c r="G943" t="e">
        <f ca="1"/>
        <v>#N/A</v>
      </c>
      <c r="H943" t="e">
        <f ca="1"/>
        <v>#N/A</v>
      </c>
      <c r="I943" t="e">
        <f ca="1"/>
        <v>#N/A</v>
      </c>
      <c r="J943" t="e">
        <f ca="1"/>
        <v>#N/A</v>
      </c>
      <c r="K943" t="e">
        <f ca="1"/>
        <v>#N/A</v>
      </c>
    </row>
    <row r="944" spans="1:11" x14ac:dyDescent="0.25">
      <c r="A944" s="2" t="e">
        <f ca="1"/>
        <v>#N/A</v>
      </c>
      <c r="C944" t="e">
        <f ca="1"/>
        <v>#N/A</v>
      </c>
      <c r="D944" t="e">
        <f ca="1"/>
        <v>#N/A</v>
      </c>
      <c r="E944" t="e">
        <f ca="1"/>
        <v>#N/A</v>
      </c>
      <c r="F944" t="e">
        <f ca="1"/>
        <v>#N/A</v>
      </c>
      <c r="G944" t="e">
        <f ca="1"/>
        <v>#N/A</v>
      </c>
      <c r="H944" t="e">
        <f ca="1"/>
        <v>#N/A</v>
      </c>
      <c r="I944" t="e">
        <f ca="1"/>
        <v>#N/A</v>
      </c>
      <c r="J944" t="e">
        <f ca="1"/>
        <v>#N/A</v>
      </c>
      <c r="K944" t="e">
        <f ca="1"/>
        <v>#N/A</v>
      </c>
    </row>
    <row r="945" spans="1:11" x14ac:dyDescent="0.25">
      <c r="A945" s="2" t="e">
        <f ca="1"/>
        <v>#N/A</v>
      </c>
      <c r="C945" t="e">
        <f ca="1"/>
        <v>#N/A</v>
      </c>
      <c r="D945" t="e">
        <f ca="1"/>
        <v>#N/A</v>
      </c>
      <c r="E945" t="e">
        <f ca="1"/>
        <v>#N/A</v>
      </c>
      <c r="F945" t="e">
        <f ca="1"/>
        <v>#N/A</v>
      </c>
      <c r="G945" t="e">
        <f ca="1"/>
        <v>#N/A</v>
      </c>
      <c r="H945" t="e">
        <f ca="1"/>
        <v>#N/A</v>
      </c>
      <c r="I945" t="e">
        <f ca="1"/>
        <v>#N/A</v>
      </c>
      <c r="J945" t="e">
        <f ca="1"/>
        <v>#N/A</v>
      </c>
      <c r="K945" t="e">
        <f ca="1"/>
        <v>#N/A</v>
      </c>
    </row>
    <row r="946" spans="1:11" x14ac:dyDescent="0.25">
      <c r="A946" s="2" t="e">
        <f ca="1"/>
        <v>#N/A</v>
      </c>
      <c r="C946" t="e">
        <f ca="1"/>
        <v>#N/A</v>
      </c>
      <c r="D946" t="e">
        <f ca="1"/>
        <v>#N/A</v>
      </c>
      <c r="E946" t="e">
        <f ca="1"/>
        <v>#N/A</v>
      </c>
      <c r="F946" t="e">
        <f ca="1"/>
        <v>#N/A</v>
      </c>
      <c r="G946" t="e">
        <f ca="1"/>
        <v>#N/A</v>
      </c>
      <c r="H946" t="e">
        <f ca="1"/>
        <v>#N/A</v>
      </c>
      <c r="I946" t="e">
        <f ca="1"/>
        <v>#N/A</v>
      </c>
      <c r="J946" t="e">
        <f ca="1"/>
        <v>#N/A</v>
      </c>
      <c r="K946" t="e">
        <f ca="1"/>
        <v>#N/A</v>
      </c>
    </row>
    <row r="947" spans="1:11" x14ac:dyDescent="0.25">
      <c r="A947" s="2" t="e">
        <f ca="1"/>
        <v>#N/A</v>
      </c>
      <c r="C947" t="e">
        <f ca="1"/>
        <v>#N/A</v>
      </c>
      <c r="D947" t="e">
        <f ca="1"/>
        <v>#N/A</v>
      </c>
      <c r="E947" t="e">
        <f ca="1"/>
        <v>#N/A</v>
      </c>
      <c r="F947" t="e">
        <f ca="1"/>
        <v>#N/A</v>
      </c>
      <c r="G947" t="e">
        <f ca="1"/>
        <v>#N/A</v>
      </c>
      <c r="H947" t="e">
        <f ca="1"/>
        <v>#N/A</v>
      </c>
      <c r="I947" t="e">
        <f ca="1"/>
        <v>#N/A</v>
      </c>
      <c r="J947" t="e">
        <f ca="1"/>
        <v>#N/A</v>
      </c>
      <c r="K947" t="e">
        <f ca="1"/>
        <v>#N/A</v>
      </c>
    </row>
    <row r="948" spans="1:11" x14ac:dyDescent="0.25">
      <c r="A948" s="2" t="e">
        <f ca="1"/>
        <v>#N/A</v>
      </c>
      <c r="C948" t="e">
        <f ca="1"/>
        <v>#N/A</v>
      </c>
      <c r="D948" t="e">
        <f ca="1"/>
        <v>#N/A</v>
      </c>
      <c r="E948" t="e">
        <f ca="1"/>
        <v>#N/A</v>
      </c>
      <c r="F948" t="e">
        <f ca="1"/>
        <v>#N/A</v>
      </c>
      <c r="G948" t="e">
        <f ca="1"/>
        <v>#N/A</v>
      </c>
      <c r="H948" t="e">
        <f ca="1"/>
        <v>#N/A</v>
      </c>
      <c r="I948" t="e">
        <f ca="1"/>
        <v>#N/A</v>
      </c>
      <c r="J948" t="e">
        <f ca="1"/>
        <v>#N/A</v>
      </c>
      <c r="K948" t="e">
        <f ca="1"/>
        <v>#N/A</v>
      </c>
    </row>
    <row r="949" spans="1:11" x14ac:dyDescent="0.25">
      <c r="A949" s="2" t="e">
        <f ca="1"/>
        <v>#N/A</v>
      </c>
      <c r="C949" t="e">
        <f ca="1"/>
        <v>#N/A</v>
      </c>
      <c r="D949" t="e">
        <f ca="1"/>
        <v>#N/A</v>
      </c>
      <c r="E949" t="e">
        <f ca="1"/>
        <v>#N/A</v>
      </c>
      <c r="F949" t="e">
        <f ca="1"/>
        <v>#N/A</v>
      </c>
      <c r="G949" t="e">
        <f ca="1"/>
        <v>#N/A</v>
      </c>
      <c r="H949" t="e">
        <f ca="1"/>
        <v>#N/A</v>
      </c>
      <c r="I949" t="e">
        <f ca="1"/>
        <v>#N/A</v>
      </c>
      <c r="J949" t="e">
        <f ca="1"/>
        <v>#N/A</v>
      </c>
      <c r="K949" t="e">
        <f ca="1"/>
        <v>#N/A</v>
      </c>
    </row>
    <row r="950" spans="1:11" x14ac:dyDescent="0.25">
      <c r="A950" s="2" t="e">
        <f ca="1"/>
        <v>#N/A</v>
      </c>
      <c r="C950" t="e">
        <f ca="1"/>
        <v>#N/A</v>
      </c>
      <c r="D950" t="e">
        <f ca="1"/>
        <v>#N/A</v>
      </c>
      <c r="E950" t="e">
        <f ca="1"/>
        <v>#N/A</v>
      </c>
      <c r="F950" t="e">
        <f ca="1"/>
        <v>#N/A</v>
      </c>
      <c r="G950" t="e">
        <f ca="1"/>
        <v>#N/A</v>
      </c>
      <c r="H950" t="e">
        <f ca="1"/>
        <v>#N/A</v>
      </c>
      <c r="I950" t="e">
        <f ca="1"/>
        <v>#N/A</v>
      </c>
      <c r="J950" t="e">
        <f ca="1"/>
        <v>#N/A</v>
      </c>
      <c r="K950" t="e">
        <f ca="1"/>
        <v>#N/A</v>
      </c>
    </row>
    <row r="951" spans="1:11" x14ac:dyDescent="0.25">
      <c r="A951" s="2" t="e">
        <f ca="1"/>
        <v>#N/A</v>
      </c>
      <c r="C951" t="e">
        <f ca="1"/>
        <v>#N/A</v>
      </c>
      <c r="D951" t="e">
        <f ca="1"/>
        <v>#N/A</v>
      </c>
      <c r="E951" t="e">
        <f ca="1"/>
        <v>#N/A</v>
      </c>
      <c r="F951" t="e">
        <f ca="1"/>
        <v>#N/A</v>
      </c>
      <c r="G951" t="e">
        <f ca="1"/>
        <v>#N/A</v>
      </c>
      <c r="H951" t="e">
        <f ca="1"/>
        <v>#N/A</v>
      </c>
      <c r="I951" t="e">
        <f ca="1"/>
        <v>#N/A</v>
      </c>
      <c r="J951" t="e">
        <f ca="1"/>
        <v>#N/A</v>
      </c>
      <c r="K951" t="e">
        <f ca="1"/>
        <v>#N/A</v>
      </c>
    </row>
    <row r="952" spans="1:11" x14ac:dyDescent="0.25">
      <c r="A952" s="2" t="e">
        <f ca="1"/>
        <v>#N/A</v>
      </c>
      <c r="C952" t="e">
        <f ca="1"/>
        <v>#N/A</v>
      </c>
      <c r="D952" t="e">
        <f ca="1"/>
        <v>#N/A</v>
      </c>
      <c r="E952" t="e">
        <f ca="1"/>
        <v>#N/A</v>
      </c>
      <c r="F952" t="e">
        <f ca="1"/>
        <v>#N/A</v>
      </c>
      <c r="G952" t="e">
        <f ca="1"/>
        <v>#N/A</v>
      </c>
      <c r="H952" t="e">
        <f ca="1"/>
        <v>#N/A</v>
      </c>
      <c r="I952" t="e">
        <f ca="1"/>
        <v>#N/A</v>
      </c>
      <c r="J952" t="e">
        <f ca="1"/>
        <v>#N/A</v>
      </c>
      <c r="K952" t="e">
        <f ca="1"/>
        <v>#N/A</v>
      </c>
    </row>
    <row r="953" spans="1:11" x14ac:dyDescent="0.25">
      <c r="A953" s="2" t="e">
        <f ca="1"/>
        <v>#N/A</v>
      </c>
      <c r="C953" t="e">
        <f ca="1"/>
        <v>#N/A</v>
      </c>
      <c r="D953" t="e">
        <f ca="1"/>
        <v>#N/A</v>
      </c>
      <c r="E953" t="e">
        <f ca="1"/>
        <v>#N/A</v>
      </c>
      <c r="F953" t="e">
        <f ca="1"/>
        <v>#N/A</v>
      </c>
      <c r="G953" t="e">
        <f ca="1"/>
        <v>#N/A</v>
      </c>
      <c r="H953" t="e">
        <f ca="1"/>
        <v>#N/A</v>
      </c>
      <c r="I953" t="e">
        <f ca="1"/>
        <v>#N/A</v>
      </c>
      <c r="J953" t="e">
        <f ca="1"/>
        <v>#N/A</v>
      </c>
      <c r="K953" t="e">
        <f ca="1"/>
        <v>#N/A</v>
      </c>
    </row>
    <row r="954" spans="1:11" x14ac:dyDescent="0.25">
      <c r="A954" s="2" t="e">
        <f ca="1"/>
        <v>#N/A</v>
      </c>
      <c r="C954" t="e">
        <f ca="1"/>
        <v>#N/A</v>
      </c>
      <c r="D954" t="e">
        <f ca="1"/>
        <v>#N/A</v>
      </c>
      <c r="E954" t="e">
        <f ca="1"/>
        <v>#N/A</v>
      </c>
      <c r="F954" t="e">
        <f ca="1"/>
        <v>#N/A</v>
      </c>
      <c r="G954" t="e">
        <f ca="1"/>
        <v>#N/A</v>
      </c>
      <c r="H954" t="e">
        <f ca="1"/>
        <v>#N/A</v>
      </c>
      <c r="I954" t="e">
        <f ca="1"/>
        <v>#N/A</v>
      </c>
      <c r="J954" t="e">
        <f ca="1"/>
        <v>#N/A</v>
      </c>
      <c r="K954" t="e">
        <f ca="1"/>
        <v>#N/A</v>
      </c>
    </row>
    <row r="955" spans="1:11" x14ac:dyDescent="0.25">
      <c r="A955" s="2" t="e">
        <f ca="1"/>
        <v>#N/A</v>
      </c>
      <c r="C955" t="e">
        <f ca="1"/>
        <v>#N/A</v>
      </c>
      <c r="D955" t="e">
        <f ca="1"/>
        <v>#N/A</v>
      </c>
      <c r="E955" t="e">
        <f ca="1"/>
        <v>#N/A</v>
      </c>
      <c r="F955" t="e">
        <f ca="1"/>
        <v>#N/A</v>
      </c>
      <c r="G955" t="e">
        <f ca="1"/>
        <v>#N/A</v>
      </c>
      <c r="H955" t="e">
        <f ca="1"/>
        <v>#N/A</v>
      </c>
      <c r="I955" t="e">
        <f ca="1"/>
        <v>#N/A</v>
      </c>
      <c r="J955" t="e">
        <f ca="1"/>
        <v>#N/A</v>
      </c>
      <c r="K955" t="e">
        <f ca="1"/>
        <v>#N/A</v>
      </c>
    </row>
    <row r="956" spans="1:11" x14ac:dyDescent="0.25">
      <c r="A956" s="2" t="e">
        <f ca="1"/>
        <v>#N/A</v>
      </c>
      <c r="C956" t="e">
        <f ca="1"/>
        <v>#N/A</v>
      </c>
      <c r="D956" t="e">
        <f ca="1"/>
        <v>#N/A</v>
      </c>
      <c r="E956" t="e">
        <f ca="1"/>
        <v>#N/A</v>
      </c>
      <c r="F956" t="e">
        <f ca="1"/>
        <v>#N/A</v>
      </c>
      <c r="G956" t="e">
        <f ca="1"/>
        <v>#N/A</v>
      </c>
      <c r="H956" t="e">
        <f ca="1"/>
        <v>#N/A</v>
      </c>
      <c r="I956" t="e">
        <f ca="1"/>
        <v>#N/A</v>
      </c>
      <c r="J956" t="e">
        <f ca="1"/>
        <v>#N/A</v>
      </c>
      <c r="K956" t="e">
        <f ca="1"/>
        <v>#N/A</v>
      </c>
    </row>
    <row r="957" spans="1:11" x14ac:dyDescent="0.25">
      <c r="A957" s="2" t="e">
        <f ca="1"/>
        <v>#N/A</v>
      </c>
      <c r="C957" t="e">
        <f ca="1"/>
        <v>#N/A</v>
      </c>
      <c r="D957" t="e">
        <f ca="1"/>
        <v>#N/A</v>
      </c>
      <c r="E957" t="e">
        <f ca="1"/>
        <v>#N/A</v>
      </c>
      <c r="F957" t="e">
        <f ca="1"/>
        <v>#N/A</v>
      </c>
      <c r="G957" t="e">
        <f ca="1"/>
        <v>#N/A</v>
      </c>
      <c r="H957" t="e">
        <f ca="1"/>
        <v>#N/A</v>
      </c>
      <c r="I957" t="e">
        <f ca="1"/>
        <v>#N/A</v>
      </c>
      <c r="J957" t="e">
        <f ca="1"/>
        <v>#N/A</v>
      </c>
      <c r="K957" t="e">
        <f ca="1"/>
        <v>#N/A</v>
      </c>
    </row>
    <row r="958" spans="1:11" x14ac:dyDescent="0.25">
      <c r="A958" s="2" t="e">
        <f ca="1"/>
        <v>#N/A</v>
      </c>
      <c r="C958" t="e">
        <f ca="1"/>
        <v>#N/A</v>
      </c>
      <c r="D958" t="e">
        <f ca="1"/>
        <v>#N/A</v>
      </c>
      <c r="E958" t="e">
        <f ca="1"/>
        <v>#N/A</v>
      </c>
      <c r="F958" t="e">
        <f ca="1"/>
        <v>#N/A</v>
      </c>
      <c r="G958" t="e">
        <f ca="1"/>
        <v>#N/A</v>
      </c>
      <c r="H958" t="e">
        <f ca="1"/>
        <v>#N/A</v>
      </c>
      <c r="I958" t="e">
        <f ca="1"/>
        <v>#N/A</v>
      </c>
      <c r="J958" t="e">
        <f ca="1"/>
        <v>#N/A</v>
      </c>
      <c r="K958" t="e">
        <f ca="1"/>
        <v>#N/A</v>
      </c>
    </row>
    <row r="959" spans="1:11" x14ac:dyDescent="0.25">
      <c r="A959" s="2" t="e">
        <f ca="1"/>
        <v>#N/A</v>
      </c>
      <c r="C959" t="e">
        <f ca="1"/>
        <v>#N/A</v>
      </c>
      <c r="D959" t="e">
        <f ca="1"/>
        <v>#N/A</v>
      </c>
      <c r="E959" t="e">
        <f ca="1"/>
        <v>#N/A</v>
      </c>
      <c r="F959" t="e">
        <f ca="1"/>
        <v>#N/A</v>
      </c>
      <c r="G959" t="e">
        <f ca="1"/>
        <v>#N/A</v>
      </c>
      <c r="H959" t="e">
        <f ca="1"/>
        <v>#N/A</v>
      </c>
      <c r="I959" t="e">
        <f ca="1"/>
        <v>#N/A</v>
      </c>
      <c r="J959" t="e">
        <f ca="1"/>
        <v>#N/A</v>
      </c>
      <c r="K959" t="e">
        <f ca="1"/>
        <v>#N/A</v>
      </c>
    </row>
    <row r="960" spans="1:11" x14ac:dyDescent="0.25">
      <c r="A960" s="2" t="e">
        <f ca="1"/>
        <v>#N/A</v>
      </c>
      <c r="C960" t="e">
        <f ca="1"/>
        <v>#N/A</v>
      </c>
      <c r="D960" t="e">
        <f ca="1"/>
        <v>#N/A</v>
      </c>
      <c r="E960" t="e">
        <f ca="1"/>
        <v>#N/A</v>
      </c>
      <c r="F960" t="e">
        <f ca="1"/>
        <v>#N/A</v>
      </c>
      <c r="G960" t="e">
        <f ca="1"/>
        <v>#N/A</v>
      </c>
      <c r="H960" t="e">
        <f ca="1"/>
        <v>#N/A</v>
      </c>
      <c r="I960" t="e">
        <f ca="1"/>
        <v>#N/A</v>
      </c>
      <c r="J960" t="e">
        <f ca="1"/>
        <v>#N/A</v>
      </c>
      <c r="K960" t="e">
        <f ca="1"/>
        <v>#N/A</v>
      </c>
    </row>
    <row r="961" spans="1:11" x14ac:dyDescent="0.25">
      <c r="A961" s="2" t="e">
        <f ca="1"/>
        <v>#N/A</v>
      </c>
      <c r="C961" t="e">
        <f ca="1"/>
        <v>#N/A</v>
      </c>
      <c r="D961" t="e">
        <f ca="1"/>
        <v>#N/A</v>
      </c>
      <c r="E961" t="e">
        <f ca="1"/>
        <v>#N/A</v>
      </c>
      <c r="F961" t="e">
        <f ca="1"/>
        <v>#N/A</v>
      </c>
      <c r="G961" t="e">
        <f ca="1"/>
        <v>#N/A</v>
      </c>
      <c r="H961" t="e">
        <f ca="1"/>
        <v>#N/A</v>
      </c>
      <c r="I961" t="e">
        <f ca="1"/>
        <v>#N/A</v>
      </c>
      <c r="J961" t="e">
        <f ca="1"/>
        <v>#N/A</v>
      </c>
      <c r="K961" t="e">
        <f ca="1"/>
        <v>#N/A</v>
      </c>
    </row>
    <row r="962" spans="1:11" x14ac:dyDescent="0.25">
      <c r="A962" s="2" t="e">
        <f ca="1"/>
        <v>#N/A</v>
      </c>
      <c r="C962" t="e">
        <f ca="1"/>
        <v>#N/A</v>
      </c>
      <c r="D962" t="e">
        <f ca="1"/>
        <v>#N/A</v>
      </c>
      <c r="E962" t="e">
        <f ca="1"/>
        <v>#N/A</v>
      </c>
      <c r="F962" t="e">
        <f ca="1"/>
        <v>#N/A</v>
      </c>
      <c r="G962" t="e">
        <f ca="1"/>
        <v>#N/A</v>
      </c>
      <c r="H962" t="e">
        <f ca="1"/>
        <v>#N/A</v>
      </c>
      <c r="I962" t="e">
        <f ca="1"/>
        <v>#N/A</v>
      </c>
      <c r="J962" t="e">
        <f ca="1"/>
        <v>#N/A</v>
      </c>
      <c r="K962" t="e">
        <f ca="1"/>
        <v>#N/A</v>
      </c>
    </row>
    <row r="963" spans="1:11" x14ac:dyDescent="0.25">
      <c r="A963" s="2" t="e">
        <f ca="1"/>
        <v>#N/A</v>
      </c>
      <c r="C963" t="e">
        <f ca="1"/>
        <v>#N/A</v>
      </c>
      <c r="D963" t="e">
        <f ca="1"/>
        <v>#N/A</v>
      </c>
      <c r="E963" t="e">
        <f ca="1"/>
        <v>#N/A</v>
      </c>
      <c r="F963" t="e">
        <f ca="1"/>
        <v>#N/A</v>
      </c>
      <c r="G963" t="e">
        <f ca="1"/>
        <v>#N/A</v>
      </c>
      <c r="H963" t="e">
        <f ca="1"/>
        <v>#N/A</v>
      </c>
      <c r="I963" t="e">
        <f ca="1"/>
        <v>#N/A</v>
      </c>
      <c r="J963" t="e">
        <f ca="1"/>
        <v>#N/A</v>
      </c>
      <c r="K963" t="e">
        <f ca="1"/>
        <v>#N/A</v>
      </c>
    </row>
    <row r="964" spans="1:11" x14ac:dyDescent="0.25">
      <c r="A964" s="2" t="e">
        <f ca="1"/>
        <v>#N/A</v>
      </c>
      <c r="C964" t="e">
        <f ca="1"/>
        <v>#N/A</v>
      </c>
      <c r="D964" t="e">
        <f ca="1"/>
        <v>#N/A</v>
      </c>
      <c r="E964" t="e">
        <f ca="1"/>
        <v>#N/A</v>
      </c>
      <c r="F964" t="e">
        <f ca="1"/>
        <v>#N/A</v>
      </c>
      <c r="G964" t="e">
        <f ca="1"/>
        <v>#N/A</v>
      </c>
      <c r="H964" t="e">
        <f ca="1"/>
        <v>#N/A</v>
      </c>
      <c r="I964" t="e">
        <f ca="1"/>
        <v>#N/A</v>
      </c>
      <c r="J964" t="e">
        <f ca="1"/>
        <v>#N/A</v>
      </c>
      <c r="K964" t="e">
        <f ca="1"/>
        <v>#N/A</v>
      </c>
    </row>
    <row r="965" spans="1:11" x14ac:dyDescent="0.25">
      <c r="A965" s="2" t="e">
        <f ca="1"/>
        <v>#N/A</v>
      </c>
      <c r="C965" t="e">
        <f ca="1"/>
        <v>#N/A</v>
      </c>
      <c r="D965" t="e">
        <f ca="1"/>
        <v>#N/A</v>
      </c>
      <c r="E965" t="e">
        <f ca="1"/>
        <v>#N/A</v>
      </c>
      <c r="F965" t="e">
        <f ca="1"/>
        <v>#N/A</v>
      </c>
      <c r="G965" t="e">
        <f ca="1"/>
        <v>#N/A</v>
      </c>
      <c r="H965" t="e">
        <f ca="1"/>
        <v>#N/A</v>
      </c>
      <c r="I965" t="e">
        <f ca="1"/>
        <v>#N/A</v>
      </c>
      <c r="J965" t="e">
        <f ca="1"/>
        <v>#N/A</v>
      </c>
      <c r="K965" t="e">
        <f ca="1"/>
        <v>#N/A</v>
      </c>
    </row>
    <row r="966" spans="1:11" x14ac:dyDescent="0.25">
      <c r="A966" s="2" t="e">
        <f ca="1"/>
        <v>#N/A</v>
      </c>
      <c r="C966" t="e">
        <f ca="1"/>
        <v>#N/A</v>
      </c>
      <c r="D966" t="e">
        <f ca="1"/>
        <v>#N/A</v>
      </c>
      <c r="E966" t="e">
        <f ca="1"/>
        <v>#N/A</v>
      </c>
      <c r="F966" t="e">
        <f ca="1"/>
        <v>#N/A</v>
      </c>
      <c r="G966" t="e">
        <f ca="1"/>
        <v>#N/A</v>
      </c>
      <c r="H966" t="e">
        <f ca="1"/>
        <v>#N/A</v>
      </c>
      <c r="I966" t="e">
        <f ca="1"/>
        <v>#N/A</v>
      </c>
      <c r="J966" t="e">
        <f ca="1"/>
        <v>#N/A</v>
      </c>
      <c r="K966" t="e">
        <f ca="1"/>
        <v>#N/A</v>
      </c>
    </row>
    <row r="967" spans="1:11" x14ac:dyDescent="0.25">
      <c r="A967" s="2" t="e">
        <f ca="1"/>
        <v>#N/A</v>
      </c>
      <c r="C967" t="e">
        <f ca="1"/>
        <v>#N/A</v>
      </c>
      <c r="D967" t="e">
        <f ca="1"/>
        <v>#N/A</v>
      </c>
      <c r="E967" t="e">
        <f ca="1"/>
        <v>#N/A</v>
      </c>
      <c r="F967" t="e">
        <f ca="1"/>
        <v>#N/A</v>
      </c>
      <c r="G967" t="e">
        <f ca="1"/>
        <v>#N/A</v>
      </c>
      <c r="H967" t="e">
        <f ca="1"/>
        <v>#N/A</v>
      </c>
      <c r="I967" t="e">
        <f ca="1"/>
        <v>#N/A</v>
      </c>
      <c r="J967" t="e">
        <f ca="1"/>
        <v>#N/A</v>
      </c>
      <c r="K967" t="e">
        <f ca="1"/>
        <v>#N/A</v>
      </c>
    </row>
    <row r="968" spans="1:11" x14ac:dyDescent="0.25">
      <c r="A968" s="2" t="e">
        <f ca="1"/>
        <v>#N/A</v>
      </c>
      <c r="C968" t="e">
        <f ca="1"/>
        <v>#N/A</v>
      </c>
      <c r="D968" t="e">
        <f ca="1"/>
        <v>#N/A</v>
      </c>
      <c r="E968" t="e">
        <f ca="1"/>
        <v>#N/A</v>
      </c>
      <c r="F968" t="e">
        <f ca="1"/>
        <v>#N/A</v>
      </c>
      <c r="G968" t="e">
        <f ca="1"/>
        <v>#N/A</v>
      </c>
      <c r="H968" t="e">
        <f ca="1"/>
        <v>#N/A</v>
      </c>
      <c r="I968" t="e">
        <f ca="1"/>
        <v>#N/A</v>
      </c>
      <c r="J968" t="e">
        <f ca="1"/>
        <v>#N/A</v>
      </c>
      <c r="K968" t="e">
        <f ca="1"/>
        <v>#N/A</v>
      </c>
    </row>
    <row r="969" spans="1:11" x14ac:dyDescent="0.25">
      <c r="A969" s="2" t="e">
        <f ca="1"/>
        <v>#N/A</v>
      </c>
      <c r="C969" t="e">
        <f ca="1"/>
        <v>#N/A</v>
      </c>
      <c r="D969" t="e">
        <f ca="1"/>
        <v>#N/A</v>
      </c>
      <c r="E969" t="e">
        <f ca="1"/>
        <v>#N/A</v>
      </c>
      <c r="F969" t="e">
        <f ca="1"/>
        <v>#N/A</v>
      </c>
      <c r="G969" t="e">
        <f ca="1"/>
        <v>#N/A</v>
      </c>
      <c r="H969" t="e">
        <f ca="1"/>
        <v>#N/A</v>
      </c>
      <c r="I969" t="e">
        <f ca="1"/>
        <v>#N/A</v>
      </c>
      <c r="J969" t="e">
        <f ca="1"/>
        <v>#N/A</v>
      </c>
      <c r="K969" t="e">
        <f ca="1"/>
        <v>#N/A</v>
      </c>
    </row>
    <row r="970" spans="1:11" x14ac:dyDescent="0.25">
      <c r="A970" s="2" t="e">
        <f ca="1"/>
        <v>#N/A</v>
      </c>
      <c r="C970" t="e">
        <f ca="1"/>
        <v>#N/A</v>
      </c>
      <c r="D970" t="e">
        <f ca="1"/>
        <v>#N/A</v>
      </c>
      <c r="E970" t="e">
        <f ca="1"/>
        <v>#N/A</v>
      </c>
      <c r="F970" t="e">
        <f ca="1"/>
        <v>#N/A</v>
      </c>
      <c r="G970" t="e">
        <f ca="1"/>
        <v>#N/A</v>
      </c>
      <c r="H970" t="e">
        <f ca="1"/>
        <v>#N/A</v>
      </c>
      <c r="I970" t="e">
        <f ca="1"/>
        <v>#N/A</v>
      </c>
      <c r="J970" t="e">
        <f ca="1"/>
        <v>#N/A</v>
      </c>
      <c r="K970" t="e">
        <f ca="1"/>
        <v>#N/A</v>
      </c>
    </row>
    <row r="971" spans="1:11" x14ac:dyDescent="0.25">
      <c r="A971" s="2" t="e">
        <f ca="1"/>
        <v>#N/A</v>
      </c>
      <c r="C971" t="e">
        <f ca="1"/>
        <v>#N/A</v>
      </c>
      <c r="D971" t="e">
        <f ca="1"/>
        <v>#N/A</v>
      </c>
      <c r="E971" t="e">
        <f ca="1"/>
        <v>#N/A</v>
      </c>
      <c r="F971" t="e">
        <f ca="1"/>
        <v>#N/A</v>
      </c>
      <c r="G971" t="e">
        <f ca="1"/>
        <v>#N/A</v>
      </c>
      <c r="H971" t="e">
        <f ca="1"/>
        <v>#N/A</v>
      </c>
      <c r="I971" t="e">
        <f ca="1"/>
        <v>#N/A</v>
      </c>
      <c r="J971" t="e">
        <f ca="1"/>
        <v>#N/A</v>
      </c>
      <c r="K971" t="e">
        <f ca="1"/>
        <v>#N/A</v>
      </c>
    </row>
    <row r="972" spans="1:11" x14ac:dyDescent="0.25">
      <c r="A972" s="2" t="e">
        <f ca="1"/>
        <v>#N/A</v>
      </c>
      <c r="C972" t="e">
        <f ca="1"/>
        <v>#N/A</v>
      </c>
      <c r="D972" t="e">
        <f ca="1"/>
        <v>#N/A</v>
      </c>
      <c r="E972" t="e">
        <f ca="1"/>
        <v>#N/A</v>
      </c>
      <c r="F972" t="e">
        <f ca="1"/>
        <v>#N/A</v>
      </c>
      <c r="G972" t="e">
        <f ca="1"/>
        <v>#N/A</v>
      </c>
      <c r="H972" t="e">
        <f ca="1"/>
        <v>#N/A</v>
      </c>
      <c r="I972" t="e">
        <f ca="1"/>
        <v>#N/A</v>
      </c>
      <c r="J972" t="e">
        <f ca="1"/>
        <v>#N/A</v>
      </c>
      <c r="K972" t="e">
        <f ca="1"/>
        <v>#N/A</v>
      </c>
    </row>
    <row r="973" spans="1:11" x14ac:dyDescent="0.25">
      <c r="A973" s="2" t="e">
        <f ca="1"/>
        <v>#N/A</v>
      </c>
      <c r="C973" t="e">
        <f ca="1"/>
        <v>#N/A</v>
      </c>
      <c r="D973" t="e">
        <f ca="1"/>
        <v>#N/A</v>
      </c>
      <c r="E973" t="e">
        <f ca="1"/>
        <v>#N/A</v>
      </c>
      <c r="F973" t="e">
        <f ca="1"/>
        <v>#N/A</v>
      </c>
      <c r="G973" t="e">
        <f ca="1"/>
        <v>#N/A</v>
      </c>
      <c r="H973" t="e">
        <f ca="1"/>
        <v>#N/A</v>
      </c>
      <c r="I973" t="e">
        <f ca="1"/>
        <v>#N/A</v>
      </c>
      <c r="J973" t="e">
        <f ca="1"/>
        <v>#N/A</v>
      </c>
      <c r="K973" t="e">
        <f ca="1"/>
        <v>#N/A</v>
      </c>
    </row>
    <row r="974" spans="1:11" x14ac:dyDescent="0.25">
      <c r="A974" s="2" t="e">
        <f ca="1"/>
        <v>#N/A</v>
      </c>
      <c r="C974" t="e">
        <f ca="1"/>
        <v>#N/A</v>
      </c>
      <c r="D974" t="e">
        <f ca="1"/>
        <v>#N/A</v>
      </c>
      <c r="E974" t="e">
        <f ca="1"/>
        <v>#N/A</v>
      </c>
      <c r="F974" t="e">
        <f ca="1"/>
        <v>#N/A</v>
      </c>
      <c r="G974" t="e">
        <f ca="1"/>
        <v>#N/A</v>
      </c>
      <c r="H974" t="e">
        <f ca="1"/>
        <v>#N/A</v>
      </c>
      <c r="I974" t="e">
        <f ca="1"/>
        <v>#N/A</v>
      </c>
      <c r="J974" t="e">
        <f ca="1"/>
        <v>#N/A</v>
      </c>
      <c r="K974" t="e">
        <f ca="1"/>
        <v>#N/A</v>
      </c>
    </row>
    <row r="975" spans="1:11" x14ac:dyDescent="0.25">
      <c r="A975" s="2" t="e">
        <f ca="1"/>
        <v>#N/A</v>
      </c>
      <c r="C975" t="e">
        <f ca="1"/>
        <v>#N/A</v>
      </c>
      <c r="D975" t="e">
        <f ca="1"/>
        <v>#N/A</v>
      </c>
      <c r="E975" t="e">
        <f ca="1"/>
        <v>#N/A</v>
      </c>
      <c r="F975" t="e">
        <f ca="1"/>
        <v>#N/A</v>
      </c>
      <c r="G975" t="e">
        <f ca="1"/>
        <v>#N/A</v>
      </c>
      <c r="H975" t="e">
        <f ca="1"/>
        <v>#N/A</v>
      </c>
      <c r="I975" t="e">
        <f ca="1"/>
        <v>#N/A</v>
      </c>
      <c r="J975" t="e">
        <f ca="1"/>
        <v>#N/A</v>
      </c>
      <c r="K975" t="e">
        <f ca="1"/>
        <v>#N/A</v>
      </c>
    </row>
    <row r="976" spans="1:11" x14ac:dyDescent="0.25">
      <c r="A976" s="2" t="e">
        <f ca="1"/>
        <v>#N/A</v>
      </c>
      <c r="C976" t="e">
        <f ca="1"/>
        <v>#N/A</v>
      </c>
      <c r="D976" t="e">
        <f ca="1"/>
        <v>#N/A</v>
      </c>
      <c r="E976" t="e">
        <f ca="1"/>
        <v>#N/A</v>
      </c>
      <c r="F976" t="e">
        <f ca="1"/>
        <v>#N/A</v>
      </c>
      <c r="G976" t="e">
        <f ca="1"/>
        <v>#N/A</v>
      </c>
      <c r="H976" t="e">
        <f ca="1"/>
        <v>#N/A</v>
      </c>
      <c r="I976" t="e">
        <f ca="1"/>
        <v>#N/A</v>
      </c>
      <c r="J976" t="e">
        <f ca="1"/>
        <v>#N/A</v>
      </c>
      <c r="K976" t="e">
        <f ca="1"/>
        <v>#N/A</v>
      </c>
    </row>
    <row r="977" spans="1:11" x14ac:dyDescent="0.25">
      <c r="A977" s="2" t="e">
        <f ca="1"/>
        <v>#N/A</v>
      </c>
      <c r="C977" t="e">
        <f ca="1"/>
        <v>#N/A</v>
      </c>
      <c r="D977" t="e">
        <f ca="1"/>
        <v>#N/A</v>
      </c>
      <c r="E977" t="e">
        <f ca="1"/>
        <v>#N/A</v>
      </c>
      <c r="F977" t="e">
        <f ca="1"/>
        <v>#N/A</v>
      </c>
      <c r="G977" t="e">
        <f ca="1"/>
        <v>#N/A</v>
      </c>
      <c r="H977" t="e">
        <f ca="1"/>
        <v>#N/A</v>
      </c>
      <c r="I977" t="e">
        <f ca="1"/>
        <v>#N/A</v>
      </c>
      <c r="J977" t="e">
        <f ca="1"/>
        <v>#N/A</v>
      </c>
      <c r="K977" t="e">
        <f ca="1"/>
        <v>#N/A</v>
      </c>
    </row>
    <row r="978" spans="1:11" x14ac:dyDescent="0.25">
      <c r="A978" s="2" t="e">
        <f ca="1"/>
        <v>#N/A</v>
      </c>
      <c r="C978" t="e">
        <f ca="1"/>
        <v>#N/A</v>
      </c>
      <c r="D978" t="e">
        <f ca="1"/>
        <v>#N/A</v>
      </c>
      <c r="E978" t="e">
        <f ca="1"/>
        <v>#N/A</v>
      </c>
      <c r="F978" t="e">
        <f ca="1"/>
        <v>#N/A</v>
      </c>
      <c r="G978" t="e">
        <f ca="1"/>
        <v>#N/A</v>
      </c>
      <c r="H978" t="e">
        <f ca="1"/>
        <v>#N/A</v>
      </c>
      <c r="I978" t="e">
        <f ca="1"/>
        <v>#N/A</v>
      </c>
      <c r="J978" t="e">
        <f ca="1"/>
        <v>#N/A</v>
      </c>
      <c r="K978" t="e">
        <f ca="1"/>
        <v>#N/A</v>
      </c>
    </row>
    <row r="979" spans="1:11" x14ac:dyDescent="0.25">
      <c r="A979" s="2" t="e">
        <f ca="1"/>
        <v>#N/A</v>
      </c>
      <c r="C979" t="e">
        <f ca="1"/>
        <v>#N/A</v>
      </c>
      <c r="D979" t="e">
        <f ca="1"/>
        <v>#N/A</v>
      </c>
      <c r="E979" t="e">
        <f ca="1"/>
        <v>#N/A</v>
      </c>
      <c r="F979" t="e">
        <f ca="1"/>
        <v>#N/A</v>
      </c>
      <c r="G979" t="e">
        <f ca="1"/>
        <v>#N/A</v>
      </c>
      <c r="H979" t="e">
        <f ca="1"/>
        <v>#N/A</v>
      </c>
      <c r="I979" t="e">
        <f ca="1"/>
        <v>#N/A</v>
      </c>
      <c r="J979" t="e">
        <f ca="1"/>
        <v>#N/A</v>
      </c>
      <c r="K979" t="e">
        <f ca="1"/>
        <v>#N/A</v>
      </c>
    </row>
    <row r="980" spans="1:11" x14ac:dyDescent="0.25">
      <c r="A980" s="2" t="e">
        <f ca="1"/>
        <v>#N/A</v>
      </c>
      <c r="C980" t="e">
        <f ca="1"/>
        <v>#N/A</v>
      </c>
      <c r="D980" t="e">
        <f ca="1"/>
        <v>#N/A</v>
      </c>
      <c r="E980" t="e">
        <f ca="1"/>
        <v>#N/A</v>
      </c>
      <c r="F980" t="e">
        <f ca="1"/>
        <v>#N/A</v>
      </c>
      <c r="G980" t="e">
        <f ca="1"/>
        <v>#N/A</v>
      </c>
      <c r="H980" t="e">
        <f ca="1"/>
        <v>#N/A</v>
      </c>
      <c r="I980" t="e">
        <f ca="1"/>
        <v>#N/A</v>
      </c>
      <c r="J980" t="e">
        <f ca="1"/>
        <v>#N/A</v>
      </c>
      <c r="K980" t="e">
        <f ca="1"/>
        <v>#N/A</v>
      </c>
    </row>
    <row r="981" spans="1:11" x14ac:dyDescent="0.25">
      <c r="A981" s="2" t="e">
        <f ca="1"/>
        <v>#N/A</v>
      </c>
      <c r="C981" t="e">
        <f ca="1"/>
        <v>#N/A</v>
      </c>
      <c r="D981" t="e">
        <f ca="1"/>
        <v>#N/A</v>
      </c>
      <c r="E981" t="e">
        <f ca="1"/>
        <v>#N/A</v>
      </c>
      <c r="F981" t="e">
        <f ca="1"/>
        <v>#N/A</v>
      </c>
      <c r="G981" t="e">
        <f ca="1"/>
        <v>#N/A</v>
      </c>
      <c r="H981" t="e">
        <f ca="1"/>
        <v>#N/A</v>
      </c>
      <c r="I981" t="e">
        <f ca="1"/>
        <v>#N/A</v>
      </c>
      <c r="J981" t="e">
        <f ca="1"/>
        <v>#N/A</v>
      </c>
      <c r="K981" t="e">
        <f ca="1"/>
        <v>#N/A</v>
      </c>
    </row>
    <row r="982" spans="1:11" x14ac:dyDescent="0.25">
      <c r="A982" s="2" t="e">
        <f ca="1"/>
        <v>#N/A</v>
      </c>
      <c r="C982" t="e">
        <f ca="1"/>
        <v>#N/A</v>
      </c>
      <c r="D982" t="e">
        <f ca="1"/>
        <v>#N/A</v>
      </c>
      <c r="E982" t="e">
        <f ca="1"/>
        <v>#N/A</v>
      </c>
      <c r="F982" t="e">
        <f ca="1"/>
        <v>#N/A</v>
      </c>
      <c r="G982" t="e">
        <f ca="1"/>
        <v>#N/A</v>
      </c>
      <c r="H982" t="e">
        <f ca="1"/>
        <v>#N/A</v>
      </c>
      <c r="I982" t="e">
        <f ca="1"/>
        <v>#N/A</v>
      </c>
      <c r="J982" t="e">
        <f ca="1"/>
        <v>#N/A</v>
      </c>
      <c r="K982" t="e">
        <f ca="1"/>
        <v>#N/A</v>
      </c>
    </row>
    <row r="983" spans="1:11" x14ac:dyDescent="0.25">
      <c r="A983" s="2" t="e">
        <f ca="1"/>
        <v>#N/A</v>
      </c>
      <c r="C983" t="e">
        <f ca="1"/>
        <v>#N/A</v>
      </c>
      <c r="D983" t="e">
        <f ca="1"/>
        <v>#N/A</v>
      </c>
      <c r="E983" t="e">
        <f ca="1"/>
        <v>#N/A</v>
      </c>
      <c r="F983" t="e">
        <f ca="1"/>
        <v>#N/A</v>
      </c>
      <c r="G983" t="e">
        <f ca="1"/>
        <v>#N/A</v>
      </c>
      <c r="H983" t="e">
        <f ca="1"/>
        <v>#N/A</v>
      </c>
      <c r="I983" t="e">
        <f ca="1"/>
        <v>#N/A</v>
      </c>
      <c r="J983" t="e">
        <f ca="1"/>
        <v>#N/A</v>
      </c>
      <c r="K983" t="e">
        <f ca="1"/>
        <v>#N/A</v>
      </c>
    </row>
    <row r="984" spans="1:11" x14ac:dyDescent="0.25">
      <c r="A984" s="2" t="e">
        <f ca="1"/>
        <v>#N/A</v>
      </c>
      <c r="C984" t="e">
        <f ca="1"/>
        <v>#N/A</v>
      </c>
      <c r="D984" t="e">
        <f ca="1"/>
        <v>#N/A</v>
      </c>
      <c r="E984" t="e">
        <f ca="1"/>
        <v>#N/A</v>
      </c>
      <c r="F984" t="e">
        <f ca="1"/>
        <v>#N/A</v>
      </c>
      <c r="G984" t="e">
        <f ca="1"/>
        <v>#N/A</v>
      </c>
      <c r="H984" t="e">
        <f ca="1"/>
        <v>#N/A</v>
      </c>
      <c r="I984" t="e">
        <f ca="1"/>
        <v>#N/A</v>
      </c>
      <c r="J984" t="e">
        <f ca="1"/>
        <v>#N/A</v>
      </c>
      <c r="K984" t="e">
        <f ca="1"/>
        <v>#N/A</v>
      </c>
    </row>
    <row r="985" spans="1:11" x14ac:dyDescent="0.25">
      <c r="A985" s="2" t="e">
        <f ca="1"/>
        <v>#N/A</v>
      </c>
      <c r="C985" t="e">
        <f ca="1"/>
        <v>#N/A</v>
      </c>
      <c r="D985" t="e">
        <f ca="1"/>
        <v>#N/A</v>
      </c>
      <c r="E985" t="e">
        <f ca="1"/>
        <v>#N/A</v>
      </c>
      <c r="F985" t="e">
        <f ca="1"/>
        <v>#N/A</v>
      </c>
      <c r="G985" t="e">
        <f ca="1"/>
        <v>#N/A</v>
      </c>
      <c r="H985" t="e">
        <f ca="1"/>
        <v>#N/A</v>
      </c>
      <c r="I985" t="e">
        <f ca="1"/>
        <v>#N/A</v>
      </c>
      <c r="J985" t="e">
        <f ca="1"/>
        <v>#N/A</v>
      </c>
      <c r="K985" t="e">
        <f ca="1"/>
        <v>#N/A</v>
      </c>
    </row>
    <row r="986" spans="1:11" x14ac:dyDescent="0.25">
      <c r="A986" s="2" t="e">
        <f ca="1"/>
        <v>#N/A</v>
      </c>
      <c r="C986" t="e">
        <f ca="1"/>
        <v>#N/A</v>
      </c>
      <c r="D986" t="e">
        <f ca="1"/>
        <v>#N/A</v>
      </c>
      <c r="E986" t="e">
        <f ca="1"/>
        <v>#N/A</v>
      </c>
      <c r="F986" t="e">
        <f ca="1"/>
        <v>#N/A</v>
      </c>
      <c r="G986" t="e">
        <f ca="1"/>
        <v>#N/A</v>
      </c>
      <c r="H986" t="e">
        <f ca="1"/>
        <v>#N/A</v>
      </c>
      <c r="I986" t="e">
        <f ca="1"/>
        <v>#N/A</v>
      </c>
      <c r="J986" t="e">
        <f ca="1"/>
        <v>#N/A</v>
      </c>
      <c r="K986" t="e">
        <f ca="1"/>
        <v>#N/A</v>
      </c>
    </row>
    <row r="987" spans="1:11" x14ac:dyDescent="0.25">
      <c r="A987" s="2" t="e">
        <f ca="1"/>
        <v>#N/A</v>
      </c>
      <c r="C987" t="e">
        <f ca="1"/>
        <v>#N/A</v>
      </c>
      <c r="D987" t="e">
        <f ca="1"/>
        <v>#N/A</v>
      </c>
      <c r="E987" t="e">
        <f ca="1"/>
        <v>#N/A</v>
      </c>
      <c r="F987" t="e">
        <f ca="1"/>
        <v>#N/A</v>
      </c>
      <c r="G987" t="e">
        <f ca="1"/>
        <v>#N/A</v>
      </c>
      <c r="H987" t="e">
        <f ca="1"/>
        <v>#N/A</v>
      </c>
      <c r="I987" t="e">
        <f ca="1"/>
        <v>#N/A</v>
      </c>
      <c r="J987" t="e">
        <f ca="1"/>
        <v>#N/A</v>
      </c>
      <c r="K987" t="e">
        <f ca="1"/>
        <v>#N/A</v>
      </c>
    </row>
    <row r="988" spans="1:11" x14ac:dyDescent="0.25">
      <c r="A988" s="2" t="e">
        <f ca="1"/>
        <v>#N/A</v>
      </c>
      <c r="C988" t="e">
        <f ca="1"/>
        <v>#N/A</v>
      </c>
      <c r="D988" t="e">
        <f ca="1"/>
        <v>#N/A</v>
      </c>
      <c r="E988" t="e">
        <f ca="1"/>
        <v>#N/A</v>
      </c>
      <c r="F988" t="e">
        <f ca="1"/>
        <v>#N/A</v>
      </c>
      <c r="G988" t="e">
        <f ca="1"/>
        <v>#N/A</v>
      </c>
      <c r="H988" t="e">
        <f ca="1"/>
        <v>#N/A</v>
      </c>
      <c r="I988" t="e">
        <f ca="1"/>
        <v>#N/A</v>
      </c>
      <c r="J988" t="e">
        <f ca="1"/>
        <v>#N/A</v>
      </c>
      <c r="K988" t="e">
        <f ca="1"/>
        <v>#N/A</v>
      </c>
    </row>
    <row r="989" spans="1:11" x14ac:dyDescent="0.25">
      <c r="A989" s="2" t="e">
        <f ca="1"/>
        <v>#N/A</v>
      </c>
      <c r="C989" t="e">
        <f ca="1"/>
        <v>#N/A</v>
      </c>
      <c r="D989" t="e">
        <f ca="1"/>
        <v>#N/A</v>
      </c>
      <c r="E989" t="e">
        <f ca="1"/>
        <v>#N/A</v>
      </c>
      <c r="F989" t="e">
        <f ca="1"/>
        <v>#N/A</v>
      </c>
      <c r="G989" t="e">
        <f ca="1"/>
        <v>#N/A</v>
      </c>
      <c r="H989" t="e">
        <f ca="1"/>
        <v>#N/A</v>
      </c>
      <c r="I989" t="e">
        <f ca="1"/>
        <v>#N/A</v>
      </c>
      <c r="J989" t="e">
        <f ca="1"/>
        <v>#N/A</v>
      </c>
      <c r="K989" t="e">
        <f ca="1"/>
        <v>#N/A</v>
      </c>
    </row>
    <row r="990" spans="1:11" x14ac:dyDescent="0.25">
      <c r="A990" s="2" t="e">
        <f ca="1"/>
        <v>#N/A</v>
      </c>
      <c r="C990" t="e">
        <f ca="1"/>
        <v>#N/A</v>
      </c>
      <c r="D990" t="e">
        <f ca="1"/>
        <v>#N/A</v>
      </c>
      <c r="E990" t="e">
        <f ca="1"/>
        <v>#N/A</v>
      </c>
      <c r="F990" t="e">
        <f ca="1"/>
        <v>#N/A</v>
      </c>
      <c r="G990" t="e">
        <f ca="1"/>
        <v>#N/A</v>
      </c>
      <c r="H990" t="e">
        <f ca="1"/>
        <v>#N/A</v>
      </c>
      <c r="I990" t="e">
        <f ca="1"/>
        <v>#N/A</v>
      </c>
      <c r="J990" t="e">
        <f ca="1"/>
        <v>#N/A</v>
      </c>
      <c r="K990" t="e">
        <f ca="1"/>
        <v>#N/A</v>
      </c>
    </row>
    <row r="991" spans="1:11" x14ac:dyDescent="0.25">
      <c r="A991" s="2" t="e">
        <f ca="1"/>
        <v>#N/A</v>
      </c>
      <c r="C991" t="e">
        <f ca="1"/>
        <v>#N/A</v>
      </c>
      <c r="D991" t="e">
        <f ca="1"/>
        <v>#N/A</v>
      </c>
      <c r="E991" t="e">
        <f ca="1"/>
        <v>#N/A</v>
      </c>
      <c r="F991" t="e">
        <f ca="1"/>
        <v>#N/A</v>
      </c>
      <c r="G991" t="e">
        <f ca="1"/>
        <v>#N/A</v>
      </c>
      <c r="H991" t="e">
        <f ca="1"/>
        <v>#N/A</v>
      </c>
      <c r="I991" t="e">
        <f ca="1"/>
        <v>#N/A</v>
      </c>
      <c r="J991" t="e">
        <f ca="1"/>
        <v>#N/A</v>
      </c>
      <c r="K991" t="e">
        <f ca="1"/>
        <v>#N/A</v>
      </c>
    </row>
    <row r="992" spans="1:11" x14ac:dyDescent="0.25">
      <c r="A992" s="2" t="e">
        <f ca="1"/>
        <v>#N/A</v>
      </c>
      <c r="C992" t="e">
        <f ca="1"/>
        <v>#N/A</v>
      </c>
      <c r="D992" t="e">
        <f ca="1"/>
        <v>#N/A</v>
      </c>
      <c r="E992" t="e">
        <f ca="1"/>
        <v>#N/A</v>
      </c>
      <c r="F992" t="e">
        <f ca="1"/>
        <v>#N/A</v>
      </c>
      <c r="G992" t="e">
        <f ca="1"/>
        <v>#N/A</v>
      </c>
      <c r="H992" t="e">
        <f ca="1"/>
        <v>#N/A</v>
      </c>
      <c r="I992" t="e">
        <f ca="1"/>
        <v>#N/A</v>
      </c>
      <c r="J992" t="e">
        <f ca="1"/>
        <v>#N/A</v>
      </c>
      <c r="K992" t="e">
        <f ca="1"/>
        <v>#N/A</v>
      </c>
    </row>
    <row r="993" spans="1:11" x14ac:dyDescent="0.25">
      <c r="A993" s="2" t="e">
        <f ca="1"/>
        <v>#N/A</v>
      </c>
      <c r="C993" t="e">
        <f ca="1"/>
        <v>#N/A</v>
      </c>
      <c r="D993" t="e">
        <f ca="1"/>
        <v>#N/A</v>
      </c>
      <c r="E993" t="e">
        <f ca="1"/>
        <v>#N/A</v>
      </c>
      <c r="F993" t="e">
        <f ca="1"/>
        <v>#N/A</v>
      </c>
      <c r="G993" t="e">
        <f ca="1"/>
        <v>#N/A</v>
      </c>
      <c r="H993" t="e">
        <f ca="1"/>
        <v>#N/A</v>
      </c>
      <c r="I993" t="e">
        <f ca="1"/>
        <v>#N/A</v>
      </c>
      <c r="J993" t="e">
        <f ca="1"/>
        <v>#N/A</v>
      </c>
      <c r="K993" t="e">
        <f ca="1"/>
        <v>#N/A</v>
      </c>
    </row>
    <row r="994" spans="1:11" x14ac:dyDescent="0.25">
      <c r="A994" s="2" t="e">
        <f ca="1"/>
        <v>#N/A</v>
      </c>
      <c r="C994" t="e">
        <f ca="1"/>
        <v>#N/A</v>
      </c>
      <c r="D994" t="e">
        <f ca="1"/>
        <v>#N/A</v>
      </c>
      <c r="E994" t="e">
        <f ca="1"/>
        <v>#N/A</v>
      </c>
      <c r="F994" t="e">
        <f ca="1"/>
        <v>#N/A</v>
      </c>
      <c r="G994" t="e">
        <f ca="1"/>
        <v>#N/A</v>
      </c>
      <c r="H994" t="e">
        <f ca="1"/>
        <v>#N/A</v>
      </c>
      <c r="I994" t="e">
        <f ca="1"/>
        <v>#N/A</v>
      </c>
      <c r="J994" t="e">
        <f ca="1"/>
        <v>#N/A</v>
      </c>
      <c r="K994" t="e">
        <f ca="1"/>
        <v>#N/A</v>
      </c>
    </row>
    <row r="995" spans="1:11" x14ac:dyDescent="0.25">
      <c r="A995" s="2" t="e">
        <f ca="1"/>
        <v>#N/A</v>
      </c>
      <c r="C995" t="e">
        <f ca="1"/>
        <v>#N/A</v>
      </c>
      <c r="D995" t="e">
        <f ca="1"/>
        <v>#N/A</v>
      </c>
      <c r="E995" t="e">
        <f ca="1"/>
        <v>#N/A</v>
      </c>
      <c r="F995" t="e">
        <f ca="1"/>
        <v>#N/A</v>
      </c>
      <c r="G995" t="e">
        <f ca="1"/>
        <v>#N/A</v>
      </c>
      <c r="H995" t="e">
        <f ca="1"/>
        <v>#N/A</v>
      </c>
      <c r="I995" t="e">
        <f ca="1"/>
        <v>#N/A</v>
      </c>
      <c r="J995" t="e">
        <f ca="1"/>
        <v>#N/A</v>
      </c>
      <c r="K995" t="e">
        <f ca="1"/>
        <v>#N/A</v>
      </c>
    </row>
    <row r="996" spans="1:11" x14ac:dyDescent="0.25">
      <c r="A996" s="2" t="e">
        <f ca="1"/>
        <v>#N/A</v>
      </c>
      <c r="C996" t="e">
        <f ca="1"/>
        <v>#N/A</v>
      </c>
      <c r="D996" t="e">
        <f ca="1"/>
        <v>#N/A</v>
      </c>
      <c r="E996" t="e">
        <f ca="1"/>
        <v>#N/A</v>
      </c>
      <c r="F996" t="e">
        <f ca="1"/>
        <v>#N/A</v>
      </c>
      <c r="G996" t="e">
        <f ca="1"/>
        <v>#N/A</v>
      </c>
      <c r="H996" t="e">
        <f ca="1"/>
        <v>#N/A</v>
      </c>
      <c r="I996" t="e">
        <f ca="1"/>
        <v>#N/A</v>
      </c>
      <c r="J996" t="e">
        <f ca="1"/>
        <v>#N/A</v>
      </c>
      <c r="K996" t="e">
        <f ca="1"/>
        <v>#N/A</v>
      </c>
    </row>
    <row r="997" spans="1:11" x14ac:dyDescent="0.25">
      <c r="A997" s="2" t="e">
        <f ca="1"/>
        <v>#N/A</v>
      </c>
      <c r="C997" t="e">
        <f ca="1"/>
        <v>#N/A</v>
      </c>
      <c r="D997" t="e">
        <f ca="1"/>
        <v>#N/A</v>
      </c>
      <c r="E997" t="e">
        <f ca="1"/>
        <v>#N/A</v>
      </c>
      <c r="F997" t="e">
        <f ca="1"/>
        <v>#N/A</v>
      </c>
      <c r="G997" t="e">
        <f ca="1"/>
        <v>#N/A</v>
      </c>
      <c r="H997" t="e">
        <f ca="1"/>
        <v>#N/A</v>
      </c>
      <c r="I997" t="e">
        <f ca="1"/>
        <v>#N/A</v>
      </c>
      <c r="J997" t="e">
        <f ca="1"/>
        <v>#N/A</v>
      </c>
      <c r="K997" t="e">
        <f ca="1"/>
        <v>#N/A</v>
      </c>
    </row>
    <row r="998" spans="1:11" x14ac:dyDescent="0.25">
      <c r="A998" s="2" t="e">
        <f ca="1"/>
        <v>#N/A</v>
      </c>
      <c r="C998" t="e">
        <f ca="1"/>
        <v>#N/A</v>
      </c>
      <c r="D998" t="e">
        <f ca="1"/>
        <v>#N/A</v>
      </c>
      <c r="E998" t="e">
        <f ca="1"/>
        <v>#N/A</v>
      </c>
      <c r="F998" t="e">
        <f ca="1"/>
        <v>#N/A</v>
      </c>
      <c r="G998" t="e">
        <f ca="1"/>
        <v>#N/A</v>
      </c>
      <c r="H998" t="e">
        <f ca="1"/>
        <v>#N/A</v>
      </c>
      <c r="I998" t="e">
        <f ca="1"/>
        <v>#N/A</v>
      </c>
      <c r="J998" t="e">
        <f ca="1"/>
        <v>#N/A</v>
      </c>
      <c r="K998" t="e">
        <f ca="1"/>
        <v>#N/A</v>
      </c>
    </row>
    <row r="999" spans="1:11" x14ac:dyDescent="0.25">
      <c r="A999" s="2" t="e">
        <f ca="1"/>
        <v>#N/A</v>
      </c>
      <c r="C999" t="e">
        <f ca="1"/>
        <v>#N/A</v>
      </c>
      <c r="D999" t="e">
        <f ca="1"/>
        <v>#N/A</v>
      </c>
      <c r="E999" t="e">
        <f ca="1"/>
        <v>#N/A</v>
      </c>
      <c r="F999" t="e">
        <f ca="1"/>
        <v>#N/A</v>
      </c>
      <c r="G999" t="e">
        <f ca="1"/>
        <v>#N/A</v>
      </c>
      <c r="H999" t="e">
        <f ca="1"/>
        <v>#N/A</v>
      </c>
      <c r="I999" t="e">
        <f ca="1"/>
        <v>#N/A</v>
      </c>
      <c r="J999" t="e">
        <f ca="1"/>
        <v>#N/A</v>
      </c>
      <c r="K999" t="e">
        <f ca="1"/>
        <v>#N/A</v>
      </c>
    </row>
    <row r="1000" spans="1:11" x14ac:dyDescent="0.25">
      <c r="A1000" s="2" t="e">
        <f ca="1"/>
        <v>#N/A</v>
      </c>
      <c r="C1000" t="e">
        <f ca="1"/>
        <v>#N/A</v>
      </c>
      <c r="D1000" t="e">
        <f ca="1"/>
        <v>#N/A</v>
      </c>
      <c r="E1000" t="e">
        <f ca="1"/>
        <v>#N/A</v>
      </c>
      <c r="F1000" t="e">
        <f ca="1"/>
        <v>#N/A</v>
      </c>
      <c r="G1000" t="e">
        <f ca="1"/>
        <v>#N/A</v>
      </c>
      <c r="H1000" t="e">
        <f ca="1"/>
        <v>#N/A</v>
      </c>
      <c r="I1000" t="e">
        <f ca="1"/>
        <v>#N/A</v>
      </c>
      <c r="J1000" t="e">
        <f ca="1"/>
        <v>#N/A</v>
      </c>
      <c r="K1000" t="e">
        <f ca="1"/>
        <v>#N/A</v>
      </c>
    </row>
    <row r="1001" spans="1:11" x14ac:dyDescent="0.25">
      <c r="A1001" s="2" t="e">
        <f ca="1"/>
        <v>#N/A</v>
      </c>
      <c r="C1001" t="e">
        <f ca="1"/>
        <v>#N/A</v>
      </c>
      <c r="D1001" t="e">
        <f ca="1"/>
        <v>#N/A</v>
      </c>
      <c r="E1001" t="e">
        <f ca="1"/>
        <v>#N/A</v>
      </c>
      <c r="F1001" t="e">
        <f ca="1"/>
        <v>#N/A</v>
      </c>
      <c r="G1001" t="e">
        <f ca="1"/>
        <v>#N/A</v>
      </c>
      <c r="H1001" t="e">
        <f ca="1"/>
        <v>#N/A</v>
      </c>
      <c r="I1001" t="e">
        <f ca="1"/>
        <v>#N/A</v>
      </c>
      <c r="J1001" t="e">
        <f ca="1"/>
        <v>#N/A</v>
      </c>
      <c r="K1001" t="e">
        <f ca="1"/>
        <v>#N/A</v>
      </c>
    </row>
    <row r="1002" spans="1:11" x14ac:dyDescent="0.25">
      <c r="A1002" s="91"/>
      <c r="B1002" s="92"/>
      <c r="C1002" s="88"/>
      <c r="D1002" s="88"/>
      <c r="E1002" s="88"/>
      <c r="F1002" s="88"/>
      <c r="G1002" s="88"/>
      <c r="H1002" s="88"/>
      <c r="I1002" s="88"/>
      <c r="J1002" s="88"/>
      <c r="K1002" s="88"/>
    </row>
  </sheetData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J52"/>
  <sheetViews>
    <sheetView workbookViewId="0">
      <selection activeCell="B7" sqref="B7"/>
    </sheetView>
  </sheetViews>
  <sheetFormatPr defaultColWidth="8.85546875" defaultRowHeight="15" x14ac:dyDescent="0.25"/>
  <cols>
    <col min="1" max="1" width="36.28515625" customWidth="1"/>
    <col min="2" max="2" width="23.85546875" customWidth="1"/>
    <col min="3" max="3" width="7.42578125" customWidth="1"/>
    <col min="4" max="4" width="34.85546875" customWidth="1"/>
    <col min="5" max="5" width="15.7109375" style="70" customWidth="1"/>
    <col min="6" max="6" width="15.7109375" style="74" customWidth="1"/>
    <col min="7" max="9" width="30.7109375" customWidth="1"/>
    <col min="10" max="10" width="40.7109375" customWidth="1"/>
    <col min="11" max="11" width="36.140625" customWidth="1"/>
    <col min="12" max="12" width="26.140625" customWidth="1"/>
    <col min="13" max="14" width="10.42578125" customWidth="1"/>
    <col min="15" max="15" width="17.140625" customWidth="1"/>
    <col min="16" max="16" width="17.42578125" customWidth="1"/>
    <col min="17" max="17" width="10.140625" customWidth="1"/>
    <col min="18" max="18" width="10" customWidth="1"/>
    <col min="19" max="19" width="10.28515625" customWidth="1"/>
  </cols>
  <sheetData>
    <row r="1" spans="1:10" ht="15.75" thickBot="1" x14ac:dyDescent="0.3">
      <c r="A1" s="33" t="s">
        <v>42</v>
      </c>
      <c r="B1" s="34" t="s">
        <v>43</v>
      </c>
      <c r="C1" s="79"/>
      <c r="D1" s="79"/>
      <c r="E1" s="81"/>
      <c r="F1" s="82"/>
    </row>
    <row r="2" spans="1:10" ht="16.5" thickTop="1" thickBot="1" x14ac:dyDescent="0.3">
      <c r="A2" s="38" t="s">
        <v>44</v>
      </c>
      <c r="B2" s="39" t="s">
        <v>45</v>
      </c>
      <c r="C2" s="80"/>
      <c r="D2" s="43" t="s">
        <v>73</v>
      </c>
      <c r="E2" s="71">
        <f ca="1">IFERROR(ROUND(A!B2,B9),"")</f>
        <v>0</v>
      </c>
      <c r="F2" s="76"/>
      <c r="G2" s="2"/>
      <c r="H2" s="36"/>
      <c r="J2" s="78"/>
    </row>
    <row r="3" spans="1:10" ht="16.5" thickTop="1" thickBot="1" x14ac:dyDescent="0.3">
      <c r="A3" s="38" t="s">
        <v>46</v>
      </c>
      <c r="B3" s="40" t="s">
        <v>47</v>
      </c>
      <c r="C3" s="79"/>
      <c r="D3" s="43" t="s">
        <v>69</v>
      </c>
      <c r="E3" s="71">
        <f ca="1">IFERROR(ROUND(_xlfn.T.INV.2T(1-$B$7,$B$11)*A!$B$6,$B$10),"")</f>
        <v>1.81</v>
      </c>
      <c r="F3" s="76"/>
      <c r="G3" s="2"/>
      <c r="J3" s="67"/>
    </row>
    <row r="4" spans="1:10" ht="16.5" thickTop="1" thickBot="1" x14ac:dyDescent="0.3">
      <c r="A4" s="38" t="s">
        <v>48</v>
      </c>
      <c r="B4" s="39" t="s">
        <v>49</v>
      </c>
      <c r="C4" s="79"/>
      <c r="D4" s="43" t="s">
        <v>140</v>
      </c>
      <c r="E4" s="72">
        <f ca="1">IFERROR(E2-E3,"")</f>
        <v>-1.81</v>
      </c>
      <c r="F4" s="75">
        <f ca="1">IFERROR(E2+E3,"")</f>
        <v>1.81</v>
      </c>
      <c r="G4" s="2"/>
      <c r="H4" s="36"/>
    </row>
    <row r="5" spans="1:10" ht="16.5" thickTop="1" thickBot="1" x14ac:dyDescent="0.3">
      <c r="A5" s="38" t="s">
        <v>50</v>
      </c>
      <c r="B5" s="40" t="s">
        <v>51</v>
      </c>
      <c r="C5" s="79"/>
      <c r="D5" s="59" t="s">
        <v>70</v>
      </c>
      <c r="E5" s="71">
        <f ca="1">IFERROR(1-MAX(1-NORMDIST(NORMINV($B$8,B!$B$2,B!$B$6),A!$B$2,A!$B$6,TRUE), NORMDIST(NORMINV(1-$B$8,B!$B$2,B!$B$6),A!$B$2,A!$B$6,TRUE)),"")</f>
        <v>1.7125571996031264E-2</v>
      </c>
      <c r="F5" s="77" t="str">
        <f ca="1">IF($E$5&lt;$B$13,"(P)&lt;β","(P)&gt;β")</f>
        <v>(P)&lt;β</v>
      </c>
      <c r="H5" s="36"/>
    </row>
    <row r="6" spans="1:10" ht="16.5" thickTop="1" thickBot="1" x14ac:dyDescent="0.3">
      <c r="A6" s="41" t="s">
        <v>52</v>
      </c>
      <c r="B6" s="62">
        <v>0.05</v>
      </c>
      <c r="C6" s="79"/>
      <c r="D6" s="37" t="s">
        <v>90</v>
      </c>
      <c r="E6" s="73">
        <f ca="1">IFERROR(NORMINV(1-$B$8,B!$B$2,B!$B$6),"")</f>
        <v>1.9654208561542481</v>
      </c>
      <c r="F6" s="75">
        <f ca="1">IFERROR(NORMINV($B$8,B!$B$2,B!$B$6),"")</f>
        <v>4.8794076834537403</v>
      </c>
      <c r="G6" s="2"/>
      <c r="H6" s="36"/>
    </row>
    <row r="7" spans="1:10" ht="16.5" thickTop="1" thickBot="1" x14ac:dyDescent="0.3">
      <c r="A7" s="38" t="s">
        <v>53</v>
      </c>
      <c r="B7" s="62">
        <v>0.95</v>
      </c>
      <c r="C7" s="79"/>
      <c r="D7" s="37" t="s">
        <v>74</v>
      </c>
      <c r="E7" s="71">
        <f ca="1">IFERROR(MIN(1-NORMDIST(B!$B$2,A!$B$2,A!$B$6,TRUE), NORMDIST(B!$B$2,A!$B$2,A!$B$6,TRUE)),"")</f>
        <v>1.0905515749126682E-4</v>
      </c>
      <c r="F7" s="77" t="str">
        <f ca="1">IF(E7&gt;$B$6,"(P)&gt;α","(P)&lt;α")</f>
        <v>(P)&lt;α</v>
      </c>
      <c r="G7" s="2"/>
      <c r="H7" s="36"/>
    </row>
    <row r="8" spans="1:10" ht="16.5" thickTop="1" thickBot="1" x14ac:dyDescent="0.3">
      <c r="A8" s="38" t="s">
        <v>57</v>
      </c>
      <c r="B8" s="62">
        <v>0.9</v>
      </c>
      <c r="C8" s="79"/>
      <c r="D8" s="37" t="s">
        <v>71</v>
      </c>
      <c r="E8" s="71">
        <f ca="1">IFERROR(MIN(1-NORMDIST(B!$B$2,A!$B$2,A!$B$6,TRUE), NORMDIST(B!$B$2,A!$B$2,A!$B$6,TRUE))/2,"")</f>
        <v>5.4527578745633409E-5</v>
      </c>
      <c r="F8" s="77" t="str">
        <f ca="1">IF($E$7&gt;$B$6,"(P)&gt;α","(P)&lt;α")</f>
        <v>(P)&lt;α</v>
      </c>
      <c r="G8" s="2"/>
      <c r="H8" s="36"/>
      <c r="J8" s="78"/>
    </row>
    <row r="9" spans="1:10" ht="16.5" thickTop="1" thickBot="1" x14ac:dyDescent="0.3">
      <c r="A9" s="38" t="s">
        <v>56</v>
      </c>
      <c r="B9" s="62">
        <v>1</v>
      </c>
      <c r="C9" s="79"/>
      <c r="D9" s="79"/>
      <c r="E9" s="83"/>
      <c r="F9" s="82"/>
      <c r="H9" s="36"/>
    </row>
    <row r="10" spans="1:10" ht="16.5" thickTop="1" thickBot="1" x14ac:dyDescent="0.3">
      <c r="A10" s="38" t="s">
        <v>55</v>
      </c>
      <c r="B10" s="62">
        <v>2</v>
      </c>
      <c r="C10" s="79"/>
      <c r="D10" s="57" t="s">
        <v>78</v>
      </c>
      <c r="E10" s="71">
        <f ca="1">IFERROR(ROUND(B!$B$2,$B$9),"")</f>
        <v>3.4</v>
      </c>
      <c r="F10" s="77"/>
      <c r="J10" s="67"/>
    </row>
    <row r="11" spans="1:10" ht="16.5" thickTop="1" thickBot="1" x14ac:dyDescent="0.3">
      <c r="A11" s="38" t="s">
        <v>54</v>
      </c>
      <c r="B11" s="62">
        <f>10^10</f>
        <v>10000000000</v>
      </c>
      <c r="C11" s="79"/>
      <c r="D11" s="58" t="s">
        <v>72</v>
      </c>
      <c r="E11" s="71">
        <f ca="1">IFERROR(ROUND(_xlfn.T.INV.2T(1-$B$7,$B$11)*B!$B$6,$B$10),"")</f>
        <v>2.23</v>
      </c>
      <c r="F11" s="77"/>
    </row>
    <row r="12" spans="1:10" ht="16.5" thickTop="1" thickBot="1" x14ac:dyDescent="0.3">
      <c r="A12" s="38" t="s">
        <v>60</v>
      </c>
      <c r="B12" s="62">
        <v>1.5</v>
      </c>
      <c r="C12" s="79"/>
      <c r="D12" s="58" t="s">
        <v>79</v>
      </c>
      <c r="E12" s="72">
        <f ca="1">IFERROR(E10-E11,"")</f>
        <v>1.17</v>
      </c>
      <c r="F12" s="75">
        <f ca="1">IFERROR(E10+E11,"")</f>
        <v>5.63</v>
      </c>
    </row>
    <row r="13" spans="1:10" ht="16.5" thickTop="1" thickBot="1" x14ac:dyDescent="0.3">
      <c r="A13" s="41" t="s">
        <v>61</v>
      </c>
      <c r="B13" s="62">
        <v>1</v>
      </c>
      <c r="C13" s="79"/>
      <c r="D13" s="58" t="s">
        <v>77</v>
      </c>
      <c r="E13" s="71">
        <f ca="1">IFERROR(1-MAX(1-NORMDIST(NORMINV($B$8,A!$B$2,A!$B$6),B!$B$2,B!$B$6,TRUE), NORMDIST(NORMINV(1-$B$8,A!$B$2,A!$B$6),B!$B$2,B!$B$6,TRUE)),"")</f>
        <v>2.5039290155459026E-2</v>
      </c>
      <c r="F13" s="77" t="str">
        <f ca="1">IF($E$13&lt;$B$13,"(P)&lt;β","(P)&gt;β")</f>
        <v>(P)&lt;β</v>
      </c>
    </row>
    <row r="14" spans="1:10" ht="16.5" thickTop="1" thickBot="1" x14ac:dyDescent="0.3">
      <c r="A14" s="38" t="s">
        <v>58</v>
      </c>
      <c r="B14" s="106">
        <f ca="1">IFERROR(IF($B$12="", "Enter MOE in Cell Bellow", (ROUND(((_xlfn.T.INV.2T(1-$B$7,$B$11)*A!$B$6)/$B$12)^2,$B$13))),"")</f>
        <v>1.5</v>
      </c>
      <c r="C14" s="79"/>
      <c r="D14" s="57" t="s">
        <v>89</v>
      </c>
      <c r="E14" s="73">
        <f ca="1">IFERROR(NORMINV(1-$B$8,A!$B$2,A!$B$6),"")</f>
        <v>-1.1687236381330697</v>
      </c>
      <c r="F14" s="75">
        <f ca="1">IFERROR(NORMINV($B$8,A!$B$2,A!$B$6),"")</f>
        <v>1.1948989183874621</v>
      </c>
    </row>
    <row r="15" spans="1:10" ht="16.5" thickTop="1" thickBot="1" x14ac:dyDescent="0.3">
      <c r="A15" s="38" t="s">
        <v>59</v>
      </c>
      <c r="B15" s="106">
        <f ca="1">IFERROR(IF($B$12="", "Enter MOE in Cell Bellow", (ROUND(((_xlfn.T.INV.2T(1-$B$7,$B$11)*B!$B$6)/$B$12)^2,$B$13))),"")</f>
        <v>2.2000000000000002</v>
      </c>
      <c r="C15" s="79"/>
      <c r="D15" s="57" t="s">
        <v>76</v>
      </c>
      <c r="E15" s="71">
        <f ca="1">IFERROR(MIN(NORMDIST(A!$B$2,B!$B$2,B!$B$6,TRUE),1-NORMDIST(A!$B$2,B!$B$2,B!$B$6,TRUE)),"")</f>
        <v>1.3552379495474817E-3</v>
      </c>
      <c r="F15" s="77" t="str">
        <f ca="1">IF(E15&gt;$B$6,"(P)&gt;α","(P)&lt;α")</f>
        <v>(P)&lt;α</v>
      </c>
    </row>
    <row r="16" spans="1:10" ht="15.75" thickTop="1" x14ac:dyDescent="0.25">
      <c r="C16" s="79"/>
      <c r="D16" s="57" t="s">
        <v>75</v>
      </c>
      <c r="E16" s="71">
        <f ca="1">IFERROR(MIN(NORMDIST(A!$B$2,B!$B$2,B!$B$6,TRUE),1-NORMDIST(A!$B$2,B!$B$2,B!$B$6,TRUE))/2,"")</f>
        <v>6.7761897477374084E-4</v>
      </c>
      <c r="F16" s="77" t="str">
        <f ca="1">IF(E16&gt;$B$6,"(P)&gt;α","(P)&lt;α")</f>
        <v>(P)&lt;α</v>
      </c>
    </row>
    <row r="17" spans="3:6" x14ac:dyDescent="0.25">
      <c r="C17" s="79"/>
      <c r="D17" s="79"/>
      <c r="E17" s="81"/>
      <c r="F17" s="82"/>
    </row>
    <row r="20" spans="3:6" ht="19.5" customHeight="1" x14ac:dyDescent="0.25"/>
    <row r="37" ht="20.25" customHeight="1" x14ac:dyDescent="0.25"/>
    <row r="38" hidden="1" x14ac:dyDescent="0.25"/>
    <row r="39" hidden="1" x14ac:dyDescent="0.25"/>
    <row r="40" hidden="1" x14ac:dyDescent="0.25"/>
    <row r="41" hidden="1" x14ac:dyDescent="0.25"/>
    <row r="42" hidden="1" x14ac:dyDescent="0.25"/>
    <row r="43" hidden="1" x14ac:dyDescent="0.25"/>
    <row r="44" hidden="1" x14ac:dyDescent="0.25"/>
    <row r="45" hidden="1" x14ac:dyDescent="0.25"/>
    <row r="46" ht="15.75" customHeight="1" x14ac:dyDescent="0.25"/>
    <row r="47" ht="16.5" customHeight="1" x14ac:dyDescent="0.25"/>
    <row r="52" spans="4:4" x14ac:dyDescent="0.25">
      <c r="D52" t="s">
        <v>62</v>
      </c>
    </row>
  </sheetData>
  <sheetProtection selectLockedCells="1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H52"/>
  <sheetViews>
    <sheetView workbookViewId="0">
      <selection activeCell="B7" sqref="B7"/>
    </sheetView>
  </sheetViews>
  <sheetFormatPr defaultColWidth="8.85546875" defaultRowHeight="15" x14ac:dyDescent="0.25"/>
  <cols>
    <col min="1" max="1" width="36.28515625" customWidth="1"/>
    <col min="2" max="2" width="23.85546875" customWidth="1"/>
    <col min="3" max="3" width="7.42578125" customWidth="1"/>
    <col min="4" max="4" width="34.85546875" customWidth="1"/>
    <col min="5" max="6" width="15.7109375" customWidth="1"/>
    <col min="7" max="9" width="30.7109375" customWidth="1"/>
    <col min="10" max="10" width="40.7109375" customWidth="1"/>
    <col min="11" max="11" width="36.140625" customWidth="1"/>
    <col min="12" max="12" width="26.140625" customWidth="1"/>
    <col min="13" max="14" width="10.42578125" customWidth="1"/>
    <col min="15" max="15" width="17.140625" customWidth="1"/>
    <col min="16" max="16" width="17.42578125" customWidth="1"/>
    <col min="17" max="17" width="10.140625" customWidth="1"/>
    <col min="18" max="18" width="10" customWidth="1"/>
    <col min="19" max="19" width="10.28515625" customWidth="1"/>
  </cols>
  <sheetData>
    <row r="1" spans="1:8" ht="15.75" thickBot="1" x14ac:dyDescent="0.3">
      <c r="A1" s="33" t="s">
        <v>42</v>
      </c>
      <c r="B1" s="34" t="s">
        <v>43</v>
      </c>
      <c r="C1" s="84"/>
      <c r="D1" s="84"/>
      <c r="E1" s="84"/>
      <c r="F1" s="84"/>
    </row>
    <row r="2" spans="1:8" ht="16.5" thickTop="1" thickBot="1" x14ac:dyDescent="0.3">
      <c r="A2" s="38" t="s">
        <v>44</v>
      </c>
      <c r="B2" s="39" t="s">
        <v>45</v>
      </c>
      <c r="C2" s="85"/>
      <c r="D2" s="43" t="s">
        <v>73</v>
      </c>
      <c r="E2" s="71">
        <f ca="1">IFERROR(ROUND(A!B2,B9),"")</f>
        <v>0</v>
      </c>
      <c r="F2" s="76"/>
      <c r="G2" s="2"/>
      <c r="H2" s="36"/>
    </row>
    <row r="3" spans="1:8" ht="16.5" thickTop="1" thickBot="1" x14ac:dyDescent="0.3">
      <c r="A3" s="38" t="s">
        <v>46</v>
      </c>
      <c r="B3" s="40" t="s">
        <v>47</v>
      </c>
      <c r="C3" s="84"/>
      <c r="D3" s="43" t="s">
        <v>69</v>
      </c>
      <c r="E3" s="71">
        <f ca="1">IFERROR(ROUND(_xlfn.T.INV.2T(1-B7,$B$11)*A!$B$10,$B$10),"")</f>
        <v>0.18</v>
      </c>
      <c r="F3" s="76"/>
      <c r="G3" s="2"/>
    </row>
    <row r="4" spans="1:8" ht="16.5" thickTop="1" thickBot="1" x14ac:dyDescent="0.3">
      <c r="A4" s="38" t="s">
        <v>48</v>
      </c>
      <c r="B4" s="39" t="s">
        <v>49</v>
      </c>
      <c r="C4" s="84"/>
      <c r="D4" s="43" t="s">
        <v>140</v>
      </c>
      <c r="E4" s="72">
        <f ca="1">IFERROR(E2-E3,"")</f>
        <v>-0.18</v>
      </c>
      <c r="F4" s="75">
        <f ca="1">IFERROR(E2+E3,"")</f>
        <v>0.18</v>
      </c>
      <c r="G4" s="2"/>
      <c r="H4" s="36"/>
    </row>
    <row r="5" spans="1:8" ht="16.5" thickTop="1" thickBot="1" x14ac:dyDescent="0.3">
      <c r="A5" s="38" t="s">
        <v>50</v>
      </c>
      <c r="B5" s="40" t="s">
        <v>51</v>
      </c>
      <c r="C5" s="84"/>
      <c r="D5" s="59" t="s">
        <v>70</v>
      </c>
      <c r="E5" s="71">
        <f ca="1">IFERROR(1-MAX(1-NORMDIST(NORMINV($B$8,B!$B$2,B!$B$10),A!$B$2,A!$B$10,TRUE), NORMDIST(NORMINV(1-B$8,B!$B$2,B!$B$10),A!$B$2,A!$B$10,TRUE)),"")</f>
        <v>0</v>
      </c>
      <c r="F5" s="77" t="str">
        <f ca="1">IF($E$5&lt;$B$12,"(P)&lt;β","(P)&gt;β")</f>
        <v>(P)&lt;β</v>
      </c>
      <c r="H5" s="36"/>
    </row>
    <row r="6" spans="1:8" ht="16.5" thickTop="1" thickBot="1" x14ac:dyDescent="0.3">
      <c r="A6" s="41" t="s">
        <v>52</v>
      </c>
      <c r="B6" s="62">
        <v>0.05</v>
      </c>
      <c r="C6" s="84"/>
      <c r="D6" s="37" t="s">
        <v>90</v>
      </c>
      <c r="E6" s="73">
        <f ca="1">IFERROR(NORMINV(1-$B$8,B!$B$2,B!$B$10),"")</f>
        <v>3.2767149284390196</v>
      </c>
      <c r="F6" s="75">
        <f ca="1">IFERROR(NORMINV($B$8,B!$B$2,B!$B$10),"")</f>
        <v>3.5681136111689686</v>
      </c>
      <c r="G6" s="2"/>
      <c r="H6" s="36"/>
    </row>
    <row r="7" spans="1:8" ht="16.5" thickTop="1" thickBot="1" x14ac:dyDescent="0.3">
      <c r="A7" s="38" t="s">
        <v>53</v>
      </c>
      <c r="B7" s="62">
        <v>0.95</v>
      </c>
      <c r="C7" s="84"/>
      <c r="D7" s="37" t="s">
        <v>74</v>
      </c>
      <c r="E7" s="71">
        <f ca="1">IFERROR(MIN(1-NORMDIST(B!$B$2,A!$B$2,A!$B$10,TRUE), NORMDIST(B!$B$2,A!$B$2,A!$B$10,TRUE)),"")</f>
        <v>0</v>
      </c>
      <c r="F7" s="77" t="str">
        <f ca="1">IF(E7&gt;$B$6,"(P)&gt;α","(P)&lt;α")</f>
        <v>(P)&lt;α</v>
      </c>
      <c r="G7" s="2"/>
      <c r="H7" s="36"/>
    </row>
    <row r="8" spans="1:8" ht="16.5" thickTop="1" thickBot="1" x14ac:dyDescent="0.3">
      <c r="A8" s="38" t="s">
        <v>57</v>
      </c>
      <c r="B8" s="62">
        <v>0.9</v>
      </c>
      <c r="C8" s="84"/>
      <c r="D8" s="37" t="s">
        <v>71</v>
      </c>
      <c r="E8" s="71">
        <f ca="1">IFERROR(MIN(1-NORMDIST(B!$B$2,A!$B$2,A!$B$10,TRUE), NORMDIST(B!$B$2,A!$B$2,A!$B$10,TRUE))/2,"")</f>
        <v>0</v>
      </c>
      <c r="F8" s="77" t="str">
        <f ca="1">IF($E$7&gt;$B$6,"(P)&gt;α","(P)&lt;α")</f>
        <v>(P)&lt;α</v>
      </c>
      <c r="G8" s="2"/>
      <c r="H8" s="36"/>
    </row>
    <row r="9" spans="1:8" ht="16.5" thickTop="1" thickBot="1" x14ac:dyDescent="0.3">
      <c r="A9" s="38" t="s">
        <v>56</v>
      </c>
      <c r="B9" s="62">
        <v>1</v>
      </c>
      <c r="C9" s="84"/>
      <c r="D9" s="84"/>
      <c r="E9" s="86"/>
      <c r="F9" s="87"/>
      <c r="H9" s="36"/>
    </row>
    <row r="10" spans="1:8" ht="16.5" thickTop="1" thickBot="1" x14ac:dyDescent="0.3">
      <c r="A10" s="38" t="s">
        <v>55</v>
      </c>
      <c r="B10" s="62">
        <v>2</v>
      </c>
      <c r="C10" s="84"/>
      <c r="D10" s="57" t="s">
        <v>78</v>
      </c>
      <c r="E10" s="71">
        <f ca="1">IFERROR(ROUND(B!$B$2,$B$10),"")</f>
        <v>3.42</v>
      </c>
      <c r="F10" s="77"/>
    </row>
    <row r="11" spans="1:8" ht="16.5" thickTop="1" thickBot="1" x14ac:dyDescent="0.3">
      <c r="A11" s="38" t="s">
        <v>54</v>
      </c>
      <c r="B11" s="62">
        <f>10^10</f>
        <v>10000000000</v>
      </c>
      <c r="C11" s="84"/>
      <c r="D11" s="58" t="s">
        <v>72</v>
      </c>
      <c r="E11" s="71">
        <f ca="1">IFERROR(ROUND(_xlfn.T.INV.2T(1-$B$7,$B$11)*B!$B$10,$B$10),"")</f>
        <v>0.22</v>
      </c>
      <c r="F11" s="77"/>
    </row>
    <row r="12" spans="1:8" ht="16.5" thickTop="1" thickBot="1" x14ac:dyDescent="0.3">
      <c r="A12" s="38" t="s">
        <v>60</v>
      </c>
      <c r="B12" s="62">
        <v>1.5</v>
      </c>
      <c r="C12" s="84"/>
      <c r="D12" s="58" t="s">
        <v>79</v>
      </c>
      <c r="E12" s="72">
        <f ca="1">IFERROR(E10-E11,"")</f>
        <v>3.1999999999999997</v>
      </c>
      <c r="F12" s="75">
        <f ca="1">IFERROR(E10+E11,"")</f>
        <v>3.64</v>
      </c>
    </row>
    <row r="13" spans="1:8" ht="16.5" thickTop="1" thickBot="1" x14ac:dyDescent="0.3">
      <c r="A13" s="41" t="s">
        <v>61</v>
      </c>
      <c r="B13" s="62">
        <v>1</v>
      </c>
      <c r="C13" s="84"/>
      <c r="D13" s="58" t="s">
        <v>77</v>
      </c>
      <c r="E13" s="71">
        <f ca="1">IFERROR(1-MAX(1-NORMDIST(NORMINV($B$8,A!$B$2,A!$B$10),B!$B$2,B!$B$10,TRUE), NORMDIST(NORMINV(1-$B$8,A!$B$2,A!$B$10),B!$B$2,B!$B$10,TRUE)),"")</f>
        <v>0</v>
      </c>
      <c r="F13" s="77" t="str">
        <f ca="1">IF($E$13&lt;$B$12,"(P)&lt;β","(P)&gt;β")</f>
        <v>(P)&lt;β</v>
      </c>
    </row>
    <row r="14" spans="1:8" ht="16.5" thickTop="1" thickBot="1" x14ac:dyDescent="0.3">
      <c r="A14" s="38" t="s">
        <v>58</v>
      </c>
      <c r="B14" s="106">
        <f ca="1">IFERROR(IF($B$12="", "Enter MOE in Cell Bellow", (ROUND(((_xlfn.T.INV.2T(1-$B$7,$B$11)*A!$B$10)/$B$12)^2,$B$13))),"")</f>
        <v>0</v>
      </c>
      <c r="C14" s="84"/>
      <c r="D14" s="57" t="s">
        <v>89</v>
      </c>
      <c r="E14" s="73">
        <f ca="1">IFERROR(NORMINV(1-$B$8,A!$B$2,A!$B$10),"")</f>
        <v>-0.10509348769883037</v>
      </c>
      <c r="F14" s="75">
        <f ca="1">IFERROR(NORMINV($B$8,A!$B$2,A!$B$10),"")</f>
        <v>0.13126876795322279</v>
      </c>
    </row>
    <row r="15" spans="1:8" ht="16.5" thickTop="1" thickBot="1" x14ac:dyDescent="0.3">
      <c r="A15" s="38" t="s">
        <v>59</v>
      </c>
      <c r="B15" s="106">
        <f ca="1">IFERROR(IF($B$12="", "Enter MOE in Cell Bellow", (ROUND(((_xlfn.T.INV.2T(1-$B$7,$B$11)*B!$B$10)/$B$12)^2,$B$13))),"")</f>
        <v>0</v>
      </c>
      <c r="C15" s="84"/>
      <c r="D15" s="57" t="s">
        <v>76</v>
      </c>
      <c r="E15" s="71">
        <f ca="1">IFERROR(MIN(NORMDIST(A!$B$2,B!$B$2,B!$B$10,TRUE),1-NORMDIST(A!$B$2,B!$B$2,B!$B$10,TRUE)),"")</f>
        <v>7.0409949643249421E-198</v>
      </c>
      <c r="F15" s="77" t="str">
        <f ca="1">IF(E15&gt;$B$6,"(P)&gt;α","(P)&lt;α")</f>
        <v>(P)&lt;α</v>
      </c>
    </row>
    <row r="16" spans="1:8" ht="15.75" thickTop="1" x14ac:dyDescent="0.25">
      <c r="C16" s="84"/>
      <c r="D16" s="57" t="s">
        <v>75</v>
      </c>
      <c r="E16" s="71">
        <f ca="1">IFERROR(MIN(NORMDIST(A!$B$2,B!$B$2,B!$B$10,TRUE),1-NORMDIST(A!$B$2,B!$B$2,B!$B$10,TRUE))/2,"")</f>
        <v>3.5204974821624711E-198</v>
      </c>
      <c r="F16" s="77" t="str">
        <f ca="1">IF(E16&gt;$B$6,"(P)&gt;α","(P)&lt;α")</f>
        <v>(P)&lt;α</v>
      </c>
    </row>
    <row r="17" spans="3:6" x14ac:dyDescent="0.25">
      <c r="C17" s="84"/>
      <c r="D17" s="84"/>
      <c r="E17" s="84"/>
      <c r="F17" s="84"/>
    </row>
    <row r="20" spans="3:6" ht="19.5" customHeight="1" x14ac:dyDescent="0.25"/>
    <row r="37" ht="20.25" customHeight="1" x14ac:dyDescent="0.25"/>
    <row r="38" hidden="1" x14ac:dyDescent="0.25"/>
    <row r="39" hidden="1" x14ac:dyDescent="0.25"/>
    <row r="40" hidden="1" x14ac:dyDescent="0.25"/>
    <row r="41" hidden="1" x14ac:dyDescent="0.25"/>
    <row r="42" hidden="1" x14ac:dyDescent="0.25"/>
    <row r="43" hidden="1" x14ac:dyDescent="0.25"/>
    <row r="44" hidden="1" x14ac:dyDescent="0.25"/>
    <row r="45" hidden="1" x14ac:dyDescent="0.25"/>
    <row r="46" ht="15.75" customHeight="1" x14ac:dyDescent="0.25"/>
    <row r="47" ht="16.5" customHeight="1" x14ac:dyDescent="0.25"/>
    <row r="52" spans="4:4" x14ac:dyDescent="0.25">
      <c r="D52" t="s">
        <v>62</v>
      </c>
    </row>
  </sheetData>
  <sheetProtection selectLockedCells="1"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G21"/>
  <sheetViews>
    <sheetView workbookViewId="0">
      <selection activeCell="B20" sqref="B20"/>
    </sheetView>
  </sheetViews>
  <sheetFormatPr defaultColWidth="8.85546875" defaultRowHeight="15" x14ac:dyDescent="0.25"/>
  <cols>
    <col min="1" max="1" width="19" customWidth="1"/>
    <col min="2" max="2" width="18" customWidth="1"/>
    <col min="3" max="3" width="38.85546875" customWidth="1"/>
    <col min="4" max="4" width="44.42578125" customWidth="1"/>
    <col min="5" max="5" width="34.42578125" customWidth="1"/>
    <col min="6" max="6" width="25.28515625" customWidth="1"/>
    <col min="7" max="7" width="17.7109375" customWidth="1"/>
  </cols>
  <sheetData>
    <row r="1" spans="1:7" x14ac:dyDescent="0.25">
      <c r="A1" s="42" t="s">
        <v>63</v>
      </c>
      <c r="B1" s="34" t="s">
        <v>64</v>
      </c>
      <c r="C1" s="43" t="s">
        <v>65</v>
      </c>
      <c r="D1" s="44" t="s">
        <v>66</v>
      </c>
      <c r="E1" s="35" t="s">
        <v>67</v>
      </c>
      <c r="F1" s="45" t="s">
        <v>117</v>
      </c>
      <c r="G1" s="45" t="s">
        <v>118</v>
      </c>
    </row>
    <row r="2" spans="1:7" x14ac:dyDescent="0.25">
      <c r="A2" s="46">
        <v>0.5</v>
      </c>
      <c r="B2" s="47">
        <v>0.5</v>
      </c>
      <c r="C2">
        <v>0.67400000000000004</v>
      </c>
      <c r="D2">
        <f>ROUND(_xlfn.T.INV(((1-B2)/2),$B$19),$B$20)*-1</f>
        <v>0.67400000000000004</v>
      </c>
      <c r="E2">
        <f>ROUND(_xlfn.T.INV.2T(1-B2,$B$19),$B$20)</f>
        <v>0.67400000000000004</v>
      </c>
      <c r="F2">
        <f>C2-D2</f>
        <v>0</v>
      </c>
      <c r="G2">
        <f>C2-E2</f>
        <v>0</v>
      </c>
    </row>
    <row r="3" spans="1:7" x14ac:dyDescent="0.25">
      <c r="A3" s="46">
        <v>0.6</v>
      </c>
      <c r="B3" s="47">
        <v>0.6</v>
      </c>
      <c r="C3">
        <v>0.84099999999999997</v>
      </c>
      <c r="D3">
        <f t="shared" ref="D3:D13" si="0">ROUND(_xlfn.T.INV(((1-B3)/2),$B$19),$B$20)*-1</f>
        <v>0.84199999999999997</v>
      </c>
      <c r="E3">
        <f t="shared" ref="E3:E13" si="1">ROUND(_xlfn.T.INV.2T(1-A3,$B$19),$B$20)</f>
        <v>0.84199999999999997</v>
      </c>
      <c r="F3">
        <f t="shared" ref="F3:F13" si="2">C3-D3</f>
        <v>-1.0000000000000009E-3</v>
      </c>
      <c r="G3">
        <f t="shared" ref="G3:G13" si="3">C3-E3</f>
        <v>-1.0000000000000009E-3</v>
      </c>
    </row>
    <row r="4" spans="1:7" x14ac:dyDescent="0.25">
      <c r="A4" s="46">
        <v>0.7</v>
      </c>
      <c r="B4" s="47">
        <v>0.7</v>
      </c>
      <c r="C4">
        <v>1.036</v>
      </c>
      <c r="D4">
        <f t="shared" si="0"/>
        <v>1.036</v>
      </c>
      <c r="E4">
        <f t="shared" si="1"/>
        <v>1.036</v>
      </c>
      <c r="F4">
        <f t="shared" si="2"/>
        <v>0</v>
      </c>
      <c r="G4">
        <f t="shared" si="3"/>
        <v>0</v>
      </c>
    </row>
    <row r="5" spans="1:7" x14ac:dyDescent="0.25">
      <c r="A5" s="46">
        <v>0.8</v>
      </c>
      <c r="B5" s="47">
        <v>0.8</v>
      </c>
      <c r="C5">
        <v>1.282</v>
      </c>
      <c r="D5">
        <f t="shared" si="0"/>
        <v>1.282</v>
      </c>
      <c r="E5">
        <f t="shared" si="1"/>
        <v>1.282</v>
      </c>
      <c r="F5">
        <f t="shared" si="2"/>
        <v>0</v>
      </c>
      <c r="G5">
        <f t="shared" si="3"/>
        <v>0</v>
      </c>
    </row>
    <row r="6" spans="1:7" x14ac:dyDescent="0.25">
      <c r="A6" s="46">
        <v>0.9</v>
      </c>
      <c r="B6" s="47">
        <v>0.9</v>
      </c>
      <c r="C6">
        <v>1.645</v>
      </c>
      <c r="D6">
        <f t="shared" si="0"/>
        <v>1.645</v>
      </c>
      <c r="E6">
        <f t="shared" si="1"/>
        <v>1.645</v>
      </c>
      <c r="F6">
        <f t="shared" si="2"/>
        <v>0</v>
      </c>
      <c r="G6">
        <f t="shared" si="3"/>
        <v>0</v>
      </c>
    </row>
    <row r="7" spans="1:7" x14ac:dyDescent="0.25">
      <c r="A7" s="46">
        <v>0.95</v>
      </c>
      <c r="B7" s="48">
        <v>0.95</v>
      </c>
      <c r="C7" s="49">
        <v>1.96</v>
      </c>
      <c r="D7">
        <f t="shared" si="0"/>
        <v>1.96</v>
      </c>
      <c r="E7">
        <f t="shared" si="1"/>
        <v>1.96</v>
      </c>
      <c r="F7">
        <f t="shared" si="2"/>
        <v>0</v>
      </c>
      <c r="G7">
        <f t="shared" si="3"/>
        <v>0</v>
      </c>
    </row>
    <row r="8" spans="1:7" x14ac:dyDescent="0.25">
      <c r="A8" s="46">
        <v>0.96</v>
      </c>
      <c r="B8" s="48">
        <v>0.96</v>
      </c>
      <c r="C8">
        <v>2.0539999999999998</v>
      </c>
      <c r="D8">
        <f t="shared" si="0"/>
        <v>2.0539999999999998</v>
      </c>
      <c r="E8">
        <f t="shared" si="1"/>
        <v>2.0539999999999998</v>
      </c>
      <c r="F8">
        <f t="shared" si="2"/>
        <v>0</v>
      </c>
      <c r="G8">
        <f t="shared" si="3"/>
        <v>0</v>
      </c>
    </row>
    <row r="9" spans="1:7" x14ac:dyDescent="0.25">
      <c r="A9" s="46">
        <v>0.98</v>
      </c>
      <c r="B9" s="48">
        <v>0.98</v>
      </c>
      <c r="C9">
        <v>2.3260000000000001</v>
      </c>
      <c r="D9">
        <f t="shared" si="0"/>
        <v>2.3260000000000001</v>
      </c>
      <c r="E9">
        <f t="shared" si="1"/>
        <v>2.3260000000000001</v>
      </c>
      <c r="F9">
        <f t="shared" si="2"/>
        <v>0</v>
      </c>
      <c r="G9">
        <f t="shared" si="3"/>
        <v>0</v>
      </c>
    </row>
    <row r="10" spans="1:7" x14ac:dyDescent="0.25">
      <c r="A10" s="46">
        <v>0.99</v>
      </c>
      <c r="B10" s="48">
        <v>0.99</v>
      </c>
      <c r="C10">
        <v>2.5760000000000001</v>
      </c>
      <c r="D10">
        <f t="shared" si="0"/>
        <v>2.5760000000000001</v>
      </c>
      <c r="E10">
        <f t="shared" si="1"/>
        <v>2.5760000000000001</v>
      </c>
      <c r="F10">
        <f t="shared" si="2"/>
        <v>0</v>
      </c>
      <c r="G10">
        <f t="shared" si="3"/>
        <v>0</v>
      </c>
    </row>
    <row r="11" spans="1:7" x14ac:dyDescent="0.25">
      <c r="A11" s="50">
        <v>0.995</v>
      </c>
      <c r="B11" s="49">
        <v>0.995</v>
      </c>
      <c r="C11">
        <v>2.8069999999999999</v>
      </c>
      <c r="D11">
        <f t="shared" si="0"/>
        <v>2.8069999999999999</v>
      </c>
      <c r="E11">
        <f t="shared" si="1"/>
        <v>2.8069999999999999</v>
      </c>
      <c r="F11">
        <f t="shared" si="2"/>
        <v>0</v>
      </c>
      <c r="G11">
        <f t="shared" si="3"/>
        <v>0</v>
      </c>
    </row>
    <row r="12" spans="1:7" x14ac:dyDescent="0.25">
      <c r="A12" s="50">
        <v>0.998</v>
      </c>
      <c r="B12">
        <v>0.998</v>
      </c>
      <c r="C12">
        <v>3.0910000000000002</v>
      </c>
      <c r="D12">
        <f t="shared" si="0"/>
        <v>3.09</v>
      </c>
      <c r="E12">
        <f t="shared" si="1"/>
        <v>3.09</v>
      </c>
      <c r="F12">
        <f t="shared" si="2"/>
        <v>1.000000000000334E-3</v>
      </c>
      <c r="G12">
        <f t="shared" si="3"/>
        <v>1.000000000000334E-3</v>
      </c>
    </row>
    <row r="13" spans="1:7" x14ac:dyDescent="0.25">
      <c r="A13" s="50">
        <v>0.999</v>
      </c>
      <c r="B13" s="49">
        <v>0.999</v>
      </c>
      <c r="C13">
        <v>3.2909999999999999</v>
      </c>
      <c r="D13">
        <f t="shared" si="0"/>
        <v>3.2909999999999999</v>
      </c>
      <c r="E13">
        <f t="shared" si="1"/>
        <v>3.2909999999999999</v>
      </c>
      <c r="F13">
        <f t="shared" si="2"/>
        <v>0</v>
      </c>
      <c r="G13">
        <f t="shared" si="3"/>
        <v>0</v>
      </c>
    </row>
    <row r="18" spans="1:2" ht="15.75" thickBot="1" x14ac:dyDescent="0.3"/>
    <row r="19" spans="1:2" ht="16.5" thickTop="1" thickBot="1" x14ac:dyDescent="0.3">
      <c r="A19" s="51" t="s">
        <v>54</v>
      </c>
      <c r="B19" s="52">
        <f>10^10</f>
        <v>10000000000</v>
      </c>
    </row>
    <row r="20" spans="1:2" ht="16.5" thickTop="1" thickBot="1" x14ac:dyDescent="0.3">
      <c r="A20" s="51" t="s">
        <v>68</v>
      </c>
      <c r="B20" s="52">
        <v>3</v>
      </c>
    </row>
    <row r="21" spans="1:2" ht="15.75" thickTop="1" x14ac:dyDescent="0.25"/>
  </sheetData>
  <conditionalFormatting sqref="F2:F13">
    <cfRule type="cellIs" dxfId="4" priority="3" stopIfTrue="1" operator="greaterThan">
      <formula>1.66533E-16</formula>
    </cfRule>
    <cfRule type="cellIs" dxfId="3" priority="4" stopIfTrue="1" operator="lessThan">
      <formula>0</formula>
    </cfRule>
    <cfRule type="cellIs" dxfId="2" priority="5" stopIfTrue="1" operator="greaterThan">
      <formula>0</formula>
    </cfRule>
  </conditionalFormatting>
  <conditionalFormatting sqref="G2:G13">
    <cfRule type="cellIs" dxfId="1" priority="1" stopIfTrue="1" operator="lessThan">
      <formula>0</formula>
    </cfRule>
    <cfRule type="cellIs" dxfId="0" priority="2" stopIfTrue="1" operator="greaterThan">
      <formula>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3</vt:i4>
      </vt:variant>
    </vt:vector>
  </HeadingPairs>
  <TitlesOfParts>
    <vt:vector size="9" baseType="lpstr">
      <vt:lpstr>Entry</vt:lpstr>
      <vt:lpstr>A</vt:lpstr>
      <vt:lpstr>B</vt:lpstr>
      <vt:lpstr>Norm.Dist.Analysis</vt:lpstr>
      <vt:lpstr>Samp.Dist.Analysis</vt:lpstr>
      <vt:lpstr>Z Values</vt:lpstr>
      <vt:lpstr>Samp.Dist.Analysis!Ainterval</vt:lpstr>
      <vt:lpstr>Ainterval</vt:lpstr>
      <vt:lpstr>I2I1001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Spency</dc:creator>
  <cp:lastModifiedBy>Spency</cp:lastModifiedBy>
  <dcterms:created xsi:type="dcterms:W3CDTF">2012-11-04T09:10:39Z</dcterms:created>
  <dcterms:modified xsi:type="dcterms:W3CDTF">2012-11-09T13:37:09Z</dcterms:modified>
</cp:coreProperties>
</file>